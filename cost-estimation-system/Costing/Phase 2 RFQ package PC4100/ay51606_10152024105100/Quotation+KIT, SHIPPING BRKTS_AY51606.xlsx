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51606_10152024105100\"/>
    </mc:Choice>
  </mc:AlternateContent>
  <xr:revisionPtr revIDLastSave="0" documentId="13_ncr:1_{A19C39F5-2BA7-435E-A383-4FDAB75EDAB1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42D CARRIER REAR_AY3016" sheetId="1" r:id="rId4"/>
    <sheet name="Sheet1" sheetId="19" r:id="rId5"/>
    <sheet name="RM Details" sheetId="13" state="hidden" r:id="rId6"/>
    <sheet name="Welding Details" sheetId="4" state="hidden" r:id="rId7"/>
    <sheet name="Paint Details" sheetId="9" state="hidden" r:id="rId8"/>
  </sheets>
  <externalReferences>
    <externalReference r:id="rId9"/>
    <externalReference r:id="rId10"/>
  </externalReferences>
  <definedNames>
    <definedName name="_xlnm._FilterDatabase" localSheetId="3" hidden="1">'BOM 42D CARRIER REAR_AY3016'!$A$2:$AL$14</definedName>
    <definedName name="a" localSheetId="7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1" l="1"/>
  <c r="N91" i="1" s="1"/>
  <c r="K90" i="1"/>
  <c r="N90" i="1" s="1"/>
  <c r="M89" i="1"/>
  <c r="K86" i="1"/>
  <c r="M85" i="1"/>
  <c r="N85" i="1" s="1"/>
  <c r="K85" i="1"/>
  <c r="M83" i="1"/>
  <c r="M82" i="1"/>
  <c r="K82" i="1"/>
  <c r="M81" i="1"/>
  <c r="M80" i="1"/>
  <c r="M79" i="1"/>
  <c r="K78" i="1"/>
  <c r="M77" i="1"/>
  <c r="M76" i="1"/>
  <c r="M73" i="1"/>
  <c r="M72" i="1"/>
  <c r="M71" i="1"/>
  <c r="M67" i="1"/>
  <c r="M66" i="1"/>
  <c r="M65" i="1"/>
  <c r="M64" i="1"/>
  <c r="M53" i="1"/>
  <c r="M52" i="1"/>
  <c r="M51" i="1"/>
  <c r="V50" i="1"/>
  <c r="M50" i="1"/>
  <c r="M48" i="1"/>
  <c r="M47" i="1"/>
  <c r="M46" i="1"/>
  <c r="V45" i="1"/>
  <c r="M45" i="1"/>
  <c r="V44" i="1"/>
  <c r="V3" i="1" s="1"/>
  <c r="M44" i="1"/>
  <c r="V43" i="1"/>
  <c r="M43" i="1"/>
  <c r="V41" i="1"/>
  <c r="M41" i="1"/>
  <c r="M37" i="1"/>
  <c r="M36" i="1"/>
  <c r="M30" i="1"/>
  <c r="M29" i="1"/>
  <c r="M18" i="1"/>
  <c r="M17" i="1"/>
  <c r="M15" i="1"/>
  <c r="AI5" i="1"/>
  <c r="AC3" i="1"/>
  <c r="AI3" i="1"/>
  <c r="Y3" i="1"/>
  <c r="N3" i="1"/>
  <c r="J3" i="1"/>
  <c r="K3" i="1" s="1"/>
  <c r="N81" i="1" l="1"/>
  <c r="N82" i="1"/>
  <c r="K80" i="1"/>
  <c r="N80" i="1" s="1"/>
  <c r="K79" i="1"/>
  <c r="N78" i="1"/>
  <c r="N79" i="1"/>
  <c r="K89" i="1"/>
  <c r="N89" i="1" s="1"/>
  <c r="K88" i="1"/>
  <c r="N88" i="1" s="1"/>
  <c r="N86" i="1"/>
  <c r="K87" i="1"/>
  <c r="N87" i="1" s="1"/>
  <c r="K84" i="1"/>
  <c r="N84" i="1" s="1"/>
  <c r="K75" i="1"/>
  <c r="K4" i="1"/>
  <c r="K70" i="1"/>
  <c r="K83" i="1"/>
  <c r="N83" i="1" s="1"/>
  <c r="K74" i="1"/>
  <c r="N74" i="1" s="1"/>
  <c r="K81" i="1"/>
  <c r="K71" i="1" l="1"/>
  <c r="N71" i="1" s="1"/>
  <c r="N70" i="1"/>
  <c r="K72" i="1"/>
  <c r="N72" i="1" s="1"/>
  <c r="K73" i="1"/>
  <c r="N73" i="1" s="1"/>
  <c r="K5" i="1"/>
  <c r="K66" i="1"/>
  <c r="N66" i="1" s="1"/>
  <c r="K61" i="1"/>
  <c r="N61" i="1" s="1"/>
  <c r="N4" i="1"/>
  <c r="K60" i="1"/>
  <c r="N60" i="1" s="1"/>
  <c r="K69" i="1"/>
  <c r="N69" i="1" s="1"/>
  <c r="K63" i="1"/>
  <c r="K68" i="1"/>
  <c r="N68" i="1" s="1"/>
  <c r="K62" i="1"/>
  <c r="N62" i="1" s="1"/>
  <c r="K67" i="1"/>
  <c r="N67" i="1" s="1"/>
  <c r="K76" i="1"/>
  <c r="N76" i="1" s="1"/>
  <c r="N75" i="1"/>
  <c r="K77" i="1"/>
  <c r="N77" i="1" s="1"/>
  <c r="K65" i="1" l="1"/>
  <c r="N65" i="1" s="1"/>
  <c r="K64" i="1"/>
  <c r="N64" i="1" s="1"/>
  <c r="N63" i="1"/>
  <c r="K51" i="1"/>
  <c r="N51" i="1" s="1"/>
  <c r="K47" i="1"/>
  <c r="N47" i="1" s="1"/>
  <c r="K55" i="1"/>
  <c r="N55" i="1" s="1"/>
  <c r="K39" i="1"/>
  <c r="N39" i="1" s="1"/>
  <c r="K34" i="1"/>
  <c r="N34" i="1" s="1"/>
  <c r="K6" i="1"/>
  <c r="K54" i="1"/>
  <c r="N54" i="1" s="1"/>
  <c r="K46" i="1"/>
  <c r="N46" i="1" s="1"/>
  <c r="K43" i="1"/>
  <c r="N43" i="1" s="1"/>
  <c r="K38" i="1"/>
  <c r="N38" i="1" s="1"/>
  <c r="K33" i="1"/>
  <c r="N33" i="1" s="1"/>
  <c r="K50" i="1"/>
  <c r="N50" i="1" s="1"/>
  <c r="K49" i="1"/>
  <c r="N49" i="1" s="1"/>
  <c r="K56" i="1"/>
  <c r="N56" i="1" s="1"/>
  <c r="K44" i="1"/>
  <c r="N44" i="1" s="1"/>
  <c r="K19" i="1"/>
  <c r="K53" i="1"/>
  <c r="N53" i="1" s="1"/>
  <c r="K48" i="1"/>
  <c r="N48" i="1" s="1"/>
  <c r="N5" i="1"/>
  <c r="K42" i="1"/>
  <c r="N42" i="1" s="1"/>
  <c r="K52" i="1"/>
  <c r="N52" i="1" s="1"/>
  <c r="K35" i="1"/>
  <c r="K59" i="1"/>
  <c r="N59" i="1" s="1"/>
  <c r="K58" i="1"/>
  <c r="N58" i="1" s="1"/>
  <c r="K41" i="1"/>
  <c r="N41" i="1" s="1"/>
  <c r="K45" i="1"/>
  <c r="N45" i="1" s="1"/>
  <c r="K57" i="1"/>
  <c r="N57" i="1" s="1"/>
  <c r="K40" i="1"/>
  <c r="N40" i="1" s="1"/>
  <c r="K18" i="1" l="1"/>
  <c r="N18" i="1" s="1"/>
  <c r="K13" i="1"/>
  <c r="N13" i="1" s="1"/>
  <c r="K7" i="1"/>
  <c r="N7" i="1" s="1"/>
  <c r="N6" i="1"/>
  <c r="K12" i="1"/>
  <c r="N12" i="1" s="1"/>
  <c r="K17" i="1"/>
  <c r="N17" i="1" s="1"/>
  <c r="K11" i="1"/>
  <c r="N11" i="1" s="1"/>
  <c r="K10" i="1"/>
  <c r="N10" i="1" s="1"/>
  <c r="K9" i="1"/>
  <c r="N9" i="1" s="1"/>
  <c r="K16" i="1"/>
  <c r="N16" i="1" s="1"/>
  <c r="K8" i="1"/>
  <c r="N8" i="1" s="1"/>
  <c r="K15" i="1"/>
  <c r="N15" i="1" s="1"/>
  <c r="K14" i="1"/>
  <c r="N14" i="1" s="1"/>
  <c r="K29" i="1"/>
  <c r="N29" i="1" s="1"/>
  <c r="K23" i="1"/>
  <c r="N23" i="1" s="1"/>
  <c r="K28" i="1"/>
  <c r="N28" i="1" s="1"/>
  <c r="K22" i="1"/>
  <c r="N22" i="1" s="1"/>
  <c r="K30" i="1"/>
  <c r="N30" i="1" s="1"/>
  <c r="K20" i="1"/>
  <c r="N20" i="1" s="1"/>
  <c r="N19" i="1"/>
  <c r="K27" i="1"/>
  <c r="N27" i="1" s="1"/>
  <c r="K26" i="1"/>
  <c r="N26" i="1" s="1"/>
  <c r="K32" i="1"/>
  <c r="N32" i="1" s="1"/>
  <c r="K25" i="1"/>
  <c r="N25" i="1" s="1"/>
  <c r="K31" i="1"/>
  <c r="N31" i="1" s="1"/>
  <c r="K24" i="1"/>
  <c r="N24" i="1" s="1"/>
  <c r="K21" i="1"/>
  <c r="N21" i="1" s="1"/>
  <c r="K37" i="1"/>
  <c r="N37" i="1" s="1"/>
  <c r="K36" i="1"/>
  <c r="N36" i="1" s="1"/>
  <c r="N35" i="1"/>
  <c r="Z3" i="1" l="1"/>
  <c r="X3" i="1"/>
  <c r="AB3" i="1"/>
  <c r="B48" i="7" l="1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F3" i="7" l="1"/>
  <c r="C4" i="7" l="1"/>
  <c r="B24" i="7"/>
  <c r="B25" i="7" s="1"/>
  <c r="F29" i="7"/>
  <c r="H29" i="7" s="1"/>
  <c r="B22" i="7" l="1"/>
  <c r="F22" i="7" s="1"/>
  <c r="H22" i="7" s="1"/>
  <c r="B30" i="7"/>
  <c r="F24" i="7"/>
  <c r="H24" i="7" s="1"/>
  <c r="F25" i="7"/>
  <c r="H25" i="7" s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49" i="18"/>
  <c r="E48" i="18"/>
  <c r="E50" i="18"/>
  <c r="E51" i="18"/>
  <c r="E21" i="18"/>
  <c r="E35" i="18"/>
  <c r="E37" i="18"/>
  <c r="E38" i="18"/>
  <c r="E34" i="18"/>
  <c r="E31" i="18"/>
  <c r="E32" i="18"/>
  <c r="E25" i="18"/>
  <c r="E26" i="18"/>
  <c r="E20" i="18"/>
  <c r="E22" i="18"/>
  <c r="E28" i="18"/>
  <c r="E27" i="18"/>
</calcChain>
</file>

<file path=xl/sharedStrings.xml><?xml version="1.0" encoding="utf-8"?>
<sst xmlns="http://schemas.openxmlformats.org/spreadsheetml/2006/main" count="1020" uniqueCount="516">
  <si>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</si>
  <si>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</si>
  <si>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</si>
  <si>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</si>
  <si>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</si>
  <si>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</si>
  <si>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</si>
  <si>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</si>
  <si>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</si>
  <si>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</si>
  <si>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</si>
  <si>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</si>
  <si>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</si>
  <si>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</si>
  <si>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</si>
  <si>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</si>
  <si>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</si>
  <si>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</si>
  <si>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</si>
  <si>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</si>
  <si>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</si>
  <si>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</si>
  <si>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</si>
  <si>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</si>
  <si>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</si>
  <si>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</si>
  <si>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</si>
  <si>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</si>
  <si>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</si>
  <si>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</si>
  <si>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</si>
  <si>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</si>
  <si>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</si>
  <si>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</si>
  <si>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</si>
  <si>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</si>
  <si>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</si>
  <si>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</si>
  <si>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</si>
  <si>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</si>
  <si>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</si>
  <si>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</si>
  <si>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</si>
  <si>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</si>
  <si>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</si>
  <si>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</si>
  <si>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</si>
  <si>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</si>
  <si>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</si>
  <si>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</si>
  <si>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</si>
  <si>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</si>
  <si>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</si>
  <si>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</si>
  <si>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</si>
  <si>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</si>
  <si>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</si>
  <si>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</si>
  <si>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</si>
  <si>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</si>
  <si>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</si>
  <si>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</si>
  <si>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</si>
  <si>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</si>
  <si>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</si>
  <si>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</si>
  <si>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</si>
  <si>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</si>
  <si>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</si>
  <si>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</si>
  <si>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</si>
  <si>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</si>
  <si>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</si>
  <si>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</si>
  <si>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</si>
  <si>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</si>
  <si>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</si>
  <si>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</si>
  <si>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</si>
  <si>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</si>
  <si>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</si>
  <si>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</si>
  <si>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</si>
  <si>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</si>
  <si>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</si>
  <si>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</si>
  <si>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</si>
  <si>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</si>
  <si>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</si>
  <si>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</si>
  <si>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</si>
  <si>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</si>
  <si>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</si>
  <si>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</si>
  <si>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</si>
  <si>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</si>
  <si>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</si>
  <si>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</si>
  <si>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</si>
  <si>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</si>
  <si>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</si>
  <si>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</si>
  <si>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</si>
  <si>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</si>
  <si>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</si>
  <si>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</si>
  <si>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</si>
  <si>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</si>
  <si>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</si>
  <si>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</si>
  <si>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</si>
  <si>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</si>
  <si>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</si>
  <si>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</si>
  <si>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</si>
  <si>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</si>
  <si>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</si>
  <si>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</si>
  <si>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</si>
  <si>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</si>
  <si>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</si>
  <si>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</si>
  <si>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</si>
  <si>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</si>
  <si>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</si>
  <si>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</si>
  <si>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</si>
  <si>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</si>
  <si>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</si>
  <si>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</si>
  <si>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</si>
  <si>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</si>
  <si>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</si>
  <si>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</si>
  <si>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</si>
  <si>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</si>
  <si>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</si>
  <si>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</si>
  <si>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</si>
  <si>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</si>
  <si>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</si>
  <si>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</si>
  <si>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</si>
  <si>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</si>
  <si>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</si>
  <si>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</si>
  <si>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</si>
  <si>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</si>
  <si>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</si>
  <si>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</si>
  <si>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</si>
  <si>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</si>
  <si>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</si>
  <si>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</si>
  <si>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</si>
  <si>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</si>
  <si>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</si>
  <si>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</si>
  <si>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</si>
  <si>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</si>
  <si>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</si>
  <si>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</si>
  <si>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</si>
  <si>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</si>
  <si>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</si>
  <si>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</si>
  <si>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</si>
  <si>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</si>
  <si>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</si>
  <si>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</si>
  <si>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</si>
  <si>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</si>
  <si>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</si>
  <si>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</si>
  <si>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</si>
  <si>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</si>
  <si>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</si>
  <si>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</si>
  <si>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</si>
  <si>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</si>
  <si>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</si>
  <si>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</si>
  <si>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</si>
  <si>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</si>
  <si>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</si>
  <si>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</si>
  <si>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</si>
  <si>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</si>
  <si>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</si>
  <si>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</si>
  <si>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</si>
  <si>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</si>
  <si>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</si>
  <si>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</si>
  <si>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</si>
  <si>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</si>
  <si>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</si>
  <si>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</si>
  <si>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</si>
  <si>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</si>
  <si>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</si>
  <si>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</si>
  <si>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</si>
  <si>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</si>
  <si>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</si>
  <si>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</si>
  <si>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</si>
  <si>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</si>
  <si>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</si>
  <si>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</si>
  <si>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</si>
  <si>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</si>
  <si>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</si>
  <si>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</si>
  <si>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</si>
  <si>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</si>
  <si>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</si>
  <si>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</si>
  <si>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</si>
  <si>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</si>
  <si>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</si>
  <si>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</si>
  <si>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</si>
  <si>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</si>
  <si>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</si>
  <si>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</si>
  <si>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</si>
  <si>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</si>
  <si>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</si>
  <si>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</si>
  <si>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</si>
  <si>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</si>
  <si>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</si>
  <si>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</si>
  <si>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</si>
  <si>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</si>
  <si>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</si>
  <si>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</si>
  <si>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</si>
  <si>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</si>
  <si>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</si>
  <si>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</si>
  <si>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</si>
  <si>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</si>
  <si>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</si>
  <si>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</si>
  <si>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</si>
  <si>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</si>
  <si>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</si>
  <si>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</si>
  <si>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A572 Gr. 50</t>
  </si>
  <si>
    <t>Plate</t>
  </si>
  <si>
    <t>—</t>
  </si>
  <si>
    <t>A36 / S275JR</t>
  </si>
  <si>
    <t>A36 / S275JR / SA 516 GR.70</t>
  </si>
  <si>
    <t>ITEM</t>
  </si>
  <si>
    <t>DESCRIPTION</t>
  </si>
  <si>
    <t>MATERIAL</t>
  </si>
  <si>
    <t>CANRIG PART No.</t>
  </si>
  <si>
    <t>PLATE, CARRIER MASTER RIB, PC4100</t>
  </si>
  <si>
    <t>DT34528</t>
  </si>
  <si>
    <t>W-BEAM, REAR CARRIER BEAM - DS, PC4100</t>
  </si>
  <si>
    <t>ASTM A572 Gr. 50 / S355JR</t>
  </si>
  <si>
    <t>DT34752</t>
  </si>
  <si>
    <t>W-BEAM, REAR CARRIER BEAM - ODS, PC4100</t>
  </si>
  <si>
    <t>DT34753</t>
  </si>
  <si>
    <t>PLATE, REAR ROLLER EAR, PC4100</t>
  </si>
  <si>
    <t>DT34754</t>
  </si>
  <si>
    <t>PLATE, TENSIONER ASSEMBLY MOUNT, PC4100</t>
  </si>
  <si>
    <t>DT34755</t>
  </si>
  <si>
    <t>PLATE, REAR SKATE SUPPORT, PC4100</t>
  </si>
  <si>
    <t>DT34756</t>
  </si>
  <si>
    <t>SET COLLAR, Ø1.75", PC4100</t>
  </si>
  <si>
    <t>AISI C1045</t>
  </si>
  <si>
    <t>DT34757</t>
  </si>
  <si>
    <t>HSS, PULLY GUARD, PC4100</t>
  </si>
  <si>
    <t>DT34758</t>
  </si>
  <si>
    <t>PLATE, BACK AXLE CAP, PC4100</t>
  </si>
  <si>
    <t>DT34759</t>
  </si>
  <si>
    <t>FLAT BAR, 25 x 50 x 50 LG [1 x 2 x 2]</t>
  </si>
  <si>
    <t>G40.21-44W</t>
  </si>
  <si>
    <t>GUSSET, FLANGE, CARRIER, PC4100</t>
  </si>
  <si>
    <t>DT34550</t>
  </si>
  <si>
    <t>PLATE, REAR ROLLER EAR INNER CAP, PC4100</t>
  </si>
  <si>
    <t>ASTM A572 Gr. 50 / S355JR OR A516 Gr.70</t>
  </si>
  <si>
    <t>DT34760</t>
  </si>
  <si>
    <t>PLATE, KICKER GUSSET, PC4100</t>
  </si>
  <si>
    <t>DT34537</t>
  </si>
  <si>
    <t>PLATE, CARRIER FLANGE PLATE, PC4100</t>
  </si>
  <si>
    <t>DT34546</t>
  </si>
  <si>
    <t>PLATE, CARRIER FLANGE PLATE GUSSET, PC4100</t>
  </si>
  <si>
    <t>DT34547</t>
  </si>
  <si>
    <t>BOM KIT, SHIPPING BRKTS, LONG,PC4000_AY51606</t>
  </si>
  <si>
    <t>Sub Assy.</t>
  </si>
  <si>
    <t>AY30011</t>
  </si>
  <si>
    <t>A</t>
  </si>
  <si>
    <t>*</t>
  </si>
  <si>
    <t>AY30012</t>
  </si>
  <si>
    <t>WELDMENT, R2D CATWALK, LEV 2, PC4100</t>
  </si>
  <si>
    <t>Sub Assy</t>
  </si>
  <si>
    <t>-</t>
  </si>
  <si>
    <t>WELDMENT, R2D CATWALK, LEV 1, PC4100</t>
  </si>
  <si>
    <t>1.1.1</t>
  </si>
  <si>
    <t>AY30010</t>
  </si>
  <si>
    <t>WELDMENT, CATWALK ODS BEAM, R2D, PC4100</t>
  </si>
  <si>
    <t>1.1.1.1</t>
  </si>
  <si>
    <t>DT34393</t>
  </si>
  <si>
    <t>REAR ODS BEAM WEB</t>
  </si>
  <si>
    <t>1.1.1.2</t>
  </si>
  <si>
    <t>DT34394</t>
  </si>
  <si>
    <t>PLATE, OUTER ODS BEAM TOP FLANGE, R2D, PC4100</t>
  </si>
  <si>
    <t>1.1.1.3</t>
  </si>
  <si>
    <t>DT34395</t>
  </si>
  <si>
    <t>PLATE, OUTER BEAM BACK ANGLE CAP, PC4100</t>
  </si>
  <si>
    <t>1.1.1.4</t>
  </si>
  <si>
    <t>DT34315</t>
  </si>
  <si>
    <t>PLATE, OUTER FRONT BEAM NOSE CAP, PC4100</t>
  </si>
  <si>
    <t>A36/S275JR/SA 516 GR.70</t>
  </si>
  <si>
    <t>1.1.1.5</t>
  </si>
  <si>
    <t>DT34396</t>
  </si>
  <si>
    <t>PLATE, REAR OUTER BEAM ANGLE CAP, PC4100</t>
  </si>
  <si>
    <t>1.1.1.6</t>
  </si>
  <si>
    <t>DT34397</t>
  </si>
  <si>
    <t>PLATE, ANGLE CAP, PC4100</t>
  </si>
  <si>
    <t>1.1.1.7</t>
  </si>
  <si>
    <t>DT34327</t>
  </si>
  <si>
    <t>CATWALK CONNECTION PLATE, PC4100</t>
  </si>
  <si>
    <t>1.1.1.8</t>
  </si>
  <si>
    <t>DT34328</t>
  </si>
  <si>
    <t>PLATE, CARRIER CONNECTION PLATE GUSSET, PC4100</t>
  </si>
  <si>
    <t>1.1.1.9</t>
  </si>
  <si>
    <t>DT34378</t>
  </si>
  <si>
    <t>PIPE, 33 OD x 21 ID X 51 L</t>
  </si>
  <si>
    <t>Pipe</t>
  </si>
  <si>
    <t>ASTM A106 GR.B</t>
  </si>
  <si>
    <t>Dia 33 x 6 thk</t>
  </si>
  <si>
    <t>1.1.1.10</t>
  </si>
  <si>
    <t>DT34398</t>
  </si>
  <si>
    <t>REAR CATWALK CONNECTION BLOCK, PC4100</t>
  </si>
  <si>
    <t>1.1.1.11</t>
  </si>
  <si>
    <t>BAR, FLAT, 200 X 20 X 4777 LG</t>
  </si>
  <si>
    <t>1.1.1.12</t>
  </si>
  <si>
    <t>BAR, FLAT, 75 x 12 x 381 LG</t>
  </si>
  <si>
    <t>1.1.2</t>
  </si>
  <si>
    <t>AY30009</t>
  </si>
  <si>
    <t>WELDMENT, CATWALK DS BEAM, R2D, PC4100</t>
  </si>
  <si>
    <t>SEE BOM</t>
  </si>
  <si>
    <t>1.1.2.1</t>
  </si>
  <si>
    <t>DT34400</t>
  </si>
  <si>
    <t>REAR DS BEAM WEB, R2D, PC4100</t>
  </si>
  <si>
    <t>1.1.2.2</t>
  </si>
  <si>
    <t>DT34401</t>
  </si>
  <si>
    <t>PLATE, OUTER BEAM D5 TOP FLANGE, R2D, PC4100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</si>
  <si>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</si>
  <si>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</si>
  <si>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</si>
  <si>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</si>
  <si>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</si>
  <si>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</si>
  <si>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</si>
  <si>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</si>
  <si>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</si>
  <si>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PIPE, 1/2" SCH 40 x 1035 LG</t>
  </si>
  <si>
    <t>A.S.T.M. A106 GR.B</t>
  </si>
  <si>
    <t>Dia 21.3 x 2.77 thk</t>
  </si>
  <si>
    <t>1.1.2.12</t>
  </si>
  <si>
    <t>UNISTRUT, 41.3 x 22.2 x 457 LG</t>
  </si>
  <si>
    <t>BOP 
Unistruct</t>
  </si>
  <si>
    <t>G40.21-44W / A572 G50</t>
  </si>
  <si>
    <t>1.1.2.13</t>
  </si>
  <si>
    <t>DT34399</t>
  </si>
  <si>
    <t>PLATE, SAFETY BAR HOLDER, PC4100</t>
  </si>
  <si>
    <t>1.1.3</t>
  </si>
  <si>
    <t>DT34313</t>
  </si>
  <si>
    <t>PLATE, ROLL BAR END CAP, PC4100</t>
  </si>
  <si>
    <t>1.1.4</t>
  </si>
  <si>
    <t>DT34402</t>
  </si>
  <si>
    <t>PLATE, BACK MID STOP RIB, PC4100</t>
  </si>
  <si>
    <t>1.1.5</t>
  </si>
  <si>
    <t>DT34403</t>
  </si>
  <si>
    <t>PIPE, CABLE ROLL, PC4100</t>
  </si>
  <si>
    <t>1.1.5.1</t>
  </si>
  <si>
    <t>PIPE, 4SCH80 X 254 LG</t>
  </si>
  <si>
    <t>Dia 102x8thk</t>
  </si>
  <si>
    <t>1.1.5.2</t>
  </si>
  <si>
    <t>PLATE, 86 X 86X 6</t>
  </si>
  <si>
    <t>1.1.6</t>
  </si>
  <si>
    <t>DT34404</t>
  </si>
  <si>
    <t>W-BEAM 600 X 220 X 4572 LG</t>
  </si>
  <si>
    <t>Beam</t>
  </si>
  <si>
    <t>A992 / A572</t>
  </si>
  <si>
    <t>W-BEAM 600 X 220</t>
  </si>
  <si>
    <t>1.1.7</t>
  </si>
  <si>
    <t>DT34405</t>
  </si>
  <si>
    <t>CARRIER RAIL BOTTOM STIFFNER, DS, PC4100</t>
  </si>
  <si>
    <t>Channel</t>
  </si>
  <si>
    <t>A36/S275JR</t>
  </si>
  <si>
    <t>UPN80 X 45</t>
  </si>
  <si>
    <t>1.1.8</t>
  </si>
  <si>
    <t>DT34406</t>
  </si>
  <si>
    <t>CARRIER RAIL BOTTOM STIFFNER, ODS, PC4100</t>
  </si>
  <si>
    <t>1.1.9</t>
  </si>
  <si>
    <t>CHANNEL, UPN200x2198 LG</t>
  </si>
  <si>
    <t>UPN 200x75</t>
  </si>
  <si>
    <t>1.1.10</t>
  </si>
  <si>
    <t>DT34390</t>
  </si>
  <si>
    <t>PLATE, BOTTOM PLATE, JUNK BOX, PC4100</t>
  </si>
  <si>
    <t>ASTM A572 Gr. 50 / A516 Gr.70 / S355JR</t>
  </si>
  <si>
    <t>R6</t>
  </si>
  <si>
    <t>1.1.11</t>
  </si>
  <si>
    <t>CHANNEL, UPN80.000X 4672.000 LG</t>
  </si>
  <si>
    <t>1.1.12</t>
  </si>
  <si>
    <t>CHANNEL, UPN80X1143 LG</t>
  </si>
  <si>
    <t>1.1.13</t>
  </si>
  <si>
    <t>UPN80x4623</t>
  </si>
  <si>
    <t>CHANNEL, UPN80.000X4623.000 LG</t>
  </si>
  <si>
    <t>1.1.14</t>
  </si>
  <si>
    <t>FB45X6X329</t>
  </si>
  <si>
    <t>BAR, FLAT, 45.000 X 6.000 X 329.406 LG</t>
  </si>
  <si>
    <t>1.1.15</t>
  </si>
  <si>
    <t>PI 6" SCH XS X 2388mm</t>
  </si>
  <si>
    <t>Dia 168.28 x 10.97thk</t>
  </si>
  <si>
    <t>1.1.16</t>
  </si>
  <si>
    <t>FB45X6X280</t>
  </si>
  <si>
    <t>BAR, FLAT, 45.000 X 6.000 X 280.194 LG</t>
  </si>
  <si>
    <t>1.1.17</t>
  </si>
  <si>
    <t>DT34389</t>
  </si>
  <si>
    <t>PLATE, FRONT LIP, JUNK BOX, PC4100</t>
  </si>
  <si>
    <t xml:space="preserve">Die Bending </t>
  </si>
  <si>
    <t>1.1.18</t>
  </si>
  <si>
    <t>UPN80X1651</t>
  </si>
  <si>
    <t>CHANNEL, UPN80.000 LG</t>
  </si>
  <si>
    <t>1.1.19</t>
  </si>
  <si>
    <t>FB80X6X4634</t>
  </si>
  <si>
    <t>BAR, FLAT, 80.000 X 6.000 X 4634.000 LG</t>
  </si>
  <si>
    <t>1.1.20</t>
  </si>
  <si>
    <t>FB80X6X4585</t>
  </si>
  <si>
    <t>BAR, FLAT, 80.000 X 6.000 X 4585.000 LG</t>
  </si>
  <si>
    <t>1.1.21</t>
  </si>
  <si>
    <t>AY30006.002</t>
  </si>
  <si>
    <t>BAR, FLAT, 5 X 38 X 67 LG</t>
  </si>
  <si>
    <t>1.1.22</t>
  </si>
  <si>
    <t>DT34392</t>
  </si>
  <si>
    <t>PLATE, LEFT SIDE WALL, JUNK BOX, PC4100</t>
  </si>
  <si>
    <t>1.1.23</t>
  </si>
  <si>
    <t>DT34391</t>
  </si>
  <si>
    <t>PLATE, BACK LIP, JUNK BOX, PC4100</t>
  </si>
  <si>
    <t>1.1.24</t>
  </si>
  <si>
    <t>DT34388</t>
  </si>
  <si>
    <t>PLATE, RIGHT SIDE WALL, JUNK BOX, PC4100</t>
  </si>
  <si>
    <t>1.1.25</t>
  </si>
  <si>
    <t>DT34387</t>
  </si>
  <si>
    <t>1.1.26</t>
  </si>
  <si>
    <t>M11504</t>
  </si>
  <si>
    <t>FLANGE, SCULLY, 3/4" NPT</t>
  </si>
  <si>
    <t>BOP</t>
  </si>
  <si>
    <t>CARBON STEEL</t>
  </si>
  <si>
    <t>1.1.27</t>
  </si>
  <si>
    <t>DT34314</t>
  </si>
  <si>
    <t>PLATE, CROSS CHANNEL GUSSET, PC4100</t>
  </si>
  <si>
    <t>DT34325</t>
  </si>
  <si>
    <t>PLATE, ROLL SUPPORT, PC4100</t>
  </si>
  <si>
    <t>DT34333</t>
  </si>
  <si>
    <t>MID FLOOR HANGER FRONT, PC4100</t>
  </si>
  <si>
    <t>DT34386</t>
  </si>
  <si>
    <t>FLOOR, WIDE HANGER, PC4100</t>
  </si>
  <si>
    <t>DT34385</t>
  </si>
  <si>
    <t>HSS, HORIZONTAL ALIGNER, PC4100</t>
  </si>
  <si>
    <t>1.5.1</t>
  </si>
  <si>
    <t>HSS, 80 X 80 X 10 LG</t>
  </si>
  <si>
    <t>Sq. Tube</t>
  </si>
  <si>
    <t>80x80x 10thk</t>
  </si>
  <si>
    <t>1.5.2</t>
  </si>
  <si>
    <t>PLATE, 97X60X6</t>
  </si>
  <si>
    <t>BAR, FLAT, 51 X 25 X 400 LG</t>
  </si>
  <si>
    <t>PIPE, 4 SCH 80 X 628 LG</t>
  </si>
  <si>
    <t>Dia 114.3 x 8.56 thk</t>
  </si>
  <si>
    <t>UNISTRUCT, 41 X 22 X 368 LG</t>
  </si>
  <si>
    <t>DT34360</t>
  </si>
  <si>
    <t>DT34384</t>
  </si>
  <si>
    <t>WELDMENT, PANEL GUARD, PC4100</t>
  </si>
  <si>
    <t>HSS, 50 X 50 X 5 X 184 LG</t>
  </si>
  <si>
    <t>ASTM A516 Gr. 70/S275JR</t>
  </si>
  <si>
    <t>50x50x 5thk</t>
  </si>
  <si>
    <t>HSS, 50 X 50 X 5 X 558 LG</t>
  </si>
  <si>
    <t>HSS, 50 X 50 X 5 X 520 LG</t>
  </si>
  <si>
    <t>DT34383</t>
  </si>
  <si>
    <t>PLATE, SLAVE SKID CHANNEL CAP, PC4100</t>
  </si>
  <si>
    <t>DT34381</t>
  </si>
  <si>
    <t>HSS, RIGHT SIDE LASER POST, PC4100</t>
  </si>
  <si>
    <t>PLATE, 116X76X6</t>
  </si>
  <si>
    <t>HSS,100 X 80 X 5X 864 LG</t>
  </si>
  <si>
    <t>Rec. Tube</t>
  </si>
  <si>
    <t>100x80x 5thk</t>
  </si>
  <si>
    <t>DT34382</t>
  </si>
  <si>
    <t>HSS, LEFT SIDE LASER POST, PC4100</t>
  </si>
  <si>
    <t>CHANNEL, UPN200 X 464 LG</t>
  </si>
  <si>
    <t>CHANNEL, UPN200 X 4321.175 LG</t>
  </si>
  <si>
    <t>BAR, FLAT, 30 X 10 X 622 LG</t>
  </si>
  <si>
    <t>COUPLING, HALF, 3/4" NPT</t>
  </si>
  <si>
    <t>CHANNEL, UPN200 X 3025 LG</t>
  </si>
  <si>
    <t>AY30014</t>
  </si>
  <si>
    <t>WELDMENT, HINGED FLOOR MNT, PC4100</t>
  </si>
  <si>
    <t>DT34373</t>
  </si>
  <si>
    <t>PLATE, HINGED FLOOR FORMING CAP, PC4100</t>
  </si>
  <si>
    <t>DT34374</t>
  </si>
  <si>
    <t>PLATE, HINGED FLOOR MNT, PC4100</t>
  </si>
  <si>
    <t>DT34339</t>
  </si>
  <si>
    <t>PLATE, HINGE FLOOR MOUNT SHORT, PC4100</t>
  </si>
  <si>
    <t>DT34366</t>
  </si>
  <si>
    <t>BAR, RD, 12 x 25 LG, PC4100</t>
  </si>
  <si>
    <t>A36/275JR</t>
  </si>
  <si>
    <t>Dia 12</t>
  </si>
  <si>
    <t>DT34379</t>
  </si>
  <si>
    <t>PLATE, 6 x 232 x 749, PC4100</t>
  </si>
  <si>
    <t>ASTM A572 Gr. 50 /A516 Gr.70/S355JR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</si>
</sst>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1"/>
      <name val="Arial"/>
      <family val="2"/>
    </font>
    <font>
      <sz val="12"/>
      <color rgb="FFFF0000"/>
      <name val="Calibri"/>
      <family val="2"/>
    </font>
    <font>
      <sz val="10"/>
      <name val="Calibri"/>
      <family val="2"/>
    </font>
    <font>
      <sz val="11"/>
      <color rgb="FF21252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21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2" borderId="8" xfId="0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22" fillId="5" borderId="14" xfId="0" applyFont="1" applyFill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center" vertical="center"/>
    </xf>
    <xf numFmtId="2" fontId="24" fillId="0" borderId="14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/>
    </xf>
    <xf numFmtId="2" fontId="24" fillId="0" borderId="14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/>
    </xf>
    <xf numFmtId="0" fontId="32" fillId="0" borderId="0" xfId="0" applyFont="1"/>
    <xf numFmtId="1" fontId="24" fillId="0" borderId="14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1-RFQ%20Working\NABORS_CANRIG\Phase%202%20RFQ%20package%20PC4100\Quotation+BOM%20all.xlsx" TargetMode="External"/><Relationship Id="rId1" Type="http://schemas.openxmlformats.org/officeDocument/2006/relationships/externalLinkPath" Target="/1-RFQ%20Working/NABORS_CANRIG/Phase%202%20RFQ%20package%20PC4100/Quotation+BOM%20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Data "/>
      <sheetName val="Quote Buggy Parts "/>
      <sheetName val="Summary"/>
      <sheetName val="BOM R2D CatWalk (2)"/>
      <sheetName val="BOM R2D CatWalk"/>
      <sheetName val="Sheet1"/>
      <sheetName val="RM Details"/>
      <sheetName val="Welding Details"/>
      <sheetName val="Paint Details"/>
    </sheetNames>
    <sheetDataSet>
      <sheetData sheetId="0">
        <row r="1">
          <cell r="A1" t="str">
            <v>PartID</v>
          </cell>
          <cell r="B1" t="str">
            <v>Description</v>
          </cell>
          <cell r="C1" t="str">
            <v>Usage</v>
          </cell>
        </row>
        <row r="2">
          <cell r="A2" t="str">
            <v>AY30013</v>
          </cell>
          <cell r="B2" t="str">
            <v>WELDMENT, PC4100 R2D SLAVE SKID, PC4100</v>
          </cell>
          <cell r="C2">
            <v>1</v>
          </cell>
        </row>
        <row r="3">
          <cell r="A3" t="str">
            <v>AY30017</v>
          </cell>
          <cell r="B3" t="str">
            <v>WELDMENT, FALSE FLOOR, PC4100</v>
          </cell>
          <cell r="C3">
            <v>2</v>
          </cell>
        </row>
        <row r="4">
          <cell r="A4" t="str">
            <v>AY30018</v>
          </cell>
          <cell r="B4" t="str">
            <v>WELDMENT, HINGED FLOOR, PC4100</v>
          </cell>
          <cell r="C4">
            <v>1</v>
          </cell>
        </row>
        <row r="5">
          <cell r="A5" t="str">
            <v>AY30027</v>
          </cell>
          <cell r="B5" t="str">
            <v>WELDMENT, HINGED FLOOR, PC4100</v>
          </cell>
          <cell r="C5">
            <v>23</v>
          </cell>
        </row>
        <row r="6">
          <cell r="A6" t="str">
            <v>AY30062</v>
          </cell>
          <cell r="B6" t="str">
            <v>WELDMENT, SAFETY BAR, PC4100</v>
          </cell>
          <cell r="C6">
            <v>1</v>
          </cell>
        </row>
        <row r="7">
          <cell r="A7" t="str">
            <v>AY30084</v>
          </cell>
          <cell r="B7" t="str">
            <v>HAND RAIL, WELDMENT, 42" CATWALK, PC4100</v>
          </cell>
          <cell r="C7">
            <v>4</v>
          </cell>
        </row>
        <row r="8">
          <cell r="A8" t="str">
            <v>AY30107</v>
          </cell>
          <cell r="B8" t="str">
            <v>WELDMENT,SKATE BODY, REVERSE VEE,PC4100</v>
          </cell>
          <cell r="C8">
            <v>1</v>
          </cell>
        </row>
        <row r="9">
          <cell r="A9" t="str">
            <v>AY30130</v>
          </cell>
          <cell r="B9" t="str">
            <v>WELDMENT, PC4100, 42' CATWALK, RAMP B</v>
          </cell>
          <cell r="C9">
            <v>0</v>
          </cell>
        </row>
        <row r="10">
          <cell r="A10" t="str">
            <v>AY30133</v>
          </cell>
          <cell r="B10" t="str">
            <v>WELDMENT, RAMP RAIL, PC4100</v>
          </cell>
          <cell r="C10">
            <v>1</v>
          </cell>
        </row>
        <row r="11">
          <cell r="A11" t="str">
            <v>AY30134</v>
          </cell>
          <cell r="B11" t="str">
            <v>WLDMNT, RAMP, SHEAVE SUB B, PC4100</v>
          </cell>
          <cell r="C11">
            <v>1</v>
          </cell>
        </row>
        <row r="12">
          <cell r="A12" t="str">
            <v>AY30144</v>
          </cell>
          <cell r="B12" t="str">
            <v>WELDMENT, 30FT LIFT ARM, PC4100</v>
          </cell>
          <cell r="C12">
            <v>1</v>
          </cell>
        </row>
        <row r="13">
          <cell r="A13" t="str">
            <v>AY30150</v>
          </cell>
          <cell r="B13" t="str">
            <v>WELDMENT, SPEAR FRAME, PC4100</v>
          </cell>
          <cell r="C13">
            <v>1</v>
          </cell>
        </row>
        <row r="14">
          <cell r="A14" t="str">
            <v>AY30160</v>
          </cell>
          <cell r="B14" t="str">
            <v>WELDMENT, 42D CARRIER REAR, PC4100</v>
          </cell>
          <cell r="C14">
            <v>1</v>
          </cell>
        </row>
        <row r="15">
          <cell r="A15" t="str">
            <v>AY50135</v>
          </cell>
          <cell r="B15" t="str">
            <v>KIT, LABELS, SAFETY, ENG/ARA, PC4000</v>
          </cell>
          <cell r="C15">
            <v>1</v>
          </cell>
        </row>
        <row r="16">
          <cell r="A16" t="str">
            <v>AY51606</v>
          </cell>
          <cell r="B16" t="str">
            <v>KIT, SHIPPING BRKTS, LONG,PC4000</v>
          </cell>
          <cell r="C1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V14" sheet="BOM 42D CARRIER REAR_AY3016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8">
      <pivotArea collapsedLevelsAreSubtotals="1" fieldPosition="0">
        <references count="1">
          <reference field="16" count="1">
            <x v="0"/>
          </reference>
        </references>
      </pivotArea>
    </format>
    <format dxfId="77">
      <pivotArea type="origin" dataOnly="0" labelOnly="1" outline="0" fieldPosition="0"/>
    </format>
    <format dxfId="76">
      <pivotArea field="14" type="button" dataOnly="0" labelOnly="1" outline="0" axis="axisCol" fieldPosition="0"/>
    </format>
    <format dxfId="75">
      <pivotArea field="-2" type="button" dataOnly="0" labelOnly="1" outline="0" axis="axisCol" fieldPosition="1"/>
    </format>
    <format dxfId="74">
      <pivotArea type="topRight" dataOnly="0" labelOnly="1" outline="0" fieldPosition="0"/>
    </format>
    <format dxfId="73">
      <pivotArea field="16" type="button" dataOnly="0" labelOnly="1" outline="0" axis="axisRow" fieldPosition="0"/>
    </format>
    <format dxfId="72">
      <pivotArea dataOnly="0" labelOnly="1" fieldPosition="0">
        <references count="1">
          <reference field="16" count="1">
            <x v="0"/>
          </reference>
        </references>
      </pivotArea>
    </format>
    <format dxfId="7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3">
      <pivotArea collapsedLevelsAreSubtotals="1" fieldPosition="0">
        <references count="1">
          <reference field="16" count="0"/>
        </references>
      </pivotArea>
    </format>
    <format dxfId="62">
      <pivotArea grandRow="1" outline="0" collapsedLevelsAreSubtotals="1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4" type="button" dataOnly="0" labelOnly="1" outline="0" axis="axisCol" fieldPosition="0"/>
    </format>
    <format dxfId="57">
      <pivotArea field="-2" type="button" dataOnly="0" labelOnly="1" outline="0" axis="axisCol" fieldPosition="1"/>
    </format>
    <format dxfId="56">
      <pivotArea type="topRight" dataOnly="0" labelOnly="1" outline="0" fieldPosition="0"/>
    </format>
    <format dxfId="55">
      <pivotArea field="16" type="button" dataOnly="0" labelOnly="1" outline="0" axis="axisRow" fieldPosition="0"/>
    </format>
    <format dxfId="54">
      <pivotArea dataOnly="0" labelOnly="1" fieldPosition="0">
        <references count="1">
          <reference field="16" count="0"/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5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4" type="button" dataOnly="0" labelOnly="1" outline="0" axis="axisCol" fieldPosition="0"/>
    </format>
    <format dxfId="40">
      <pivotArea field="-2" type="button" dataOnly="0" labelOnly="1" outline="0" axis="axisCol" fieldPosition="1"/>
    </format>
    <format dxfId="39">
      <pivotArea type="topRight" dataOnly="0" labelOnly="1" outline="0" fieldPosition="0"/>
    </format>
    <format dxfId="38">
      <pivotArea field="16" type="button" dataOnly="0" labelOnly="1" outline="0" axis="axisRow" fieldPosition="0"/>
    </format>
    <format dxfId="3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14" type="button" dataOnly="0" labelOnly="1" outline="0" axis="axisCol" fieldPosition="0"/>
    </format>
    <format dxfId="26">
      <pivotArea field="-2" type="button" dataOnly="0" labelOnly="1" outline="0" axis="axisCol" fieldPosition="1"/>
    </format>
    <format dxfId="25">
      <pivotArea type="topRight" dataOnly="0" labelOnly="1" outline="0" fieldPosition="0"/>
    </format>
    <format dxfId="24">
      <pivotArea field="16" type="button" dataOnly="0" labelOnly="1" outline="0" axis="axisRow" fieldPosition="0"/>
    </format>
    <format dxfId="2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4" type="button" dataOnly="0" labelOnly="1" outline="0" axis="axisCol" fieldPosition="0"/>
    </format>
    <format dxfId="12">
      <pivotArea field="-2" type="button" dataOnly="0" labelOnly="1" outline="0" axis="axisCol" fieldPosition="1"/>
    </format>
    <format dxfId="11">
      <pivotArea type="topRight" dataOnly="0" labelOnly="1" outline="0" fieldPosition="0"/>
    </format>
    <format dxfId="10">
      <pivotArea field="16" type="button" dataOnly="0" labelOnly="1" outline="0" axis="axisRow" fieldPosition="0"/>
    </format>
    <format dxfId="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4">
      <pivotArea collapsedLevelsAreSubtotals="1" fieldPosition="0">
        <references count="1">
          <reference field="16" count="1">
            <x v="0"/>
          </reference>
        </references>
      </pivotArea>
    </format>
    <format dxfId="153">
      <pivotArea type="origin" dataOnly="0" labelOnly="1" outline="0" fieldPosition="0"/>
    </format>
    <format dxfId="152">
      <pivotArea field="14" type="button" dataOnly="0" labelOnly="1" outline="0" axis="axisCol" fieldPosition="0"/>
    </format>
    <format dxfId="151">
      <pivotArea field="-2" type="button" dataOnly="0" labelOnly="1" outline="0" axis="axisCol" fieldPosition="1"/>
    </format>
    <format dxfId="150">
      <pivotArea type="topRight" dataOnly="0" labelOnly="1" outline="0" fieldPosition="0"/>
    </format>
    <format dxfId="149">
      <pivotArea field="16" type="button" dataOnly="0" labelOnly="1" outline="0" axis="axisRow" fieldPosition="0"/>
    </format>
    <format dxfId="148">
      <pivotArea dataOnly="0" labelOnly="1" fieldPosition="0">
        <references count="1">
          <reference field="16" count="1">
            <x v="0"/>
          </reference>
        </references>
      </pivotArea>
    </format>
    <format dxfId="14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9">
      <pivotArea collapsedLevelsAreSubtotals="1" fieldPosition="0">
        <references count="1">
          <reference field="16" count="0"/>
        </references>
      </pivotArea>
    </format>
    <format dxfId="138">
      <pivotArea grandRow="1" outline="0" collapsedLevelsAreSubtotals="1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14" type="button" dataOnly="0" labelOnly="1" outline="0" axis="axisCol" fieldPosition="0"/>
    </format>
    <format dxfId="133">
      <pivotArea field="-2" type="button" dataOnly="0" labelOnly="1" outline="0" axis="axisCol" fieldPosition="1"/>
    </format>
    <format dxfId="132">
      <pivotArea type="topRight" dataOnly="0" labelOnly="1" outline="0" fieldPosition="0"/>
    </format>
    <format dxfId="131">
      <pivotArea field="16" type="button" dataOnly="0" labelOnly="1" outline="0" axis="axisRow" fieldPosition="0"/>
    </format>
    <format dxfId="130">
      <pivotArea dataOnly="0" labelOnly="1" fieldPosition="0">
        <references count="1">
          <reference field="16" count="0"/>
        </references>
      </pivotArea>
    </format>
    <format dxfId="129">
      <pivotArea dataOnly="0" labelOnly="1" grandRow="1" outline="0" fieldPosition="0"/>
    </format>
    <format dxfId="12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14" type="button" dataOnly="0" labelOnly="1" outline="0" axis="axisCol" fieldPosition="0"/>
    </format>
    <format dxfId="116">
      <pivotArea field="-2" type="button" dataOnly="0" labelOnly="1" outline="0" axis="axisCol" fieldPosition="1"/>
    </format>
    <format dxfId="115">
      <pivotArea type="topRight" dataOnly="0" labelOnly="1" outline="0" fieldPosition="0"/>
    </format>
    <format dxfId="114">
      <pivotArea field="16" type="button" dataOnly="0" labelOnly="1" outline="0" axis="axisRow" fieldPosition="0"/>
    </format>
    <format dxfId="11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1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14" type="button" dataOnly="0" labelOnly="1" outline="0" axis="axisCol" fieldPosition="0"/>
    </format>
    <format dxfId="102">
      <pivotArea field="-2" type="button" dataOnly="0" labelOnly="1" outline="0" axis="axisCol" fieldPosition="1"/>
    </format>
    <format dxfId="101">
      <pivotArea type="topRight" dataOnly="0" labelOnly="1" outline="0" fieldPosition="0"/>
    </format>
    <format dxfId="100">
      <pivotArea field="16" type="button" dataOnly="0" labelOnly="1" outline="0" axis="axisRow" fieldPosition="0"/>
    </format>
    <format dxfId="9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14" type="button" dataOnly="0" labelOnly="1" outline="0" axis="axisCol" fieldPosition="0"/>
    </format>
    <format dxfId="88">
      <pivotArea field="-2" type="button" dataOnly="0" labelOnly="1" outline="0" axis="axisCol" fieldPosition="1"/>
    </format>
    <format dxfId="87">
      <pivotArea type="topRight" dataOnly="0" labelOnly="1" outline="0" fieldPosition="0"/>
    </format>
    <format dxfId="86">
      <pivotArea field="16" type="button" dataOnly="0" labelOnly="1" outline="0" axis="axisRow" fieldPosition="0"/>
    </format>
    <format dxfId="8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30">
      <pivotArea collapsedLevelsAreSubtotals="1" fieldPosition="0">
        <references count="1">
          <reference field="16" count="1">
            <x v="0"/>
          </reference>
        </references>
      </pivotArea>
    </format>
    <format dxfId="229">
      <pivotArea type="origin" dataOnly="0" labelOnly="1" outline="0" fieldPosition="0"/>
    </format>
    <format dxfId="228">
      <pivotArea field="14" type="button" dataOnly="0" labelOnly="1" outline="0" axis="axisCol" fieldPosition="0"/>
    </format>
    <format dxfId="227">
      <pivotArea field="-2" type="button" dataOnly="0" labelOnly="1" outline="0" axis="axisCol" fieldPosition="1"/>
    </format>
    <format dxfId="226">
      <pivotArea type="topRight" dataOnly="0" labelOnly="1" outline="0" fieldPosition="0"/>
    </format>
    <format dxfId="225">
      <pivotArea field="16" type="button" dataOnly="0" labelOnly="1" outline="0" axis="axisRow" fieldPosition="0"/>
    </format>
    <format dxfId="224">
      <pivotArea dataOnly="0" labelOnly="1" fieldPosition="0">
        <references count="1">
          <reference field="16" count="1">
            <x v="0"/>
          </reference>
        </references>
      </pivotArea>
    </format>
    <format dxfId="22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5">
      <pivotArea collapsedLevelsAreSubtotals="1" fieldPosition="0">
        <references count="1">
          <reference field="16" count="0"/>
        </references>
      </pivotArea>
    </format>
    <format dxfId="214">
      <pivotArea grandRow="1" outline="0" collapsedLevelsAreSubtotals="1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type="origin" dataOnly="0" labelOnly="1" outline="0" fieldPosition="0"/>
    </format>
    <format dxfId="210">
      <pivotArea field="14" type="button" dataOnly="0" labelOnly="1" outline="0" axis="axisCol" fieldPosition="0"/>
    </format>
    <format dxfId="209">
      <pivotArea field="-2" type="button" dataOnly="0" labelOnly="1" outline="0" axis="axisCol" fieldPosition="1"/>
    </format>
    <format dxfId="208">
      <pivotArea type="topRight" dataOnly="0" labelOnly="1" outline="0" fieldPosition="0"/>
    </format>
    <format dxfId="207">
      <pivotArea field="16" type="button" dataOnly="0" labelOnly="1" outline="0" axis="axisRow" fieldPosition="0"/>
    </format>
    <format dxfId="206">
      <pivotArea dataOnly="0" labelOnly="1" fieldPosition="0">
        <references count="1">
          <reference field="16" count="0"/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0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14" type="button" dataOnly="0" labelOnly="1" outline="0" axis="axisCol" fieldPosition="0"/>
    </format>
    <format dxfId="192">
      <pivotArea field="-2" type="button" dataOnly="0" labelOnly="1" outline="0" axis="axisCol" fieldPosition="1"/>
    </format>
    <format dxfId="191">
      <pivotArea type="topRight" dataOnly="0" labelOnly="1" outline="0" fieldPosition="0"/>
    </format>
    <format dxfId="190">
      <pivotArea field="16" type="button" dataOnly="0" labelOnly="1" outline="0" axis="axisRow" fieldPosition="0"/>
    </format>
    <format dxfId="18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type="origin" dataOnly="0" labelOnly="1" outline="0" fieldPosition="0"/>
    </format>
    <format dxfId="179">
      <pivotArea field="14" type="button" dataOnly="0" labelOnly="1" outline="0" axis="axisCol" fieldPosition="0"/>
    </format>
    <format dxfId="178">
      <pivotArea field="-2" type="button" dataOnly="0" labelOnly="1" outline="0" axis="axisCol" fieldPosition="1"/>
    </format>
    <format dxfId="177">
      <pivotArea type="topRight" dataOnly="0" labelOnly="1" outline="0" fieldPosition="0"/>
    </format>
    <format dxfId="176">
      <pivotArea field="16" type="button" dataOnly="0" labelOnly="1" outline="0" axis="axisRow" fieldPosition="0"/>
    </format>
    <format dxfId="17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4">
      <pivotArea dataOnly="0" labelOnly="1" grandRow="1" outline="0" fieldPosition="0"/>
    </format>
    <format dxfId="17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type="origin" dataOnly="0" labelOnly="1" outline="0" fieldPosition="0"/>
    </format>
    <format dxfId="165">
      <pivotArea field="14" type="button" dataOnly="0" labelOnly="1" outline="0" axis="axisCol" fieldPosition="0"/>
    </format>
    <format dxfId="164">
      <pivotArea field="-2" type="button" dataOnly="0" labelOnly="1" outline="0" axis="axisCol" fieldPosition="1"/>
    </format>
    <format dxfId="163">
      <pivotArea type="topRight" dataOnly="0" labelOnly="1" outline="0" fieldPosition="0"/>
    </format>
    <format dxfId="162">
      <pivotArea field="16" type="button" dataOnly="0" labelOnly="1" outline="0" axis="axisRow" fieldPosition="0"/>
    </format>
    <format dxfId="16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60">
      <pivotArea dataOnly="0" labelOnly="1" grandRow="1" outline="0" fieldPosition="0"/>
    </format>
    <format dxfId="15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6">
      <pivotArea collapsedLevelsAreSubtotals="1" fieldPosition="0">
        <references count="1">
          <reference field="16" count="1">
            <x v="0"/>
          </reference>
        </references>
      </pivotArea>
    </format>
    <format dxfId="305">
      <pivotArea type="origin" dataOnly="0" labelOnly="1" outline="0" fieldPosition="0"/>
    </format>
    <format dxfId="304">
      <pivotArea field="14" type="button" dataOnly="0" labelOnly="1" outline="0" axis="axisCol" fieldPosition="0"/>
    </format>
    <format dxfId="303">
      <pivotArea field="-2" type="button" dataOnly="0" labelOnly="1" outline="0" axis="axisCol" fieldPosition="1"/>
    </format>
    <format dxfId="302">
      <pivotArea type="topRight" dataOnly="0" labelOnly="1" outline="0" fieldPosition="0"/>
    </format>
    <format dxfId="301">
      <pivotArea field="16" type="button" dataOnly="0" labelOnly="1" outline="0" axis="axisRow" fieldPosition="0"/>
    </format>
    <format dxfId="300">
      <pivotArea dataOnly="0" labelOnly="1" fieldPosition="0">
        <references count="1">
          <reference field="16" count="1">
            <x v="0"/>
          </reference>
        </references>
      </pivotArea>
    </format>
    <format dxfId="29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91">
      <pivotArea collapsedLevelsAreSubtotals="1" fieldPosition="0">
        <references count="1">
          <reference field="16" count="0"/>
        </references>
      </pivotArea>
    </format>
    <format dxfId="290">
      <pivotArea grandRow="1" outline="0" collapsedLevelsAreSubtotals="1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type="origin" dataOnly="0" labelOnly="1" outline="0" fieldPosition="0"/>
    </format>
    <format dxfId="286">
      <pivotArea field="14" type="button" dataOnly="0" labelOnly="1" outline="0" axis="axisCol" fieldPosition="0"/>
    </format>
    <format dxfId="285">
      <pivotArea field="-2" type="button" dataOnly="0" labelOnly="1" outline="0" axis="axisCol" fieldPosition="1"/>
    </format>
    <format dxfId="284">
      <pivotArea type="topRight" dataOnly="0" labelOnly="1" outline="0" fieldPosition="0"/>
    </format>
    <format dxfId="283">
      <pivotArea field="16" type="button" dataOnly="0" labelOnly="1" outline="0" axis="axisRow" fieldPosition="0"/>
    </format>
    <format dxfId="282">
      <pivotArea dataOnly="0" labelOnly="1" fieldPosition="0">
        <references count="1">
          <reference field="16" count="0"/>
        </references>
      </pivotArea>
    </format>
    <format dxfId="281">
      <pivotArea dataOnly="0" labelOnly="1" grandRow="1" outline="0" fieldPosition="0"/>
    </format>
    <format dxfId="28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type="origin" dataOnly="0" labelOnly="1" outline="0" fieldPosition="0"/>
    </format>
    <format dxfId="269">
      <pivotArea field="14" type="button" dataOnly="0" labelOnly="1" outline="0" axis="axisCol" fieldPosition="0"/>
    </format>
    <format dxfId="268">
      <pivotArea field="-2" type="button" dataOnly="0" labelOnly="1" outline="0" axis="axisCol" fieldPosition="1"/>
    </format>
    <format dxfId="267">
      <pivotArea type="topRight" dataOnly="0" labelOnly="1" outline="0" fieldPosition="0"/>
    </format>
    <format dxfId="266">
      <pivotArea field="16" type="button" dataOnly="0" labelOnly="1" outline="0" axis="axisRow" fieldPosition="0"/>
    </format>
    <format dxfId="26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type="origin" dataOnly="0" labelOnly="1" outline="0" fieldPosition="0"/>
    </format>
    <format dxfId="255">
      <pivotArea field="14" type="button" dataOnly="0" labelOnly="1" outline="0" axis="axisCol" fieldPosition="0"/>
    </format>
    <format dxfId="254">
      <pivotArea field="-2" type="button" dataOnly="0" labelOnly="1" outline="0" axis="axisCol" fieldPosition="1"/>
    </format>
    <format dxfId="253">
      <pivotArea type="topRight" dataOnly="0" labelOnly="1" outline="0" fieldPosition="0"/>
    </format>
    <format dxfId="252">
      <pivotArea field="16" type="button" dataOnly="0" labelOnly="1" outline="0" axis="axisRow" fieldPosition="0"/>
    </format>
    <format dxfId="25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type="origin" dataOnly="0" labelOnly="1" outline="0" fieldPosition="0"/>
    </format>
    <format dxfId="241">
      <pivotArea field="14" type="button" dataOnly="0" labelOnly="1" outline="0" axis="axisCol" fieldPosition="0"/>
    </format>
    <format dxfId="240">
      <pivotArea field="-2" type="button" dataOnly="0" labelOnly="1" outline="0" axis="axisCol" fieldPosition="1"/>
    </format>
    <format dxfId="239">
      <pivotArea type="topRight" dataOnly="0" labelOnly="1" outline="0" fieldPosition="0"/>
    </format>
    <format dxfId="238">
      <pivotArea field="16" type="button" dataOnly="0" labelOnly="1" outline="0" axis="axisRow" fieldPosition="0"/>
    </format>
    <format dxfId="23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6">
      <pivotArea dataOnly="0" labelOnly="1" grandRow="1" outline="0" fieldPosition="0"/>
    </format>
    <format dxfId="23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3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2">
      <pivotArea collapsedLevelsAreSubtotals="1" fieldPosition="0">
        <references count="1">
          <reference field="16" count="1">
            <x v="0"/>
          </reference>
        </references>
      </pivotArea>
    </format>
    <format dxfId="381">
      <pivotArea type="origin" dataOnly="0" labelOnly="1" outline="0" fieldPosition="0"/>
    </format>
    <format dxfId="380">
      <pivotArea field="14" type="button" dataOnly="0" labelOnly="1" outline="0" axis="axisCol" fieldPosition="0"/>
    </format>
    <format dxfId="379">
      <pivotArea field="-2" type="button" dataOnly="0" labelOnly="1" outline="0" axis="axisCol" fieldPosition="1"/>
    </format>
    <format dxfId="378">
      <pivotArea type="topRight" dataOnly="0" labelOnly="1" outline="0" fieldPosition="0"/>
    </format>
    <format dxfId="377">
      <pivotArea field="16" type="button" dataOnly="0" labelOnly="1" outline="0" axis="axisRow" fieldPosition="0"/>
    </format>
    <format dxfId="376">
      <pivotArea dataOnly="0" labelOnly="1" fieldPosition="0">
        <references count="1">
          <reference field="16" count="1">
            <x v="0"/>
          </reference>
        </references>
      </pivotArea>
    </format>
    <format dxfId="37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7">
      <pivotArea collapsedLevelsAreSubtotals="1" fieldPosition="0">
        <references count="1">
          <reference field="16" count="0"/>
        </references>
      </pivotArea>
    </format>
    <format dxfId="366">
      <pivotArea grandRow="1" outline="0" collapsedLevelsAreSubtotals="1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type="origin" dataOnly="0" labelOnly="1" outline="0" fieldPosition="0"/>
    </format>
    <format dxfId="362">
      <pivotArea field="14" type="button" dataOnly="0" labelOnly="1" outline="0" axis="axisCol" fieldPosition="0"/>
    </format>
    <format dxfId="361">
      <pivotArea field="-2" type="button" dataOnly="0" labelOnly="1" outline="0" axis="axisCol" fieldPosition="1"/>
    </format>
    <format dxfId="360">
      <pivotArea type="topRight" dataOnly="0" labelOnly="1" outline="0" fieldPosition="0"/>
    </format>
    <format dxfId="359">
      <pivotArea field="16" type="button" dataOnly="0" labelOnly="1" outline="0" axis="axisRow" fieldPosition="0"/>
    </format>
    <format dxfId="358">
      <pivotArea dataOnly="0" labelOnly="1" fieldPosition="0">
        <references count="1">
          <reference field="16" count="0"/>
        </references>
      </pivotArea>
    </format>
    <format dxfId="357">
      <pivotArea dataOnly="0" labelOnly="1" grandRow="1" outline="0" fieldPosition="0"/>
    </format>
    <format dxfId="35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type="origin" dataOnly="0" labelOnly="1" outline="0" fieldPosition="0"/>
    </format>
    <format dxfId="345">
      <pivotArea field="14" type="button" dataOnly="0" labelOnly="1" outline="0" axis="axisCol" fieldPosition="0"/>
    </format>
    <format dxfId="344">
      <pivotArea field="-2" type="button" dataOnly="0" labelOnly="1" outline="0" axis="axisCol" fieldPosition="1"/>
    </format>
    <format dxfId="343">
      <pivotArea type="topRight" dataOnly="0" labelOnly="1" outline="0" fieldPosition="0"/>
    </format>
    <format dxfId="342">
      <pivotArea field="16" type="button" dataOnly="0" labelOnly="1" outline="0" axis="axisRow" fieldPosition="0"/>
    </format>
    <format dxfId="34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0">
      <pivotArea dataOnly="0" labelOnly="1" grandRow="1" outline="0" fieldPosition="0"/>
    </format>
    <format dxfId="33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type="origin" dataOnly="0" labelOnly="1" outline="0" fieldPosition="0"/>
    </format>
    <format dxfId="331">
      <pivotArea field="14" type="button" dataOnly="0" labelOnly="1" outline="0" axis="axisCol" fieldPosition="0"/>
    </format>
    <format dxfId="330">
      <pivotArea field="-2" type="button" dataOnly="0" labelOnly="1" outline="0" axis="axisCol" fieldPosition="1"/>
    </format>
    <format dxfId="329">
      <pivotArea type="topRight" dataOnly="0" labelOnly="1" outline="0" fieldPosition="0"/>
    </format>
    <format dxfId="328">
      <pivotArea field="16" type="button" dataOnly="0" labelOnly="1" outline="0" axis="axisRow" fieldPosition="0"/>
    </format>
    <format dxfId="32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6">
      <pivotArea dataOnly="0" labelOnly="1" grandRow="1" outline="0" fieldPosition="0"/>
    </format>
    <format dxfId="32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type="origin" dataOnly="0" labelOnly="1" outline="0" fieldPosition="0"/>
    </format>
    <format dxfId="317">
      <pivotArea field="14" type="button" dataOnly="0" labelOnly="1" outline="0" axis="axisCol" fieldPosition="0"/>
    </format>
    <format dxfId="316">
      <pivotArea field="-2" type="button" dataOnly="0" labelOnly="1" outline="0" axis="axisCol" fieldPosition="1"/>
    </format>
    <format dxfId="315">
      <pivotArea type="topRight" dataOnly="0" labelOnly="1" outline="0" fieldPosition="0"/>
    </format>
    <format dxfId="314">
      <pivotArea field="16" type="button" dataOnly="0" labelOnly="1" outline="0" axis="axisRow" fieldPosition="0"/>
    </format>
    <format dxfId="31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2">
      <pivotArea dataOnly="0" labelOnly="1" grandRow="1" outline="0" fieldPosition="0"/>
    </format>
    <format dxfId="31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1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8">
      <pivotArea collapsedLevelsAreSubtotals="1" fieldPosition="0">
        <references count="1">
          <reference field="16" count="1">
            <x v="0"/>
          </reference>
        </references>
      </pivotArea>
    </format>
    <format dxfId="457">
      <pivotArea type="origin" dataOnly="0" labelOnly="1" outline="0" fieldPosition="0"/>
    </format>
    <format dxfId="456">
      <pivotArea field="14" type="button" dataOnly="0" labelOnly="1" outline="0" axis="axisCol" fieldPosition="0"/>
    </format>
    <format dxfId="455">
      <pivotArea field="-2" type="button" dataOnly="0" labelOnly="1" outline="0" axis="axisCol" fieldPosition="1"/>
    </format>
    <format dxfId="454">
      <pivotArea type="topRight" dataOnly="0" labelOnly="1" outline="0" fieldPosition="0"/>
    </format>
    <format dxfId="453">
      <pivotArea field="16" type="button" dataOnly="0" labelOnly="1" outline="0" axis="axisRow" fieldPosition="0"/>
    </format>
    <format dxfId="452">
      <pivotArea dataOnly="0" labelOnly="1" fieldPosition="0">
        <references count="1">
          <reference field="16" count="1">
            <x v="0"/>
          </reference>
        </references>
      </pivotArea>
    </format>
    <format dxfId="45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5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3">
      <pivotArea collapsedLevelsAreSubtotals="1" fieldPosition="0">
        <references count="1">
          <reference field="16" count="0"/>
        </references>
      </pivotArea>
    </format>
    <format dxfId="442">
      <pivotArea grandRow="1" outline="0" collapsedLevelsAreSubtotals="1" fieldPosition="0"/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origin" dataOnly="0" labelOnly="1" outline="0" fieldPosition="0"/>
    </format>
    <format dxfId="438">
      <pivotArea field="14" type="button" dataOnly="0" labelOnly="1" outline="0" axis="axisCol" fieldPosition="0"/>
    </format>
    <format dxfId="437">
      <pivotArea field="-2" type="button" dataOnly="0" labelOnly="1" outline="0" axis="axisCol" fieldPosition="1"/>
    </format>
    <format dxfId="436">
      <pivotArea type="topRight" dataOnly="0" labelOnly="1" outline="0" fieldPosition="0"/>
    </format>
    <format dxfId="435">
      <pivotArea field="16" type="button" dataOnly="0" labelOnly="1" outline="0" axis="axisRow" fieldPosition="0"/>
    </format>
    <format dxfId="434">
      <pivotArea dataOnly="0" labelOnly="1" fieldPosition="0">
        <references count="1">
          <reference field="16" count="0"/>
        </references>
      </pivotArea>
    </format>
    <format dxfId="433">
      <pivotArea dataOnly="0" labelOnly="1" grandRow="1" outline="0" fieldPosition="0"/>
    </format>
    <format dxfId="43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3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type="origin" dataOnly="0" labelOnly="1" outline="0" fieldPosition="0"/>
    </format>
    <format dxfId="421">
      <pivotArea field="14" type="button" dataOnly="0" labelOnly="1" outline="0" axis="axisCol" fieldPosition="0"/>
    </format>
    <format dxfId="420">
      <pivotArea field="-2" type="button" dataOnly="0" labelOnly="1" outline="0" axis="axisCol" fieldPosition="1"/>
    </format>
    <format dxfId="419">
      <pivotArea type="topRight" dataOnly="0" labelOnly="1" outline="0" fieldPosition="0"/>
    </format>
    <format dxfId="418">
      <pivotArea field="16" type="button" dataOnly="0" labelOnly="1" outline="0" axis="axisRow" fieldPosition="0"/>
    </format>
    <format dxfId="41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6">
      <pivotArea dataOnly="0" labelOnly="1" grandRow="1" outline="0" fieldPosition="0"/>
    </format>
    <format dxfId="41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1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type="origin" dataOnly="0" labelOnly="1" outline="0" fieldPosition="0"/>
    </format>
    <format dxfId="407">
      <pivotArea field="14" type="button" dataOnly="0" labelOnly="1" outline="0" axis="axisCol" fieldPosition="0"/>
    </format>
    <format dxfId="406">
      <pivotArea field="-2" type="button" dataOnly="0" labelOnly="1" outline="0" axis="axisCol" fieldPosition="1"/>
    </format>
    <format dxfId="405">
      <pivotArea type="topRight" dataOnly="0" labelOnly="1" outline="0" fieldPosition="0"/>
    </format>
    <format dxfId="404">
      <pivotArea field="16" type="button" dataOnly="0" labelOnly="1" outline="0" axis="axisRow" fieldPosition="0"/>
    </format>
    <format dxfId="40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2">
      <pivotArea dataOnly="0" labelOnly="1" grandRow="1" outline="0" fieldPosition="0"/>
    </format>
    <format dxfId="40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0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14" type="button" dataOnly="0" labelOnly="1" outline="0" axis="axisCol" fieldPosition="0"/>
    </format>
    <format dxfId="392">
      <pivotArea field="-2" type="button" dataOnly="0" labelOnly="1" outline="0" axis="axisCol" fieldPosition="1"/>
    </format>
    <format dxfId="391">
      <pivotArea type="topRight" dataOnly="0" labelOnly="1" outline="0" fieldPosition="0"/>
    </format>
    <format dxfId="390">
      <pivotArea field="16" type="button" dataOnly="0" labelOnly="1" outline="0" axis="axisRow" fieldPosition="0"/>
    </format>
    <format dxfId="38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8">
      <pivotArea dataOnly="0" labelOnly="1" grandRow="1" outline="0" fieldPosition="0"/>
    </format>
    <format dxfId="38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zoomScale="115" zoomScaleNormal="115" workbookViewId="0">
      <selection activeCell="C16" sqref="C16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06" t="s">
        <v>217</v>
      </c>
      <c r="B1" s="406" t="s">
        <v>218</v>
      </c>
      <c r="C1" s="406" t="s">
        <v>219</v>
      </c>
    </row>
    <row r="2" spans="1:3" x14ac:dyDescent="0.25">
      <c r="A2" s="405" t="s">
        <v>220</v>
      </c>
      <c r="B2" s="405" t="s">
        <v>221</v>
      </c>
      <c r="C2" s="405">
        <v>1</v>
      </c>
    </row>
    <row r="3" spans="1:3" x14ac:dyDescent="0.25">
      <c r="A3" s="405" t="s">
        <v>222</v>
      </c>
      <c r="B3" s="405" t="s">
        <v>223</v>
      </c>
      <c r="C3" s="405">
        <v>2</v>
      </c>
    </row>
    <row r="4" spans="1:3" x14ac:dyDescent="0.25">
      <c r="A4" s="405" t="s">
        <v>224</v>
      </c>
      <c r="B4" s="405" t="s">
        <v>225</v>
      </c>
      <c r="C4" s="405">
        <v>1</v>
      </c>
    </row>
    <row r="5" spans="1:3" x14ac:dyDescent="0.25">
      <c r="A5" s="405" t="s">
        <v>226</v>
      </c>
      <c r="B5" s="405" t="s">
        <v>225</v>
      </c>
      <c r="C5" s="405">
        <v>23</v>
      </c>
    </row>
    <row r="6" spans="1:3" x14ac:dyDescent="0.25">
      <c r="A6" s="405" t="s">
        <v>227</v>
      </c>
      <c r="B6" s="405" t="s">
        <v>228</v>
      </c>
      <c r="C6" s="405">
        <v>1</v>
      </c>
    </row>
    <row r="7" spans="1:3" x14ac:dyDescent="0.25">
      <c r="A7" s="405" t="s">
        <v>229</v>
      </c>
      <c r="B7" s="405" t="s">
        <v>230</v>
      </c>
      <c r="C7" s="405">
        <v>4</v>
      </c>
    </row>
    <row r="8" spans="1:3" x14ac:dyDescent="0.25">
      <c r="A8" s="405" t="s">
        <v>231</v>
      </c>
      <c r="B8" s="405" t="s">
        <v>232</v>
      </c>
      <c r="C8" s="405">
        <v>1</v>
      </c>
    </row>
    <row r="9" spans="1:3" x14ac:dyDescent="0.25">
      <c r="A9" s="405" t="s">
        <v>233</v>
      </c>
      <c r="B9" s="405" t="s">
        <v>234</v>
      </c>
      <c r="C9" s="405">
        <v>0</v>
      </c>
    </row>
    <row r="10" spans="1:3" x14ac:dyDescent="0.25">
      <c r="A10" s="405" t="s">
        <v>235</v>
      </c>
      <c r="B10" s="405" t="s">
        <v>236</v>
      </c>
      <c r="C10" s="405">
        <v>1</v>
      </c>
    </row>
    <row r="11" spans="1:3" x14ac:dyDescent="0.25">
      <c r="A11" s="405" t="s">
        <v>237</v>
      </c>
      <c r="B11" s="405" t="s">
        <v>238</v>
      </c>
      <c r="C11" s="405">
        <v>1</v>
      </c>
    </row>
    <row r="12" spans="1:3" x14ac:dyDescent="0.25">
      <c r="A12" s="405" t="s">
        <v>239</v>
      </c>
      <c r="B12" s="405" t="s">
        <v>240</v>
      </c>
      <c r="C12" s="405">
        <v>1</v>
      </c>
    </row>
    <row r="13" spans="1:3" x14ac:dyDescent="0.25">
      <c r="A13" s="405" t="s">
        <v>241</v>
      </c>
      <c r="B13" s="405" t="s">
        <v>242</v>
      </c>
      <c r="C13" s="405">
        <v>1</v>
      </c>
    </row>
    <row r="14" spans="1:3" x14ac:dyDescent="0.25">
      <c r="A14" s="405" t="s">
        <v>243</v>
      </c>
      <c r="B14" s="405" t="s">
        <v>244</v>
      </c>
      <c r="C14" s="405">
        <v>1</v>
      </c>
    </row>
    <row r="15" spans="1:3" x14ac:dyDescent="0.25">
      <c r="A15" s="405" t="s">
        <v>245</v>
      </c>
      <c r="B15" s="405" t="s">
        <v>246</v>
      </c>
      <c r="C15" s="405">
        <v>1</v>
      </c>
    </row>
    <row r="16" spans="1:3" x14ac:dyDescent="0.25">
      <c r="A16" s="405" t="s">
        <v>247</v>
      </c>
      <c r="B16" s="405" t="s">
        <v>248</v>
      </c>
      <c r="C16" s="4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2"/>
    <col min="2" max="2" width="37.7109375" style="212" customWidth="1"/>
    <col min="3" max="3" width="18" style="347" customWidth="1"/>
    <col min="4" max="5" width="15" style="346" bestFit="1" customWidth="1"/>
    <col min="6" max="6" width="7.7109375" style="212"/>
    <col min="7" max="7" width="11.140625" style="212" bestFit="1" customWidth="1"/>
    <col min="8" max="8" width="10.42578125" style="212" bestFit="1" customWidth="1"/>
    <col min="9" max="9" width="12.42578125" style="212" bestFit="1" customWidth="1"/>
    <col min="10" max="16384" width="7.7109375" style="212"/>
  </cols>
  <sheetData>
    <row r="1" spans="1:5" ht="18.75" customHeight="1" thickBot="1" x14ac:dyDescent="0.35">
      <c r="A1" s="411" t="s">
        <v>91</v>
      </c>
      <c r="B1" s="412"/>
      <c r="C1" s="413"/>
      <c r="D1" s="414" t="s">
        <v>185</v>
      </c>
      <c r="E1" s="415"/>
    </row>
    <row r="2" spans="1:5" x14ac:dyDescent="0.25">
      <c r="A2" s="416"/>
      <c r="B2" s="417"/>
      <c r="C2" s="417"/>
      <c r="D2" s="213" t="s">
        <v>186</v>
      </c>
      <c r="E2" s="214" t="s">
        <v>8</v>
      </c>
    </row>
    <row r="3" spans="1:5" ht="18" customHeight="1" x14ac:dyDescent="0.25">
      <c r="A3" s="418"/>
      <c r="B3" s="419"/>
      <c r="C3" s="419"/>
      <c r="D3" s="215" t="str">
        <f>'BOM 42D CARRIER REAR_AY3016'!G3</f>
        <v>AY30013</v>
      </c>
      <c r="E3" s="216">
        <v>5</v>
      </c>
    </row>
    <row r="4" spans="1:5" x14ac:dyDescent="0.25">
      <c r="A4" s="217" t="s">
        <v>92</v>
      </c>
      <c r="B4" s="218" t="s">
        <v>93</v>
      </c>
      <c r="C4" s="219"/>
      <c r="D4" s="217" t="s">
        <v>94</v>
      </c>
      <c r="E4" s="220" t="s">
        <v>95</v>
      </c>
    </row>
    <row r="5" spans="1:5" x14ac:dyDescent="0.25">
      <c r="A5" s="221" t="s">
        <v>96</v>
      </c>
      <c r="B5" s="222" t="s">
        <v>97</v>
      </c>
      <c r="C5" s="223"/>
      <c r="D5" s="224">
        <f>Summary!G8</f>
        <v>228.15241569999998</v>
      </c>
      <c r="E5" s="225"/>
    </row>
    <row r="6" spans="1:5" x14ac:dyDescent="0.25">
      <c r="A6" s="221" t="s">
        <v>98</v>
      </c>
      <c r="B6" s="222" t="s">
        <v>99</v>
      </c>
      <c r="C6" s="226"/>
      <c r="D6" s="224">
        <f>Summary!G9</f>
        <v>167.2130176</v>
      </c>
      <c r="E6" s="225"/>
    </row>
    <row r="7" spans="1:5" x14ac:dyDescent="0.25">
      <c r="A7" s="227" t="s">
        <v>100</v>
      </c>
      <c r="B7" s="228" t="s">
        <v>187</v>
      </c>
      <c r="C7" s="229"/>
      <c r="D7" s="230"/>
      <c r="E7" s="231">
        <f>Summary!G13</f>
        <v>18585.922852599997</v>
      </c>
    </row>
    <row r="8" spans="1:5" ht="16.5" thickBot="1" x14ac:dyDescent="0.3">
      <c r="A8" s="227" t="s">
        <v>101</v>
      </c>
      <c r="B8" s="228" t="s">
        <v>102</v>
      </c>
      <c r="C8" s="229" t="s">
        <v>201</v>
      </c>
      <c r="D8" s="232"/>
      <c r="E8" s="233">
        <v>0</v>
      </c>
    </row>
    <row r="9" spans="1:5" ht="16.5" thickBot="1" x14ac:dyDescent="0.3">
      <c r="A9" s="234"/>
      <c r="B9" s="235" t="s">
        <v>103</v>
      </c>
      <c r="C9" s="236"/>
      <c r="D9" s="237"/>
      <c r="E9" s="238">
        <f>SUM(E7:E8)</f>
        <v>18585.922852599997</v>
      </c>
    </row>
    <row r="10" spans="1:5" ht="16.5" thickBot="1" x14ac:dyDescent="0.3">
      <c r="A10" s="239"/>
      <c r="B10" s="240"/>
      <c r="C10" s="241"/>
      <c r="D10" s="242">
        <f>(D5-D6)/D6</f>
        <v>0.36444171018895588</v>
      </c>
      <c r="E10" s="243"/>
    </row>
    <row r="11" spans="1:5" x14ac:dyDescent="0.25">
      <c r="A11" s="244" t="s">
        <v>104</v>
      </c>
      <c r="B11" s="245" t="s">
        <v>105</v>
      </c>
      <c r="C11" s="246"/>
      <c r="D11" s="247"/>
      <c r="E11" s="248"/>
    </row>
    <row r="12" spans="1:5" x14ac:dyDescent="0.25">
      <c r="A12" s="221" t="s">
        <v>96</v>
      </c>
      <c r="B12" s="249" t="s">
        <v>106</v>
      </c>
      <c r="C12" s="250">
        <v>0</v>
      </c>
      <c r="D12" s="221"/>
      <c r="E12" s="233">
        <v>0</v>
      </c>
    </row>
    <row r="13" spans="1:5" x14ac:dyDescent="0.25">
      <c r="A13" s="221" t="s">
        <v>98</v>
      </c>
      <c r="B13" s="249" t="s">
        <v>107</v>
      </c>
      <c r="C13" s="250">
        <v>0</v>
      </c>
      <c r="D13" s="221"/>
      <c r="E13" s="251">
        <f>Summary!F33</f>
        <v>6034.8547667087723</v>
      </c>
    </row>
    <row r="14" spans="1:5" x14ac:dyDescent="0.25">
      <c r="A14" s="221" t="s">
        <v>100</v>
      </c>
      <c r="B14" s="249" t="s">
        <v>108</v>
      </c>
      <c r="C14" s="250">
        <v>0</v>
      </c>
      <c r="D14" s="221"/>
      <c r="E14" s="233">
        <f>D6*20</f>
        <v>3344.2603520000002</v>
      </c>
    </row>
    <row r="15" spans="1:5" x14ac:dyDescent="0.25">
      <c r="A15" s="221" t="s">
        <v>101</v>
      </c>
      <c r="B15" s="249" t="s">
        <v>109</v>
      </c>
      <c r="C15" s="250">
        <v>0</v>
      </c>
      <c r="D15" s="221"/>
      <c r="E15" s="233">
        <f>D6*12</f>
        <v>2006.5562112</v>
      </c>
    </row>
    <row r="16" spans="1:5" x14ac:dyDescent="0.25">
      <c r="A16" s="252" t="s">
        <v>110</v>
      </c>
      <c r="B16" s="249" t="s">
        <v>188</v>
      </c>
      <c r="C16" s="250" t="s">
        <v>200</v>
      </c>
      <c r="D16" s="221"/>
      <c r="E16" s="233">
        <v>0</v>
      </c>
    </row>
    <row r="17" spans="1:5" ht="16.5" thickBot="1" x14ac:dyDescent="0.3">
      <c r="A17" s="253"/>
      <c r="B17" s="254" t="s">
        <v>111</v>
      </c>
      <c r="C17" s="255"/>
      <c r="D17" s="256"/>
      <c r="E17" s="257">
        <f>SUM(E9:E16)</f>
        <v>29971.594182508772</v>
      </c>
    </row>
    <row r="18" spans="1:5" ht="16.5" thickBot="1" x14ac:dyDescent="0.3">
      <c r="A18" s="258"/>
      <c r="B18" s="240"/>
      <c r="C18" s="241"/>
      <c r="D18" s="259"/>
      <c r="E18" s="243"/>
    </row>
    <row r="19" spans="1:5" x14ac:dyDescent="0.25">
      <c r="A19" s="260" t="s">
        <v>112</v>
      </c>
      <c r="B19" s="261" t="s">
        <v>113</v>
      </c>
      <c r="C19" s="262"/>
      <c r="D19" s="263"/>
      <c r="E19" s="264"/>
    </row>
    <row r="20" spans="1:5" x14ac:dyDescent="0.25">
      <c r="A20" s="252" t="s">
        <v>114</v>
      </c>
      <c r="B20" s="222" t="s">
        <v>115</v>
      </c>
      <c r="C20" s="265">
        <v>1.4999999999999999E-2</v>
      </c>
      <c r="D20" s="266"/>
      <c r="E20" s="267">
        <f ca="1">E22*$C$20</f>
        <v>627.63894676559948</v>
      </c>
    </row>
    <row r="21" spans="1:5" ht="16.5" thickBot="1" x14ac:dyDescent="0.3">
      <c r="A21" s="252" t="s">
        <v>116</v>
      </c>
      <c r="B21" s="222" t="s">
        <v>117</v>
      </c>
      <c r="C21" s="265">
        <v>1.4999999999999999E-2</v>
      </c>
      <c r="D21" s="266"/>
      <c r="E21" s="267">
        <f ca="1">E22*$C$21</f>
        <v>627.63894676559948</v>
      </c>
    </row>
    <row r="22" spans="1:5" ht="16.5" thickBot="1" x14ac:dyDescent="0.3">
      <c r="A22" s="237"/>
      <c r="B22" s="268" t="s">
        <v>118</v>
      </c>
      <c r="C22" s="269"/>
      <c r="D22" s="270"/>
      <c r="E22" s="271">
        <f ca="1">SUM(E20:E21)+E17</f>
        <v>41842.596451039964</v>
      </c>
    </row>
    <row r="23" spans="1:5" ht="16.5" thickBot="1" x14ac:dyDescent="0.3">
      <c r="A23" s="272"/>
      <c r="B23" s="240"/>
      <c r="C23" s="273"/>
      <c r="D23" s="258"/>
      <c r="E23" s="274"/>
    </row>
    <row r="24" spans="1:5" x14ac:dyDescent="0.25">
      <c r="A24" s="275" t="s">
        <v>119</v>
      </c>
      <c r="B24" s="276" t="s">
        <v>120</v>
      </c>
      <c r="C24" s="277"/>
      <c r="D24" s="278"/>
      <c r="E24" s="279"/>
    </row>
    <row r="25" spans="1:5" x14ac:dyDescent="0.25">
      <c r="A25" s="221" t="s">
        <v>96</v>
      </c>
      <c r="B25" s="249" t="s">
        <v>121</v>
      </c>
      <c r="C25" s="280">
        <v>0.02</v>
      </c>
      <c r="D25" s="281"/>
      <c r="E25" s="251">
        <f ca="1">E28*$C$25</f>
        <v>1101.1209592378939</v>
      </c>
    </row>
    <row r="26" spans="1:5" x14ac:dyDescent="0.25">
      <c r="A26" s="221" t="s">
        <v>98</v>
      </c>
      <c r="B26" s="249" t="s">
        <v>122</v>
      </c>
      <c r="C26" s="280">
        <v>0.1</v>
      </c>
      <c r="D26" s="281"/>
      <c r="E26" s="251">
        <f ca="1">E28*$C$26</f>
        <v>5505.6047961894692</v>
      </c>
    </row>
    <row r="27" spans="1:5" ht="16.5" thickBot="1" x14ac:dyDescent="0.3">
      <c r="A27" s="221" t="s">
        <v>100</v>
      </c>
      <c r="B27" s="282" t="s">
        <v>123</v>
      </c>
      <c r="C27" s="283">
        <v>0.12</v>
      </c>
      <c r="D27" s="284"/>
      <c r="E27" s="251">
        <f ca="1">E28*$C$27</f>
        <v>6606.7257554273629</v>
      </c>
    </row>
    <row r="28" spans="1:5" ht="16.5" thickBot="1" x14ac:dyDescent="0.3">
      <c r="A28" s="285"/>
      <c r="B28" s="235" t="s">
        <v>124</v>
      </c>
      <c r="C28" s="286"/>
      <c r="D28" s="237"/>
      <c r="E28" s="238">
        <f ca="1">SUM(E22:E27)</f>
        <v>55056.047961894692</v>
      </c>
    </row>
    <row r="29" spans="1:5" x14ac:dyDescent="0.25">
      <c r="A29" s="287"/>
      <c r="B29" s="288"/>
      <c r="C29" s="289"/>
      <c r="D29" s="290"/>
      <c r="E29" s="291"/>
    </row>
    <row r="30" spans="1:5" ht="16.5" thickBot="1" x14ac:dyDescent="0.3">
      <c r="A30" s="292" t="s">
        <v>189</v>
      </c>
      <c r="B30" s="293" t="s">
        <v>190</v>
      </c>
      <c r="C30" s="294" t="s">
        <v>191</v>
      </c>
      <c r="D30" s="295"/>
      <c r="E30" s="296">
        <v>0</v>
      </c>
    </row>
    <row r="31" spans="1:5" ht="27" customHeight="1" thickBot="1" x14ac:dyDescent="0.3">
      <c r="A31" s="297"/>
      <c r="B31" s="298" t="s">
        <v>192</v>
      </c>
      <c r="C31" s="299"/>
      <c r="D31" s="299">
        <f>E3</f>
        <v>5</v>
      </c>
      <c r="E31" s="300">
        <f ca="1">SUM(E28:E30)</f>
        <v>55056.047961894692</v>
      </c>
    </row>
    <row r="32" spans="1:5" ht="27" customHeight="1" thickBot="1" x14ac:dyDescent="0.3">
      <c r="A32" s="301"/>
      <c r="B32" s="302" t="s">
        <v>193</v>
      </c>
      <c r="C32" s="303"/>
      <c r="D32" s="304"/>
      <c r="E32" s="305">
        <f ca="1">E31/E3</f>
        <v>11011.209592378938</v>
      </c>
    </row>
    <row r="33" spans="1:5" ht="16.5" thickBot="1" x14ac:dyDescent="0.3">
      <c r="A33" s="306"/>
      <c r="B33" s="307"/>
      <c r="C33" s="308"/>
      <c r="D33" s="309"/>
      <c r="E33" s="310"/>
    </row>
    <row r="34" spans="1:5" x14ac:dyDescent="0.25">
      <c r="A34" s="311"/>
      <c r="B34" s="312" t="s">
        <v>194</v>
      </c>
      <c r="C34" s="313"/>
      <c r="D34" s="314"/>
      <c r="E34" s="315">
        <f ca="1">E31/D5</f>
        <v>241.31257954458161</v>
      </c>
    </row>
    <row r="35" spans="1:5" ht="16.5" thickBot="1" x14ac:dyDescent="0.3">
      <c r="A35" s="316"/>
      <c r="B35" s="317" t="s">
        <v>195</v>
      </c>
      <c r="C35" s="318"/>
      <c r="D35" s="319"/>
      <c r="E35" s="320">
        <f ca="1">E31/D6</f>
        <v>329.25694872391739</v>
      </c>
    </row>
    <row r="36" spans="1:5" x14ac:dyDescent="0.25">
      <c r="A36" s="311"/>
      <c r="B36" s="323" t="s">
        <v>196</v>
      </c>
      <c r="C36" s="315"/>
      <c r="D36" s="314">
        <f>E3</f>
        <v>5</v>
      </c>
      <c r="E36" s="315">
        <f>Summary!F36</f>
        <v>27082.855381239649</v>
      </c>
    </row>
    <row r="37" spans="1:5" x14ac:dyDescent="0.25">
      <c r="A37" s="221"/>
      <c r="B37" s="324" t="s">
        <v>197</v>
      </c>
      <c r="C37" s="325"/>
      <c r="D37" s="326"/>
      <c r="E37" s="325">
        <f ca="1">E31-E36</f>
        <v>16295.895768155046</v>
      </c>
    </row>
    <row r="38" spans="1:5" ht="16.5" thickBot="1" x14ac:dyDescent="0.3">
      <c r="A38" s="327"/>
      <c r="B38" s="328" t="s">
        <v>198</v>
      </c>
      <c r="C38" s="329"/>
      <c r="D38" s="330"/>
      <c r="E38" s="331">
        <f ca="1">(E31-E36)/E31</f>
        <v>0.29598738687952569</v>
      </c>
    </row>
    <row r="39" spans="1:5" x14ac:dyDescent="0.25">
      <c r="A39" s="306"/>
      <c r="B39" s="307"/>
      <c r="C39" s="308"/>
      <c r="D39" s="309"/>
      <c r="E39" s="310"/>
    </row>
    <row r="40" spans="1:5" x14ac:dyDescent="0.25">
      <c r="A40" s="306"/>
      <c r="B40" s="307"/>
      <c r="C40" s="308"/>
      <c r="D40" s="309"/>
      <c r="E40" s="310"/>
    </row>
    <row r="41" spans="1:5" x14ac:dyDescent="0.25">
      <c r="A41" s="306"/>
      <c r="B41" s="307"/>
      <c r="C41" s="308"/>
      <c r="D41" s="309"/>
      <c r="E41" s="310"/>
    </row>
    <row r="42" spans="1:5" x14ac:dyDescent="0.25">
      <c r="A42" s="306"/>
      <c r="B42" s="306"/>
      <c r="C42" s="308"/>
      <c r="D42" s="309"/>
      <c r="E42" s="332"/>
    </row>
    <row r="43" spans="1:5" ht="16.5" thickBot="1" x14ac:dyDescent="0.3">
      <c r="A43" s="306"/>
      <c r="B43" s="307"/>
      <c r="C43" s="308"/>
      <c r="D43" s="309"/>
      <c r="E43" s="310"/>
    </row>
    <row r="44" spans="1:5" ht="23.25" customHeight="1" thickBot="1" x14ac:dyDescent="0.3">
      <c r="A44" s="420" t="s">
        <v>125</v>
      </c>
      <c r="B44" s="421"/>
      <c r="C44" s="421"/>
      <c r="D44" s="414" t="s">
        <v>185</v>
      </c>
      <c r="E44" s="415"/>
    </row>
    <row r="45" spans="1:5" ht="25.5" customHeight="1" x14ac:dyDescent="0.25">
      <c r="A45" s="333">
        <v>1</v>
      </c>
      <c r="B45" s="334" t="s">
        <v>126</v>
      </c>
      <c r="C45" s="335"/>
      <c r="D45" s="378"/>
      <c r="E45" s="379">
        <f>Summary!D51</f>
        <v>5000</v>
      </c>
    </row>
    <row r="46" spans="1:5" ht="31.5" x14ac:dyDescent="0.25">
      <c r="A46" s="333">
        <v>2</v>
      </c>
      <c r="B46" s="338" t="s">
        <v>127</v>
      </c>
      <c r="C46" s="335"/>
      <c r="D46" s="336"/>
      <c r="E46" s="337">
        <f>Summary!D50+Summary!D52</f>
        <v>23961.295000000002</v>
      </c>
    </row>
    <row r="47" spans="1:5" x14ac:dyDescent="0.25">
      <c r="A47" s="369"/>
      <c r="B47" s="373" t="s">
        <v>118</v>
      </c>
      <c r="C47" s="370"/>
      <c r="D47" s="371"/>
      <c r="E47" s="372">
        <f>SUM(E45:E46)</f>
        <v>28961.295000000002</v>
      </c>
    </row>
    <row r="48" spans="1:5" x14ac:dyDescent="0.25">
      <c r="A48" s="369"/>
      <c r="B48" s="376" t="s">
        <v>122</v>
      </c>
      <c r="C48" s="377">
        <v>0.1</v>
      </c>
      <c r="D48" s="380"/>
      <c r="E48" s="251">
        <f ca="1">E50*$C$48</f>
        <v>3712.9865384615391</v>
      </c>
    </row>
    <row r="49" spans="1:8" x14ac:dyDescent="0.25">
      <c r="A49" s="369"/>
      <c r="B49" s="376" t="s">
        <v>123</v>
      </c>
      <c r="C49" s="377">
        <v>0.12</v>
      </c>
      <c r="D49" s="380"/>
      <c r="E49" s="251">
        <f ca="1">E50*$C$49</f>
        <v>4455.5838461538469</v>
      </c>
    </row>
    <row r="50" spans="1:8" ht="16.5" thickBot="1" x14ac:dyDescent="0.3">
      <c r="A50" s="339"/>
      <c r="B50" s="288" t="s">
        <v>50</v>
      </c>
      <c r="C50" s="340"/>
      <c r="D50" s="374"/>
      <c r="E50" s="375">
        <f ca="1">SUM(E47:E49)</f>
        <v>37129.86538461539</v>
      </c>
    </row>
    <row r="51" spans="1:8" ht="24" customHeight="1" x14ac:dyDescent="0.25">
      <c r="A51" s="341"/>
      <c r="B51" s="312" t="s">
        <v>199</v>
      </c>
      <c r="C51" s="342"/>
      <c r="D51" s="321"/>
      <c r="E51" s="322">
        <f ca="1">E50*80%</f>
        <v>29703.892307692313</v>
      </c>
    </row>
    <row r="52" spans="1:8" x14ac:dyDescent="0.25">
      <c r="B52" s="343"/>
      <c r="C52" s="344"/>
      <c r="D52" s="345"/>
    </row>
    <row r="53" spans="1:8" x14ac:dyDescent="0.25">
      <c r="B53" s="343"/>
      <c r="C53" s="344"/>
      <c r="D53" s="345"/>
    </row>
    <row r="54" spans="1:8" x14ac:dyDescent="0.25">
      <c r="B54" s="343"/>
      <c r="C54" s="344"/>
      <c r="D54" s="345"/>
    </row>
    <row r="55" spans="1:8" x14ac:dyDescent="0.25">
      <c r="B55" s="343"/>
      <c r="C55" s="344"/>
      <c r="D55" s="345"/>
    </row>
    <row r="56" spans="1:8" x14ac:dyDescent="0.25">
      <c r="B56" s="343"/>
      <c r="C56" s="344"/>
      <c r="D56" s="345"/>
    </row>
    <row r="57" spans="1:8" x14ac:dyDescent="0.25">
      <c r="D57" s="348"/>
      <c r="H57" s="349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25" t="s">
        <v>51</v>
      </c>
      <c r="B1" s="426"/>
      <c r="C1" s="426"/>
      <c r="D1" s="426"/>
      <c r="E1" s="427"/>
      <c r="F1" s="428"/>
      <c r="G1" s="13"/>
    </row>
    <row r="2" spans="1:14" ht="26.45" customHeight="1" x14ac:dyDescent="0.2">
      <c r="A2" s="16" t="s">
        <v>52</v>
      </c>
      <c r="B2" s="446" t="e">
        <f>'BOM 42D CARRIER REAR_AY3016'!#REF!</f>
        <v>#REF!</v>
      </c>
      <c r="C2" s="447"/>
      <c r="D2" s="17"/>
      <c r="E2" s="17" t="s">
        <v>53</v>
      </c>
      <c r="F2" s="128"/>
    </row>
    <row r="3" spans="1:14" ht="24.6" customHeight="1" thickBot="1" x14ac:dyDescent="0.25">
      <c r="A3" s="16" t="s">
        <v>54</v>
      </c>
      <c r="B3" s="446" t="str">
        <f>'BOM 42D CARRIER REAR_AY3016'!G3</f>
        <v>AY30013</v>
      </c>
      <c r="C3" s="447"/>
      <c r="D3" s="17"/>
      <c r="E3" s="17" t="s">
        <v>55</v>
      </c>
      <c r="F3" s="19">
        <f>'BOM 42D CARRIER REAR_AY3016'!K3</f>
        <v>1</v>
      </c>
      <c r="G3" s="13"/>
    </row>
    <row r="4" spans="1:14" ht="25.5" customHeight="1" thickBot="1" x14ac:dyDescent="0.25">
      <c r="A4" s="16" t="s">
        <v>56</v>
      </c>
      <c r="B4" s="129"/>
      <c r="C4" s="129">
        <f>'BOM 42D CARRIER REAR_AY3016'!N3</f>
        <v>4034</v>
      </c>
      <c r="D4" s="20"/>
      <c r="E4" s="198"/>
      <c r="F4" s="21"/>
      <c r="G4" s="13"/>
      <c r="I4" s="450" t="s">
        <v>179</v>
      </c>
      <c r="J4" s="451"/>
      <c r="K4" s="451"/>
      <c r="L4" s="451"/>
      <c r="M4" s="451"/>
      <c r="N4" s="452"/>
    </row>
    <row r="5" spans="1:14" ht="21.75" customHeight="1" thickBot="1" x14ac:dyDescent="0.25">
      <c r="A5" s="429" t="s">
        <v>57</v>
      </c>
      <c r="B5" s="430"/>
      <c r="C5" s="430"/>
      <c r="D5" s="430"/>
      <c r="E5" s="431"/>
      <c r="F5" s="432"/>
      <c r="G5" s="22"/>
      <c r="I5" s="173" t="s">
        <v>13</v>
      </c>
      <c r="J5" s="173" t="s">
        <v>44</v>
      </c>
      <c r="K5" s="173" t="s">
        <v>45</v>
      </c>
      <c r="L5" s="173" t="s">
        <v>46</v>
      </c>
      <c r="M5" s="173" t="s">
        <v>178</v>
      </c>
      <c r="N5" s="173" t="s">
        <v>47</v>
      </c>
    </row>
    <row r="6" spans="1:14" ht="28.5" customHeight="1" thickBot="1" x14ac:dyDescent="0.25">
      <c r="A6" s="433" t="s">
        <v>58</v>
      </c>
      <c r="B6" s="434"/>
      <c r="C6" s="434"/>
      <c r="D6" s="434"/>
      <c r="E6" s="435"/>
      <c r="F6" s="436"/>
      <c r="G6" s="22"/>
      <c r="H6" s="23"/>
      <c r="I6" s="174" t="s">
        <v>48</v>
      </c>
      <c r="J6" s="174" t="s">
        <v>164</v>
      </c>
      <c r="K6" s="175" t="s">
        <v>169</v>
      </c>
      <c r="L6" s="174">
        <v>8</v>
      </c>
      <c r="M6" s="176">
        <f>'RM Details'!E4</f>
        <v>158.59461759999999</v>
      </c>
      <c r="N6" s="176">
        <f>'RM Details'!F4</f>
        <v>218.06759919999999</v>
      </c>
    </row>
    <row r="7" spans="1:14" ht="27" customHeight="1" thickBot="1" x14ac:dyDescent="0.25">
      <c r="A7" s="24" t="s">
        <v>59</v>
      </c>
      <c r="B7" s="25"/>
      <c r="C7" s="25"/>
      <c r="D7" s="25" t="s">
        <v>169</v>
      </c>
      <c r="E7" s="26"/>
      <c r="F7" s="26" t="s">
        <v>170</v>
      </c>
      <c r="G7" s="22"/>
      <c r="H7" s="2"/>
      <c r="I7" s="174" t="s">
        <v>48</v>
      </c>
      <c r="J7" s="174" t="s">
        <v>163</v>
      </c>
      <c r="K7" s="175" t="s">
        <v>170</v>
      </c>
      <c r="L7" s="174">
        <v>20</v>
      </c>
      <c r="M7" s="176">
        <f>'RM Details'!E5</f>
        <v>8.6183999999999994</v>
      </c>
      <c r="N7" s="176">
        <f>'RM Details'!F5</f>
        <v>10.084816499999999</v>
      </c>
    </row>
    <row r="8" spans="1:14" ht="17.25" customHeight="1" x14ac:dyDescent="0.2">
      <c r="A8" s="27" t="s">
        <v>60</v>
      </c>
      <c r="B8" s="28"/>
      <c r="C8" s="82"/>
      <c r="D8" s="29">
        <f>N6</f>
        <v>218.06759919999999</v>
      </c>
      <c r="E8" s="199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61</v>
      </c>
      <c r="B9" s="88"/>
      <c r="C9" s="193"/>
      <c r="D9" s="32">
        <f>M6</f>
        <v>158.59461759999999</v>
      </c>
      <c r="E9" s="200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62</v>
      </c>
      <c r="B10" s="89"/>
      <c r="C10" s="194"/>
      <c r="D10" s="34">
        <f t="shared" ref="D10:F10" si="0">(D8-D9)*80%</f>
        <v>47.578385279999999</v>
      </c>
      <c r="E10" s="201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63</v>
      </c>
      <c r="B11" s="38"/>
      <c r="C11" s="195"/>
      <c r="D11" s="39">
        <v>85</v>
      </c>
      <c r="E11" s="202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64</v>
      </c>
      <c r="B12" s="41"/>
      <c r="C12" s="196"/>
      <c r="D12" s="42">
        <v>30</v>
      </c>
      <c r="E12" s="203"/>
      <c r="F12" s="86">
        <v>30</v>
      </c>
      <c r="G12" s="22"/>
      <c r="H12"/>
    </row>
    <row r="13" spans="1:14" ht="15.75" thickBot="1" x14ac:dyDescent="0.3">
      <c r="A13" s="43" t="s">
        <v>65</v>
      </c>
      <c r="B13" s="44"/>
      <c r="C13" s="197"/>
      <c r="D13" s="45">
        <f t="shared" ref="D13:F13" si="1">(D8*D11)-(D10*D12)</f>
        <v>17108.394373599996</v>
      </c>
      <c r="E13" s="204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66</v>
      </c>
      <c r="B14" s="437">
        <f>SUM(B13:F13)</f>
        <v>18585.922852599997</v>
      </c>
      <c r="C14" s="438"/>
      <c r="D14" s="439"/>
      <c r="E14" s="440"/>
      <c r="F14" s="441"/>
      <c r="G14" s="48">
        <f>G13/G8</f>
        <v>81.462748468281944</v>
      </c>
      <c r="H14" s="36"/>
    </row>
    <row r="15" spans="1:14" ht="15" x14ac:dyDescent="0.25">
      <c r="A15" s="442" t="s">
        <v>67</v>
      </c>
      <c r="B15" s="443"/>
      <c r="C15" s="443"/>
      <c r="D15" s="443"/>
      <c r="E15" s="444"/>
      <c r="F15" s="445"/>
      <c r="G15" s="22"/>
      <c r="H15"/>
    </row>
    <row r="16" spans="1:14" ht="24.75" customHeight="1" x14ac:dyDescent="0.2">
      <c r="A16" s="49" t="s">
        <v>68</v>
      </c>
      <c r="B16" s="50"/>
      <c r="C16" s="50"/>
      <c r="D16" s="51"/>
      <c r="E16" s="205"/>
      <c r="F16" s="52"/>
      <c r="G16" s="22"/>
      <c r="H16" s="36"/>
    </row>
    <row r="17" spans="1:9" ht="20.25" customHeight="1" x14ac:dyDescent="0.2">
      <c r="A17" s="466" t="s">
        <v>69</v>
      </c>
      <c r="B17" s="467"/>
      <c r="C17" s="467"/>
      <c r="D17" s="467"/>
      <c r="E17" s="206"/>
      <c r="F17" s="54">
        <f>SUM(F16:F16)</f>
        <v>0</v>
      </c>
      <c r="G17" s="127"/>
      <c r="I17" s="53"/>
    </row>
    <row r="18" spans="1:9" ht="13.5" thickBot="1" x14ac:dyDescent="0.25">
      <c r="A18" s="464" t="s">
        <v>70</v>
      </c>
      <c r="B18" s="465"/>
      <c r="C18" s="465"/>
      <c r="D18" s="465"/>
      <c r="E18" s="207"/>
      <c r="F18" s="55">
        <f>B14+F17</f>
        <v>18585.922852599997</v>
      </c>
      <c r="G18" s="22"/>
      <c r="I18" s="53"/>
    </row>
    <row r="19" spans="1:9" ht="22.5" customHeight="1" x14ac:dyDescent="0.2">
      <c r="A19" s="453" t="s">
        <v>71</v>
      </c>
      <c r="B19" s="454"/>
      <c r="C19" s="454"/>
      <c r="D19" s="454"/>
      <c r="E19" s="455"/>
      <c r="F19" s="456"/>
      <c r="G19" s="22"/>
    </row>
    <row r="20" spans="1:9" x14ac:dyDescent="0.2">
      <c r="A20" s="56" t="s">
        <v>59</v>
      </c>
      <c r="B20" s="57" t="s">
        <v>21</v>
      </c>
      <c r="C20" s="57"/>
      <c r="D20" s="58" t="s">
        <v>72</v>
      </c>
      <c r="E20" s="59"/>
      <c r="F20" s="60" t="s">
        <v>73</v>
      </c>
      <c r="G20" s="22"/>
    </row>
    <row r="21" spans="1:9" ht="18" customHeight="1" x14ac:dyDescent="0.2">
      <c r="A21" s="61" t="s">
        <v>74</v>
      </c>
      <c r="B21" s="62">
        <f>'BOM 42D CARRIER REAR_AY3016'!X3</f>
        <v>0</v>
      </c>
      <c r="C21" s="62"/>
      <c r="D21" s="63">
        <v>50</v>
      </c>
      <c r="E21" s="64" t="s">
        <v>181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75</v>
      </c>
      <c r="B22" s="62">
        <f>'BOM 42D CARRIER REAR_AY3016'!AB3/60</f>
        <v>3.9666666666666668</v>
      </c>
      <c r="C22" s="62"/>
      <c r="D22" s="63">
        <v>550</v>
      </c>
      <c r="E22" s="64"/>
      <c r="F22" s="54">
        <f t="shared" si="2"/>
        <v>2181.6666666666665</v>
      </c>
      <c r="G22" s="65"/>
      <c r="H22" s="78">
        <f t="shared" ref="H22:H35" si="3">F22/$G$9</f>
        <v>13.047229802918565</v>
      </c>
    </row>
    <row r="23" spans="1:9" ht="18" customHeight="1" x14ac:dyDescent="0.2">
      <c r="A23" s="61" t="s">
        <v>76</v>
      </c>
      <c r="B23" s="62">
        <f>'BOM 42D CARRIER REAR_AY3016'!Z3</f>
        <v>9</v>
      </c>
      <c r="C23" s="62"/>
      <c r="D23" s="63">
        <v>10</v>
      </c>
      <c r="E23" s="64"/>
      <c r="F23" s="54">
        <f t="shared" si="2"/>
        <v>90</v>
      </c>
      <c r="G23" s="90"/>
      <c r="H23" s="78">
        <f t="shared" si="3"/>
        <v>0.53823560684308824</v>
      </c>
    </row>
    <row r="24" spans="1:9" ht="18" customHeight="1" x14ac:dyDescent="0.2">
      <c r="A24" s="61" t="s">
        <v>77</v>
      </c>
      <c r="B24" s="62">
        <f>'BOM 42D CARRIER REAR_AY3016'!AF3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78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79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80</v>
      </c>
      <c r="B27" s="67"/>
      <c r="C27" s="67"/>
      <c r="D27" s="68">
        <v>250</v>
      </c>
      <c r="E27" s="69"/>
      <c r="F27" s="70">
        <f t="shared" si="2"/>
        <v>0</v>
      </c>
      <c r="G27" s="127" t="s">
        <v>81</v>
      </c>
      <c r="H27" s="78">
        <f t="shared" si="3"/>
        <v>0</v>
      </c>
    </row>
    <row r="28" spans="1:9" ht="18" customHeight="1" x14ac:dyDescent="0.2">
      <c r="A28" s="61" t="s">
        <v>82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83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84</v>
      </c>
      <c r="B30" s="63">
        <f>'BOM 42D CARRIER REAR_AY3016'!AI3</f>
        <v>0</v>
      </c>
      <c r="C30" s="63"/>
      <c r="D30" s="63">
        <v>1250</v>
      </c>
      <c r="E30" s="64"/>
      <c r="F30" s="71">
        <f>B30*D30</f>
        <v>0</v>
      </c>
      <c r="G30" s="72" t="s">
        <v>182</v>
      </c>
      <c r="H30" s="78">
        <f t="shared" si="3"/>
        <v>0</v>
      </c>
    </row>
    <row r="31" spans="1:9" ht="18" customHeight="1" x14ac:dyDescent="0.2">
      <c r="A31" s="61" t="s">
        <v>151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184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202</v>
      </c>
      <c r="B33" s="73"/>
      <c r="C33" s="73"/>
      <c r="D33" s="74"/>
      <c r="E33" s="75"/>
      <c r="F33" s="76">
        <f>SUM(F21:F32)</f>
        <v>6034.8547667087723</v>
      </c>
      <c r="G33" s="22"/>
      <c r="H33" s="78">
        <f t="shared" si="3"/>
        <v>36.090819084104446</v>
      </c>
    </row>
    <row r="34" spans="1:13" ht="22.5" customHeight="1" x14ac:dyDescent="0.2">
      <c r="A34" s="457" t="s">
        <v>85</v>
      </c>
      <c r="B34" s="458"/>
      <c r="C34" s="458"/>
      <c r="D34" s="459"/>
      <c r="E34" s="118"/>
      <c r="F34" s="209">
        <f>F18+F33</f>
        <v>24620.77761930877</v>
      </c>
      <c r="G34" s="77"/>
      <c r="H34" s="78"/>
    </row>
    <row r="35" spans="1:13" x14ac:dyDescent="0.2">
      <c r="A35" s="119" t="s">
        <v>154</v>
      </c>
      <c r="B35" s="119"/>
      <c r="C35" s="119"/>
      <c r="D35" s="130"/>
      <c r="E35" s="211">
        <v>0.1</v>
      </c>
      <c r="F35" s="210">
        <f>F34*E35</f>
        <v>2462.0777619308774</v>
      </c>
      <c r="G35" s="79"/>
      <c r="H35" s="78">
        <f t="shared" si="3"/>
        <v>14.724199092085982</v>
      </c>
    </row>
    <row r="36" spans="1:13" x14ac:dyDescent="0.2">
      <c r="A36" s="119" t="s">
        <v>155</v>
      </c>
      <c r="B36" s="119"/>
      <c r="C36" s="119"/>
      <c r="D36" s="130"/>
      <c r="E36" s="130"/>
      <c r="F36" s="210">
        <f>SUM(F34:F35)</f>
        <v>27082.855381239649</v>
      </c>
      <c r="G36" s="79"/>
      <c r="H36" s="78">
        <f>F36/G9</f>
        <v>161.96619001294579</v>
      </c>
      <c r="I36" s="78">
        <f>F36/G8</f>
        <v>118.70510026442666</v>
      </c>
    </row>
    <row r="39" spans="1:13" ht="12.75" customHeight="1" thickBot="1" x14ac:dyDescent="0.25">
      <c r="G39" s="15" t="s">
        <v>86</v>
      </c>
      <c r="H39" s="53"/>
    </row>
    <row r="40" spans="1:13" ht="12.75" customHeight="1" x14ac:dyDescent="0.2">
      <c r="A40" s="460" t="s">
        <v>87</v>
      </c>
      <c r="B40" s="461"/>
      <c r="C40" s="461"/>
      <c r="D40" s="461"/>
      <c r="E40" s="208"/>
      <c r="F40" s="80" t="s">
        <v>88</v>
      </c>
      <c r="G40" s="15" t="s">
        <v>86</v>
      </c>
      <c r="H40" s="53"/>
    </row>
    <row r="41" spans="1:13" x14ac:dyDescent="0.2">
      <c r="A41" s="462" t="s">
        <v>183</v>
      </c>
      <c r="B41" s="463"/>
      <c r="C41" s="463"/>
      <c r="D41" s="463"/>
      <c r="E41" s="159"/>
      <c r="F41" s="81"/>
    </row>
    <row r="42" spans="1:13" ht="13.5" thickBot="1" x14ac:dyDescent="0.25">
      <c r="A42" s="448" t="s">
        <v>89</v>
      </c>
      <c r="B42" s="449"/>
      <c r="C42" s="449"/>
      <c r="D42" s="449"/>
      <c r="E42" s="350"/>
      <c r="F42" s="351" t="s">
        <v>90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22" t="s">
        <v>214</v>
      </c>
      <c r="B45" s="423"/>
      <c r="C45" s="423"/>
      <c r="D45" s="424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0" t="s">
        <v>153</v>
      </c>
      <c r="B46" s="391" t="s">
        <v>212</v>
      </c>
      <c r="C46" s="391" t="s">
        <v>208</v>
      </c>
      <c r="D46" s="392" t="s">
        <v>209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396" t="s">
        <v>152</v>
      </c>
      <c r="B47" s="397">
        <f>20*2000*500*0.00000785</f>
        <v>157</v>
      </c>
      <c r="C47" s="398">
        <v>100</v>
      </c>
      <c r="D47" s="399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2" t="s">
        <v>210</v>
      </c>
      <c r="B48" s="116">
        <f>6*1000*1000*0.00000785</f>
        <v>47.099999999999994</v>
      </c>
      <c r="C48" s="117">
        <v>100</v>
      </c>
      <c r="D48" s="381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2" t="s">
        <v>215</v>
      </c>
      <c r="B49" s="116">
        <f>B47+B48</f>
        <v>204.1</v>
      </c>
      <c r="C49" s="117">
        <v>4.5</v>
      </c>
      <c r="D49" s="381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0" t="s">
        <v>216</v>
      </c>
      <c r="B50" s="394"/>
      <c r="C50" s="395"/>
      <c r="D50" s="401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2" t="s">
        <v>211</v>
      </c>
      <c r="B51" s="116">
        <v>2</v>
      </c>
      <c r="C51" s="117">
        <f>75000/30</f>
        <v>2500</v>
      </c>
      <c r="D51" s="381">
        <f>B51*C51</f>
        <v>5000</v>
      </c>
      <c r="E51" s="402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83" t="s">
        <v>154</v>
      </c>
      <c r="B52" s="384"/>
      <c r="C52" s="393">
        <v>0.1</v>
      </c>
      <c r="D52" s="385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68" customFormat="1" ht="16.5" thickBot="1" x14ac:dyDescent="0.25">
      <c r="A53" s="386" t="s">
        <v>213</v>
      </c>
      <c r="B53" s="387"/>
      <c r="C53" s="388"/>
      <c r="D53" s="389">
        <f>SUM(D50:D52)</f>
        <v>28961.295000000002</v>
      </c>
      <c r="E53" s="403"/>
      <c r="F53" s="365"/>
      <c r="G53" s="366"/>
      <c r="H53" s="367"/>
      <c r="I53" s="367"/>
      <c r="J53" s="367"/>
      <c r="K53" s="367"/>
      <c r="L53" s="367"/>
      <c r="M53" s="367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L91"/>
  <sheetViews>
    <sheetView tabSelected="1" topLeftCell="O1" zoomScale="70" zoomScaleNormal="70" workbookViewId="0">
      <pane ySplit="3" topLeftCell="A4" activePane="bottomLeft" state="frozen"/>
      <selection activeCell="C1" sqref="C1"/>
      <selection pane="bottomLeft" activeCell="AD8" sqref="AD8"/>
    </sheetView>
  </sheetViews>
  <sheetFormatPr defaultColWidth="9" defaultRowHeight="15.75" x14ac:dyDescent="0.25"/>
  <cols>
    <col min="1" max="1" width="4.7109375" style="154" bestFit="1" customWidth="1"/>
    <col min="2" max="2" width="15.28515625" style="154" hidden="1" customWidth="1"/>
    <col min="3" max="3" width="5.140625" style="154" customWidth="1"/>
    <col min="4" max="4" width="7" style="154" customWidth="1"/>
    <col min="5" max="5" width="8.42578125" style="154" bestFit="1" customWidth="1"/>
    <col min="6" max="6" width="8.42578125" style="154" customWidth="1"/>
    <col min="7" max="7" width="20.85546875" style="154" bestFit="1" customWidth="1"/>
    <col min="8" max="8" width="5.7109375" style="154" customWidth="1"/>
    <col min="9" max="9" width="52.140625" style="155" customWidth="1"/>
    <col min="10" max="10" width="9.85546875" style="154" bestFit="1" customWidth="1"/>
    <col min="11" max="11" width="10.42578125" style="154" bestFit="1" customWidth="1"/>
    <col min="12" max="12" width="12.5703125" style="154" customWidth="1"/>
    <col min="13" max="13" width="15.42578125" style="154" bestFit="1" customWidth="1"/>
    <col min="14" max="14" width="16.42578125" style="154" bestFit="1" customWidth="1"/>
    <col min="15" max="15" width="15" style="154" bestFit="1" customWidth="1"/>
    <col min="16" max="16" width="27" style="156" customWidth="1"/>
    <col min="17" max="17" width="23.42578125" style="161" hidden="1" customWidth="1"/>
    <col min="18" max="18" width="10.85546875" style="154" hidden="1" customWidth="1"/>
    <col min="19" max="19" width="23" style="154" bestFit="1" customWidth="1"/>
    <col min="20" max="20" width="11.42578125" style="154" bestFit="1" customWidth="1"/>
    <col min="21" max="21" width="11.85546875" style="154" bestFit="1" customWidth="1"/>
    <col min="22" max="22" width="13.42578125" style="154" bestFit="1" customWidth="1"/>
    <col min="23" max="23" width="14.5703125" style="154" bestFit="1" customWidth="1"/>
    <col min="24" max="24" width="12.42578125" style="154" bestFit="1" customWidth="1"/>
    <col min="25" max="25" width="16.42578125" style="154" bestFit="1" customWidth="1"/>
    <col min="26" max="26" width="11.42578125" style="154" bestFit="1" customWidth="1"/>
    <col min="27" max="27" width="12.85546875" style="154" bestFit="1" customWidth="1"/>
    <col min="28" max="28" width="14.7109375" style="154" bestFit="1" customWidth="1"/>
    <col min="29" max="29" width="22.42578125" style="154" bestFit="1" customWidth="1"/>
    <col min="30" max="31" width="10.42578125" style="154" customWidth="1"/>
    <col min="32" max="32" width="25.5703125" style="154" bestFit="1" customWidth="1"/>
    <col min="33" max="33" width="15.85546875" style="154" bestFit="1" customWidth="1"/>
    <col min="34" max="34" width="56" style="156" customWidth="1"/>
    <col min="35" max="35" width="18.28515625" style="156" customWidth="1"/>
    <col min="36" max="37" width="11.28515625" style="154" customWidth="1"/>
    <col min="38" max="38" width="9" style="154" customWidth="1"/>
    <col min="39" max="16384" width="9" style="154"/>
  </cols>
  <sheetData>
    <row r="1" spans="1:35" s="135" customFormat="1" ht="18" customHeight="1" thickBot="1" x14ac:dyDescent="0.3">
      <c r="A1" s="468" t="s">
        <v>0</v>
      </c>
      <c r="B1" s="133"/>
      <c r="C1" s="470" t="s">
        <v>1</v>
      </c>
      <c r="D1" s="471"/>
      <c r="E1" s="471"/>
      <c r="F1" s="410"/>
      <c r="G1" s="472" t="s">
        <v>292</v>
      </c>
      <c r="H1" s="472"/>
      <c r="I1" s="472"/>
      <c r="J1" s="472"/>
      <c r="K1" s="472"/>
      <c r="L1" s="472"/>
      <c r="M1" s="407">
        <v>0.4536</v>
      </c>
      <c r="N1" s="162"/>
      <c r="O1" s="162"/>
      <c r="P1" s="404"/>
      <c r="Q1" s="163"/>
      <c r="R1" s="162"/>
      <c r="S1" s="162">
        <v>25.4</v>
      </c>
      <c r="T1" s="162"/>
      <c r="U1" s="164"/>
      <c r="V1" s="164">
        <v>0.1</v>
      </c>
      <c r="W1" s="165">
        <v>0.15</v>
      </c>
      <c r="X1" s="165"/>
      <c r="Y1" s="166"/>
      <c r="Z1" s="165"/>
      <c r="AA1" s="165"/>
      <c r="AB1" s="167"/>
      <c r="AC1" s="167">
        <v>550</v>
      </c>
      <c r="AD1" s="167"/>
      <c r="AE1" s="167"/>
      <c r="AF1" s="165">
        <v>0.2</v>
      </c>
      <c r="AG1" s="168"/>
      <c r="AH1" s="134"/>
      <c r="AI1" s="134"/>
    </row>
    <row r="2" spans="1:35" s="135" customFormat="1" ht="30" customHeight="1" thickBot="1" x14ac:dyDescent="0.3">
      <c r="A2" s="469"/>
      <c r="B2" s="172" t="s">
        <v>165</v>
      </c>
      <c r="C2" s="136" t="s">
        <v>2</v>
      </c>
      <c r="D2" s="137" t="s">
        <v>3</v>
      </c>
      <c r="E2" s="137" t="s">
        <v>4</v>
      </c>
      <c r="F2" s="137"/>
      <c r="G2" s="138" t="s">
        <v>5</v>
      </c>
      <c r="H2" s="137" t="s">
        <v>6</v>
      </c>
      <c r="I2" s="138" t="s">
        <v>7</v>
      </c>
      <c r="J2" s="137" t="s">
        <v>8</v>
      </c>
      <c r="K2" s="138" t="s">
        <v>9</v>
      </c>
      <c r="L2" s="139" t="s">
        <v>10</v>
      </c>
      <c r="M2" s="140" t="s">
        <v>11</v>
      </c>
      <c r="N2" s="141" t="s">
        <v>12</v>
      </c>
      <c r="O2" s="138" t="s">
        <v>13</v>
      </c>
      <c r="P2" s="138" t="s">
        <v>14</v>
      </c>
      <c r="Q2" s="1" t="s">
        <v>15</v>
      </c>
      <c r="R2" s="138" t="s">
        <v>16</v>
      </c>
      <c r="S2" s="138" t="s">
        <v>17</v>
      </c>
      <c r="T2" s="138" t="s">
        <v>18</v>
      </c>
      <c r="U2" s="138" t="s">
        <v>19</v>
      </c>
      <c r="V2" s="142" t="s">
        <v>23</v>
      </c>
      <c r="W2" s="143" t="s">
        <v>24</v>
      </c>
      <c r="X2" s="143" t="s">
        <v>25</v>
      </c>
      <c r="Y2" s="143" t="s">
        <v>26</v>
      </c>
      <c r="Z2" s="143" t="s">
        <v>27</v>
      </c>
      <c r="AA2" s="143" t="s">
        <v>28</v>
      </c>
      <c r="AB2" s="143" t="s">
        <v>29</v>
      </c>
      <c r="AC2" s="143" t="s">
        <v>30</v>
      </c>
      <c r="AD2" s="143" t="s">
        <v>31</v>
      </c>
      <c r="AE2" s="143" t="s">
        <v>32</v>
      </c>
      <c r="AF2" s="143" t="s">
        <v>33</v>
      </c>
      <c r="AG2" s="142" t="s">
        <v>34</v>
      </c>
      <c r="AH2" s="144" t="s">
        <v>20</v>
      </c>
      <c r="AI2" s="144" t="s">
        <v>128</v>
      </c>
    </row>
    <row r="3" spans="1:35" s="151" customFormat="1" ht="26.25" customHeight="1" x14ac:dyDescent="0.25">
      <c r="A3" s="158">
        <v>1</v>
      </c>
      <c r="B3" s="158" t="s">
        <v>294</v>
      </c>
      <c r="C3" s="145">
        <v>0</v>
      </c>
      <c r="D3" s="145"/>
      <c r="E3" s="145"/>
      <c r="F3" s="145"/>
      <c r="G3" s="145" t="s">
        <v>220</v>
      </c>
      <c r="H3" s="145" t="s">
        <v>295</v>
      </c>
      <c r="I3" s="484" t="s">
        <v>221</v>
      </c>
      <c r="J3" s="145">
        <f>VLOOKUP(G3,'[2]Customer Data '!$A$1:$C$16,3,0)</f>
        <v>1</v>
      </c>
      <c r="K3" s="146">
        <f>J3</f>
        <v>1</v>
      </c>
      <c r="L3" s="147">
        <v>7057.6</v>
      </c>
      <c r="M3" s="147">
        <v>4034</v>
      </c>
      <c r="N3" s="147">
        <f>M3*K3</f>
        <v>4034</v>
      </c>
      <c r="O3" s="157" t="s">
        <v>249</v>
      </c>
      <c r="P3" s="150"/>
      <c r="Q3" s="160"/>
      <c r="R3" s="148"/>
      <c r="S3" s="145"/>
      <c r="T3" s="145"/>
      <c r="U3" s="147"/>
      <c r="V3" s="147">
        <f>SUM(V4:V91)</f>
        <v>160.05836000000002</v>
      </c>
      <c r="W3" s="149"/>
      <c r="X3" s="147">
        <f>SUMPRODUCT(X4:X91,$K$4:$K$91)</f>
        <v>0</v>
      </c>
      <c r="Y3" s="147">
        <f>SUM(Y4:Y91)</f>
        <v>0</v>
      </c>
      <c r="Z3" s="147">
        <f>SUMPRODUCT(Z4:Z91,$K$4:$K$91)</f>
        <v>9</v>
      </c>
      <c r="AA3" s="147"/>
      <c r="AB3" s="147">
        <f>SUMPRODUCT(AB4:AB91,$K$4:$K$91)</f>
        <v>238</v>
      </c>
      <c r="AC3" s="147">
        <f>SUM(AC4:AC91)</f>
        <v>0</v>
      </c>
      <c r="AD3" s="147"/>
      <c r="AE3" s="147"/>
      <c r="AF3" s="147"/>
      <c r="AG3" s="147"/>
      <c r="AH3" s="150"/>
      <c r="AI3" s="147">
        <f>SUM(AI4:AI22)</f>
        <v>0</v>
      </c>
    </row>
    <row r="4" spans="1:35" s="490" customFormat="1" ht="26.25" customHeight="1" x14ac:dyDescent="0.25">
      <c r="A4" s="485">
        <v>2</v>
      </c>
      <c r="B4" s="485" t="s">
        <v>294</v>
      </c>
      <c r="C4" s="485">
        <v>1</v>
      </c>
      <c r="D4" s="485" t="s">
        <v>296</v>
      </c>
      <c r="E4" s="485" t="s">
        <v>296</v>
      </c>
      <c r="F4" s="485"/>
      <c r="G4" s="485" t="s">
        <v>297</v>
      </c>
      <c r="H4" s="485"/>
      <c r="I4" s="486" t="s">
        <v>298</v>
      </c>
      <c r="J4" s="485">
        <v>1</v>
      </c>
      <c r="K4" s="487">
        <f t="shared" ref="K4" si="0">J4*$K$3</f>
        <v>1</v>
      </c>
      <c r="L4" s="487"/>
      <c r="M4" s="488">
        <v>3370</v>
      </c>
      <c r="N4" s="488">
        <f t="shared" ref="N4" si="1">M4*K4</f>
        <v>3370</v>
      </c>
      <c r="O4" s="157" t="s">
        <v>299</v>
      </c>
      <c r="P4" s="489" t="s">
        <v>300</v>
      </c>
      <c r="Q4" s="485"/>
      <c r="R4" s="176"/>
      <c r="S4" s="485"/>
      <c r="T4" s="485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9"/>
      <c r="AI4" s="488"/>
    </row>
    <row r="5" spans="1:35" s="490" customFormat="1" ht="26.25" customHeight="1" x14ac:dyDescent="0.25">
      <c r="A5" s="485">
        <v>3</v>
      </c>
      <c r="B5" s="485" t="s">
        <v>294</v>
      </c>
      <c r="C5" s="485"/>
      <c r="D5" s="485">
        <v>1.1000000000000001</v>
      </c>
      <c r="E5" s="485"/>
      <c r="F5" s="485"/>
      <c r="G5" s="485" t="s">
        <v>294</v>
      </c>
      <c r="H5" s="485" t="s">
        <v>295</v>
      </c>
      <c r="I5" s="486" t="s">
        <v>301</v>
      </c>
      <c r="J5" s="485">
        <v>1</v>
      </c>
      <c r="K5" s="487">
        <f>J5*$K$4</f>
        <v>1</v>
      </c>
      <c r="L5" s="487">
        <v>7057.6</v>
      </c>
      <c r="M5" s="488">
        <v>3208</v>
      </c>
      <c r="N5" s="488">
        <f>M5*K5</f>
        <v>3208</v>
      </c>
      <c r="O5" s="157" t="s">
        <v>293</v>
      </c>
      <c r="P5" s="489" t="s">
        <v>300</v>
      </c>
      <c r="Q5" s="485"/>
      <c r="R5" s="176"/>
      <c r="S5" s="485"/>
      <c r="T5" s="485"/>
      <c r="U5" s="488"/>
      <c r="V5" s="488"/>
      <c r="W5" s="488"/>
      <c r="X5" s="488"/>
      <c r="Y5" s="488"/>
      <c r="Z5" s="488"/>
      <c r="AA5" s="488"/>
      <c r="AB5" s="488"/>
      <c r="AC5" s="488"/>
      <c r="AD5" s="488"/>
      <c r="AE5" s="488"/>
      <c r="AF5" s="488"/>
      <c r="AG5" s="488"/>
      <c r="AH5" s="489"/>
      <c r="AI5" s="488">
        <f>SUM(AI6:AI33)</f>
        <v>0</v>
      </c>
    </row>
    <row r="6" spans="1:35" s="490" customFormat="1" ht="26.25" customHeight="1" x14ac:dyDescent="0.25">
      <c r="A6" s="485">
        <v>4</v>
      </c>
      <c r="B6" s="485" t="s">
        <v>294</v>
      </c>
      <c r="C6" s="485"/>
      <c r="D6" s="485"/>
      <c r="E6" s="485" t="s">
        <v>302</v>
      </c>
      <c r="F6" s="485"/>
      <c r="G6" s="485" t="s">
        <v>303</v>
      </c>
      <c r="H6" s="485" t="s">
        <v>295</v>
      </c>
      <c r="I6" s="486" t="s">
        <v>304</v>
      </c>
      <c r="J6" s="485">
        <v>1</v>
      </c>
      <c r="K6" s="487">
        <f>J6*$K$5</f>
        <v>1</v>
      </c>
      <c r="L6" s="487"/>
      <c r="M6" s="488">
        <v>679</v>
      </c>
      <c r="N6" s="488">
        <f>M6*K6</f>
        <v>679</v>
      </c>
      <c r="O6" s="157" t="s">
        <v>293</v>
      </c>
      <c r="P6" s="489" t="s">
        <v>300</v>
      </c>
      <c r="Q6" s="485"/>
      <c r="R6" s="176"/>
      <c r="S6" s="485"/>
      <c r="T6" s="485"/>
      <c r="U6" s="488"/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9"/>
      <c r="AI6" s="488"/>
    </row>
    <row r="7" spans="1:35" s="490" customFormat="1" ht="28.5" customHeight="1" x14ac:dyDescent="0.25">
      <c r="A7" s="485">
        <v>5</v>
      </c>
      <c r="B7" s="485" t="s">
        <v>294</v>
      </c>
      <c r="C7" s="485"/>
      <c r="D7" s="485"/>
      <c r="E7" s="485"/>
      <c r="F7" s="485" t="s">
        <v>305</v>
      </c>
      <c r="G7" s="485" t="s">
        <v>306</v>
      </c>
      <c r="H7" s="485"/>
      <c r="I7" s="486" t="s">
        <v>307</v>
      </c>
      <c r="J7" s="485">
        <v>1</v>
      </c>
      <c r="K7" s="487">
        <f>J7*$K$6</f>
        <v>1</v>
      </c>
      <c r="L7" s="487"/>
      <c r="M7" s="488">
        <v>339</v>
      </c>
      <c r="N7" s="488">
        <f t="shared" ref="N7:N91" si="2">M7*K7</f>
        <v>339</v>
      </c>
      <c r="O7" s="491" t="s">
        <v>251</v>
      </c>
      <c r="P7" s="489" t="s">
        <v>250</v>
      </c>
      <c r="Q7" s="485"/>
      <c r="R7" s="176"/>
      <c r="S7" s="485">
        <v>10</v>
      </c>
      <c r="T7" s="485">
        <v>1022</v>
      </c>
      <c r="U7" s="488">
        <v>5080</v>
      </c>
      <c r="V7" s="488"/>
      <c r="W7" s="488"/>
      <c r="X7" s="488"/>
      <c r="Y7" s="488"/>
      <c r="Z7" s="488"/>
      <c r="AA7" s="488"/>
      <c r="AB7" s="488"/>
      <c r="AC7" s="488"/>
      <c r="AD7" s="488"/>
      <c r="AE7" s="488"/>
      <c r="AF7" s="488"/>
      <c r="AG7" s="488"/>
      <c r="AH7" s="489"/>
      <c r="AI7" s="488"/>
    </row>
    <row r="8" spans="1:35" s="490" customFormat="1" ht="28.5" customHeight="1" x14ac:dyDescent="0.25">
      <c r="A8" s="485">
        <v>6</v>
      </c>
      <c r="B8" s="485" t="s">
        <v>294</v>
      </c>
      <c r="C8" s="485"/>
      <c r="D8" s="485"/>
      <c r="E8" s="485"/>
      <c r="F8" s="485" t="s">
        <v>308</v>
      </c>
      <c r="G8" s="485" t="s">
        <v>309</v>
      </c>
      <c r="H8" s="485"/>
      <c r="I8" s="486" t="s">
        <v>310</v>
      </c>
      <c r="J8" s="485">
        <v>1</v>
      </c>
      <c r="K8" s="487">
        <f t="shared" ref="K8:K18" si="3">J8*$K$6</f>
        <v>1</v>
      </c>
      <c r="L8" s="487"/>
      <c r="M8" s="488">
        <v>76</v>
      </c>
      <c r="N8" s="488">
        <f t="shared" si="2"/>
        <v>76</v>
      </c>
      <c r="O8" s="491" t="s">
        <v>251</v>
      </c>
      <c r="P8" s="489" t="s">
        <v>250</v>
      </c>
      <c r="Q8" s="485"/>
      <c r="R8" s="176"/>
      <c r="S8" s="485">
        <v>12</v>
      </c>
      <c r="T8" s="485">
        <v>180</v>
      </c>
      <c r="U8" s="488">
        <v>4775</v>
      </c>
      <c r="V8" s="488"/>
      <c r="W8" s="488"/>
      <c r="X8" s="488"/>
      <c r="Y8" s="488"/>
      <c r="Z8" s="488"/>
      <c r="AA8" s="488"/>
      <c r="AB8" s="488"/>
      <c r="AC8" s="488"/>
      <c r="AD8" s="488"/>
      <c r="AE8" s="488"/>
      <c r="AF8" s="488"/>
      <c r="AG8" s="488"/>
      <c r="AH8" s="489"/>
      <c r="AI8" s="488"/>
    </row>
    <row r="9" spans="1:35" s="490" customFormat="1" ht="26.25" customHeight="1" x14ac:dyDescent="0.25">
      <c r="A9" s="485">
        <v>7</v>
      </c>
      <c r="B9" s="485" t="s">
        <v>294</v>
      </c>
      <c r="C9" s="485"/>
      <c r="D9" s="485"/>
      <c r="E9" s="485"/>
      <c r="F9" s="485" t="s">
        <v>311</v>
      </c>
      <c r="G9" s="485" t="s">
        <v>312</v>
      </c>
      <c r="H9" s="485"/>
      <c r="I9" s="486" t="s">
        <v>313</v>
      </c>
      <c r="J9" s="485">
        <v>1</v>
      </c>
      <c r="K9" s="487">
        <f t="shared" si="3"/>
        <v>1</v>
      </c>
      <c r="L9" s="487"/>
      <c r="M9" s="488">
        <v>9</v>
      </c>
      <c r="N9" s="488">
        <f t="shared" si="2"/>
        <v>9</v>
      </c>
      <c r="O9" s="491" t="s">
        <v>251</v>
      </c>
      <c r="P9" s="489" t="s">
        <v>250</v>
      </c>
      <c r="Q9" s="485"/>
      <c r="R9" s="176"/>
      <c r="S9" s="485">
        <v>12</v>
      </c>
      <c r="T9" s="485">
        <v>180</v>
      </c>
      <c r="U9" s="488">
        <v>572</v>
      </c>
      <c r="V9" s="488"/>
      <c r="W9" s="488"/>
      <c r="X9" s="488"/>
      <c r="Y9" s="488"/>
      <c r="Z9" s="488"/>
      <c r="AA9" s="488"/>
      <c r="AB9" s="488"/>
      <c r="AC9" s="488"/>
      <c r="AD9" s="488"/>
      <c r="AE9" s="488"/>
      <c r="AF9" s="488"/>
      <c r="AG9" s="488"/>
      <c r="AH9" s="489"/>
      <c r="AI9" s="488"/>
    </row>
    <row r="10" spans="1:35" s="490" customFormat="1" ht="26.25" customHeight="1" x14ac:dyDescent="0.25">
      <c r="A10" s="485">
        <v>8</v>
      </c>
      <c r="B10" s="485" t="s">
        <v>294</v>
      </c>
      <c r="C10" s="485"/>
      <c r="D10" s="485"/>
      <c r="E10" s="485"/>
      <c r="F10" s="485" t="s">
        <v>314</v>
      </c>
      <c r="G10" s="485" t="s">
        <v>315</v>
      </c>
      <c r="H10" s="485"/>
      <c r="I10" s="486" t="s">
        <v>316</v>
      </c>
      <c r="J10" s="485">
        <v>1</v>
      </c>
      <c r="K10" s="487">
        <f t="shared" si="3"/>
        <v>1</v>
      </c>
      <c r="L10" s="487"/>
      <c r="M10" s="488">
        <v>8</v>
      </c>
      <c r="N10" s="488">
        <f t="shared" si="2"/>
        <v>8</v>
      </c>
      <c r="O10" s="491" t="s">
        <v>251</v>
      </c>
      <c r="P10" s="489" t="s">
        <v>317</v>
      </c>
      <c r="Q10" s="485"/>
      <c r="R10" s="176"/>
      <c r="S10" s="485">
        <v>20</v>
      </c>
      <c r="T10" s="485">
        <v>200</v>
      </c>
      <c r="U10" s="488">
        <v>324</v>
      </c>
      <c r="V10" s="488"/>
      <c r="W10" s="488"/>
      <c r="X10" s="488"/>
      <c r="Y10" s="488"/>
      <c r="Z10" s="488"/>
      <c r="AA10" s="488"/>
      <c r="AB10" s="488"/>
      <c r="AC10" s="488"/>
      <c r="AD10" s="488"/>
      <c r="AE10" s="488"/>
      <c r="AF10" s="488"/>
      <c r="AG10" s="488"/>
      <c r="AH10" s="489"/>
      <c r="AI10" s="488"/>
    </row>
    <row r="11" spans="1:35" s="490" customFormat="1" ht="26.25" customHeight="1" x14ac:dyDescent="0.25">
      <c r="A11" s="485">
        <v>9</v>
      </c>
      <c r="B11" s="485" t="s">
        <v>294</v>
      </c>
      <c r="C11" s="485"/>
      <c r="D11" s="485"/>
      <c r="E11" s="485"/>
      <c r="F11" s="485" t="s">
        <v>318</v>
      </c>
      <c r="G11" s="485" t="s">
        <v>319</v>
      </c>
      <c r="H11" s="485"/>
      <c r="I11" s="486" t="s">
        <v>320</v>
      </c>
      <c r="J11" s="485">
        <v>1</v>
      </c>
      <c r="K11" s="487">
        <f t="shared" si="3"/>
        <v>1</v>
      </c>
      <c r="L11" s="487"/>
      <c r="M11" s="488">
        <v>37</v>
      </c>
      <c r="N11" s="488">
        <f t="shared" si="2"/>
        <v>37</v>
      </c>
      <c r="O11" s="491" t="s">
        <v>251</v>
      </c>
      <c r="P11" s="489" t="s">
        <v>262</v>
      </c>
      <c r="Q11" s="485"/>
      <c r="R11" s="176"/>
      <c r="S11" s="485">
        <v>10</v>
      </c>
      <c r="T11" s="485">
        <v>100</v>
      </c>
      <c r="U11" s="488">
        <v>4702</v>
      </c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9"/>
      <c r="AI11" s="488"/>
    </row>
    <row r="12" spans="1:35" s="490" customFormat="1" ht="26.25" customHeight="1" x14ac:dyDescent="0.25">
      <c r="A12" s="485">
        <v>10</v>
      </c>
      <c r="B12" s="485" t="s">
        <v>294</v>
      </c>
      <c r="C12" s="485"/>
      <c r="D12" s="485"/>
      <c r="E12" s="485"/>
      <c r="F12" s="485" t="s">
        <v>321</v>
      </c>
      <c r="G12" s="485" t="s">
        <v>322</v>
      </c>
      <c r="H12" s="485"/>
      <c r="I12" s="486" t="s">
        <v>323</v>
      </c>
      <c r="J12" s="485">
        <v>1</v>
      </c>
      <c r="K12" s="487">
        <f t="shared" si="3"/>
        <v>1</v>
      </c>
      <c r="L12" s="487"/>
      <c r="M12" s="488">
        <v>0.8</v>
      </c>
      <c r="N12" s="488">
        <f t="shared" si="2"/>
        <v>0.8</v>
      </c>
      <c r="O12" s="491" t="s">
        <v>251</v>
      </c>
      <c r="P12" s="489" t="s">
        <v>250</v>
      </c>
      <c r="Q12" s="485"/>
      <c r="R12" s="176"/>
      <c r="S12" s="485">
        <v>10</v>
      </c>
      <c r="T12" s="485">
        <v>100</v>
      </c>
      <c r="U12" s="488">
        <v>191</v>
      </c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9"/>
      <c r="AI12" s="488"/>
    </row>
    <row r="13" spans="1:35" s="490" customFormat="1" ht="26.25" customHeight="1" x14ac:dyDescent="0.25">
      <c r="A13" s="485">
        <v>11</v>
      </c>
      <c r="B13" s="485" t="s">
        <v>294</v>
      </c>
      <c r="C13" s="485"/>
      <c r="D13" s="485"/>
      <c r="E13" s="485"/>
      <c r="F13" s="485" t="s">
        <v>324</v>
      </c>
      <c r="G13" s="485" t="s">
        <v>325</v>
      </c>
      <c r="H13" s="485"/>
      <c r="I13" s="486" t="s">
        <v>326</v>
      </c>
      <c r="J13" s="485">
        <v>1</v>
      </c>
      <c r="K13" s="487">
        <f t="shared" si="3"/>
        <v>1</v>
      </c>
      <c r="L13" s="487"/>
      <c r="M13" s="488">
        <v>11.6</v>
      </c>
      <c r="N13" s="488">
        <f t="shared" si="2"/>
        <v>11.6</v>
      </c>
      <c r="O13" s="491" t="s">
        <v>251</v>
      </c>
      <c r="P13" s="489" t="s">
        <v>317</v>
      </c>
      <c r="Q13" s="485"/>
      <c r="R13" s="176"/>
      <c r="S13" s="485">
        <v>40</v>
      </c>
      <c r="T13" s="485">
        <v>200</v>
      </c>
      <c r="U13" s="485">
        <v>200</v>
      </c>
      <c r="V13" s="488"/>
      <c r="W13" s="488"/>
      <c r="X13" s="488"/>
      <c r="Y13" s="488"/>
      <c r="Z13" s="488"/>
      <c r="AA13" s="488"/>
      <c r="AB13" s="488">
        <v>10</v>
      </c>
      <c r="AC13" s="488"/>
      <c r="AD13" s="488"/>
      <c r="AE13" s="488"/>
      <c r="AF13" s="488"/>
      <c r="AG13" s="488"/>
      <c r="AH13" s="489"/>
      <c r="AI13" s="488"/>
    </row>
    <row r="14" spans="1:35" s="490" customFormat="1" ht="26.25" customHeight="1" x14ac:dyDescent="0.25">
      <c r="A14" s="485">
        <v>12</v>
      </c>
      <c r="B14" s="485" t="s">
        <v>294</v>
      </c>
      <c r="C14" s="485"/>
      <c r="D14" s="485"/>
      <c r="E14" s="485"/>
      <c r="F14" s="485" t="s">
        <v>327</v>
      </c>
      <c r="G14" s="485" t="s">
        <v>328</v>
      </c>
      <c r="H14" s="485"/>
      <c r="I14" s="486" t="s">
        <v>329</v>
      </c>
      <c r="J14" s="485">
        <v>1</v>
      </c>
      <c r="K14" s="487">
        <f t="shared" si="3"/>
        <v>1</v>
      </c>
      <c r="L14" s="487"/>
      <c r="M14" s="488">
        <v>4</v>
      </c>
      <c r="N14" s="488">
        <f t="shared" si="2"/>
        <v>4</v>
      </c>
      <c r="O14" s="491" t="s">
        <v>251</v>
      </c>
      <c r="P14" s="489" t="s">
        <v>317</v>
      </c>
      <c r="Q14" s="485"/>
      <c r="R14" s="176"/>
      <c r="S14" s="485">
        <v>25</v>
      </c>
      <c r="T14" s="485">
        <v>165</v>
      </c>
      <c r="U14" s="488">
        <v>180</v>
      </c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9"/>
      <c r="AI14" s="488"/>
    </row>
    <row r="15" spans="1:35" s="490" customFormat="1" ht="26.25" customHeight="1" x14ac:dyDescent="0.25">
      <c r="A15" s="485">
        <v>13</v>
      </c>
      <c r="B15" s="485" t="s">
        <v>294</v>
      </c>
      <c r="C15" s="485"/>
      <c r="D15" s="485"/>
      <c r="E15" s="485"/>
      <c r="F15" s="485" t="s">
        <v>330</v>
      </c>
      <c r="G15" s="485" t="s">
        <v>331</v>
      </c>
      <c r="H15" s="485"/>
      <c r="I15" s="486" t="s">
        <v>332</v>
      </c>
      <c r="J15" s="485">
        <v>4</v>
      </c>
      <c r="K15" s="487">
        <f t="shared" si="3"/>
        <v>4</v>
      </c>
      <c r="L15" s="487"/>
      <c r="M15" s="488">
        <f>0.2*0.4536</f>
        <v>9.0720000000000009E-2</v>
      </c>
      <c r="N15" s="488">
        <f t="shared" si="2"/>
        <v>0.36288000000000004</v>
      </c>
      <c r="O15" s="491" t="s">
        <v>333</v>
      </c>
      <c r="P15" s="489" t="s">
        <v>334</v>
      </c>
      <c r="Q15" s="485"/>
      <c r="R15" s="176"/>
      <c r="S15" s="485" t="s">
        <v>335</v>
      </c>
      <c r="T15" s="485"/>
      <c r="U15" s="488">
        <v>51</v>
      </c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9"/>
      <c r="AI15" s="488"/>
    </row>
    <row r="16" spans="1:35" s="490" customFormat="1" ht="26.25" customHeight="1" x14ac:dyDescent="0.25">
      <c r="A16" s="485">
        <v>14</v>
      </c>
      <c r="B16" s="485" t="s">
        <v>294</v>
      </c>
      <c r="C16" s="485"/>
      <c r="D16" s="485"/>
      <c r="E16" s="485"/>
      <c r="F16" s="485" t="s">
        <v>336</v>
      </c>
      <c r="G16" s="485" t="s">
        <v>337</v>
      </c>
      <c r="H16" s="485"/>
      <c r="I16" s="486" t="s">
        <v>338</v>
      </c>
      <c r="J16" s="485">
        <v>2</v>
      </c>
      <c r="K16" s="487">
        <f t="shared" si="3"/>
        <v>2</v>
      </c>
      <c r="L16" s="487"/>
      <c r="M16" s="488">
        <v>19</v>
      </c>
      <c r="N16" s="488">
        <f t="shared" si="2"/>
        <v>38</v>
      </c>
      <c r="O16" s="491" t="s">
        <v>251</v>
      </c>
      <c r="P16" s="489" t="s">
        <v>262</v>
      </c>
      <c r="Q16" s="485"/>
      <c r="R16" s="176"/>
      <c r="S16" s="485">
        <v>50</v>
      </c>
      <c r="T16" s="485">
        <v>220</v>
      </c>
      <c r="U16" s="488">
        <v>334</v>
      </c>
      <c r="V16" s="488"/>
      <c r="W16" s="488"/>
      <c r="X16" s="488"/>
      <c r="Y16" s="488"/>
      <c r="Z16" s="488"/>
      <c r="AA16" s="488"/>
      <c r="AB16" s="488">
        <v>45</v>
      </c>
      <c r="AC16" s="488"/>
      <c r="AD16" s="488"/>
      <c r="AE16" s="488"/>
      <c r="AF16" s="488"/>
      <c r="AG16" s="488"/>
      <c r="AH16" s="489"/>
      <c r="AI16" s="488"/>
    </row>
    <row r="17" spans="1:35" s="490" customFormat="1" ht="26.25" customHeight="1" x14ac:dyDescent="0.25">
      <c r="A17" s="485">
        <v>15</v>
      </c>
      <c r="B17" s="485" t="s">
        <v>294</v>
      </c>
      <c r="C17" s="485"/>
      <c r="D17" s="485"/>
      <c r="E17" s="485"/>
      <c r="F17" s="485" t="s">
        <v>339</v>
      </c>
      <c r="G17" s="485" t="s">
        <v>300</v>
      </c>
      <c r="H17" s="485"/>
      <c r="I17" s="486" t="s">
        <v>340</v>
      </c>
      <c r="J17" s="485">
        <v>1</v>
      </c>
      <c r="K17" s="487">
        <f t="shared" si="3"/>
        <v>1</v>
      </c>
      <c r="L17" s="487"/>
      <c r="M17" s="488">
        <f>S17*T17*U17*0.00000785</f>
        <v>149.99779999999998</v>
      </c>
      <c r="N17" s="488">
        <f t="shared" si="2"/>
        <v>149.99779999999998</v>
      </c>
      <c r="O17" s="491" t="s">
        <v>251</v>
      </c>
      <c r="P17" s="489" t="s">
        <v>317</v>
      </c>
      <c r="Q17" s="485"/>
      <c r="R17" s="176"/>
      <c r="S17" s="485">
        <v>20</v>
      </c>
      <c r="T17" s="485">
        <v>200</v>
      </c>
      <c r="U17" s="488">
        <v>4777</v>
      </c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9"/>
      <c r="AI17" s="488"/>
    </row>
    <row r="18" spans="1:35" s="490" customFormat="1" ht="26.25" customHeight="1" x14ac:dyDescent="0.25">
      <c r="A18" s="485">
        <v>16</v>
      </c>
      <c r="B18" s="485" t="s">
        <v>294</v>
      </c>
      <c r="C18" s="485"/>
      <c r="D18" s="485"/>
      <c r="E18" s="485"/>
      <c r="F18" s="485" t="s">
        <v>341</v>
      </c>
      <c r="G18" s="485" t="s">
        <v>300</v>
      </c>
      <c r="H18" s="485"/>
      <c r="I18" s="486" t="s">
        <v>342</v>
      </c>
      <c r="J18" s="485">
        <v>2</v>
      </c>
      <c r="K18" s="487">
        <f t="shared" si="3"/>
        <v>2</v>
      </c>
      <c r="L18" s="487"/>
      <c r="M18" s="488">
        <f>S18*T18*U18*0.00000785</f>
        <v>2.6917649999999997</v>
      </c>
      <c r="N18" s="488">
        <f t="shared" si="2"/>
        <v>5.3835299999999995</v>
      </c>
      <c r="O18" s="491" t="s">
        <v>251</v>
      </c>
      <c r="P18" s="489" t="s">
        <v>317</v>
      </c>
      <c r="Q18" s="485"/>
      <c r="R18" s="176"/>
      <c r="S18" s="485">
        <v>12</v>
      </c>
      <c r="T18" s="485">
        <v>75</v>
      </c>
      <c r="U18" s="488">
        <v>381</v>
      </c>
      <c r="V18" s="488"/>
      <c r="W18" s="488"/>
      <c r="X18" s="488"/>
      <c r="Y18" s="488"/>
      <c r="Z18" s="488"/>
      <c r="AA18" s="488"/>
      <c r="AB18" s="488"/>
      <c r="AC18" s="488"/>
      <c r="AD18" s="488"/>
      <c r="AE18" s="488"/>
      <c r="AF18" s="488"/>
      <c r="AG18" s="488"/>
      <c r="AH18" s="489"/>
      <c r="AI18" s="488"/>
    </row>
    <row r="19" spans="1:35" s="490" customFormat="1" ht="26.25" customHeight="1" x14ac:dyDescent="0.25">
      <c r="A19" s="485">
        <v>17</v>
      </c>
      <c r="B19" s="485" t="s">
        <v>294</v>
      </c>
      <c r="C19" s="485"/>
      <c r="D19" s="485"/>
      <c r="E19" s="485" t="s">
        <v>343</v>
      </c>
      <c r="F19" s="485"/>
      <c r="G19" s="485" t="s">
        <v>344</v>
      </c>
      <c r="H19" s="485"/>
      <c r="I19" s="486" t="s">
        <v>345</v>
      </c>
      <c r="J19" s="485">
        <v>1</v>
      </c>
      <c r="K19" s="487">
        <f t="shared" ref="K19:K59" si="4">J19*$K$5</f>
        <v>1</v>
      </c>
      <c r="L19" s="488"/>
      <c r="M19" s="488">
        <v>667</v>
      </c>
      <c r="N19" s="488">
        <f t="shared" si="2"/>
        <v>667</v>
      </c>
      <c r="O19" s="157" t="s">
        <v>293</v>
      </c>
      <c r="P19" s="489" t="s">
        <v>346</v>
      </c>
      <c r="Q19" s="485"/>
      <c r="R19" s="176"/>
      <c r="S19" s="485"/>
      <c r="T19" s="488"/>
      <c r="U19" s="485"/>
      <c r="V19" s="488"/>
      <c r="W19" s="488"/>
      <c r="X19" s="488"/>
      <c r="Y19" s="488"/>
      <c r="Z19" s="488"/>
      <c r="AA19" s="488"/>
      <c r="AB19" s="488"/>
      <c r="AC19" s="488"/>
      <c r="AD19" s="488"/>
      <c r="AE19" s="488"/>
      <c r="AF19" s="488"/>
      <c r="AG19" s="488"/>
      <c r="AH19" s="489"/>
      <c r="AI19" s="488"/>
    </row>
    <row r="20" spans="1:35" s="490" customFormat="1" ht="26.25" customHeight="1" x14ac:dyDescent="0.25">
      <c r="A20" s="485">
        <v>18</v>
      </c>
      <c r="B20" s="485" t="s">
        <v>294</v>
      </c>
      <c r="C20" s="485"/>
      <c r="D20" s="485"/>
      <c r="E20" s="485"/>
      <c r="F20" s="485" t="s">
        <v>347</v>
      </c>
      <c r="G20" s="485" t="s">
        <v>348</v>
      </c>
      <c r="H20" s="485"/>
      <c r="I20" s="486" t="s">
        <v>349</v>
      </c>
      <c r="J20" s="485">
        <v>1</v>
      </c>
      <c r="K20" s="487">
        <f>J20*$K$19</f>
        <v>1</v>
      </c>
      <c r="L20" s="488"/>
      <c r="M20" s="488">
        <v>321</v>
      </c>
      <c r="N20" s="488">
        <f t="shared" si="2"/>
        <v>321</v>
      </c>
      <c r="O20" s="491" t="s">
        <v>251</v>
      </c>
      <c r="P20" s="489" t="s">
        <v>250</v>
      </c>
      <c r="Q20" s="485"/>
      <c r="R20" s="176"/>
      <c r="S20" s="485">
        <v>10</v>
      </c>
      <c r="T20" s="488">
        <v>1022</v>
      </c>
      <c r="U20" s="485">
        <v>5080</v>
      </c>
      <c r="V20" s="488"/>
      <c r="W20" s="488"/>
      <c r="X20" s="488"/>
      <c r="Y20" s="488"/>
      <c r="Z20" s="488"/>
      <c r="AA20" s="488"/>
      <c r="AB20" s="488"/>
      <c r="AC20" s="488"/>
      <c r="AD20" s="488"/>
      <c r="AE20" s="488"/>
      <c r="AF20" s="488"/>
      <c r="AG20" s="488"/>
      <c r="AH20" s="489"/>
      <c r="AI20" s="488"/>
    </row>
    <row r="21" spans="1:35" s="490" customFormat="1" ht="26.25" customHeight="1" x14ac:dyDescent="0.25">
      <c r="A21" s="485">
        <v>19</v>
      </c>
      <c r="B21" s="485" t="s">
        <v>294</v>
      </c>
      <c r="C21" s="485"/>
      <c r="D21" s="485"/>
      <c r="E21" s="485"/>
      <c r="F21" s="485" t="s">
        <v>350</v>
      </c>
      <c r="G21" s="485" t="s">
        <v>351</v>
      </c>
      <c r="H21" s="485"/>
      <c r="I21" s="486" t="s">
        <v>352</v>
      </c>
      <c r="J21" s="485">
        <v>1</v>
      </c>
      <c r="K21" s="487">
        <f t="shared" ref="K21:K32" si="5">J21*$K$19</f>
        <v>1</v>
      </c>
      <c r="L21" s="488"/>
      <c r="M21" s="488">
        <v>83</v>
      </c>
      <c r="N21" s="488">
        <f t="shared" si="2"/>
        <v>83</v>
      </c>
      <c r="O21" s="491" t="s">
        <v>251</v>
      </c>
      <c r="P21" s="489" t="s">
        <v>250</v>
      </c>
      <c r="Q21" s="485"/>
      <c r="R21" s="176"/>
      <c r="S21" s="485">
        <v>12</v>
      </c>
      <c r="T21" s="488">
        <v>180</v>
      </c>
      <c r="U21" s="485">
        <v>4775</v>
      </c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9"/>
      <c r="AI21" s="488"/>
    </row>
    <row r="22" spans="1:35" s="490" customFormat="1" ht="26.25" customHeight="1" x14ac:dyDescent="0.25">
      <c r="A22" s="485">
        <v>20</v>
      </c>
      <c r="B22" s="485" t="s">
        <v>294</v>
      </c>
      <c r="C22" s="485"/>
      <c r="D22" s="485"/>
      <c r="E22" s="485"/>
      <c r="F22" s="485" t="s">
        <v>353</v>
      </c>
      <c r="G22" s="485" t="s">
        <v>312</v>
      </c>
      <c r="H22" s="485"/>
      <c r="I22" s="486" t="s">
        <v>313</v>
      </c>
      <c r="J22" s="485">
        <v>1</v>
      </c>
      <c r="K22" s="487">
        <f t="shared" si="5"/>
        <v>1</v>
      </c>
      <c r="L22" s="488"/>
      <c r="M22" s="488">
        <v>9</v>
      </c>
      <c r="N22" s="488">
        <f t="shared" si="2"/>
        <v>9</v>
      </c>
      <c r="O22" s="491" t="s">
        <v>251</v>
      </c>
      <c r="P22" s="489" t="s">
        <v>250</v>
      </c>
      <c r="Q22" s="485"/>
      <c r="R22" s="176"/>
      <c r="S22" s="485">
        <v>12</v>
      </c>
      <c r="T22" s="485">
        <v>180</v>
      </c>
      <c r="U22" s="488">
        <v>572</v>
      </c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9"/>
      <c r="AI22" s="488"/>
    </row>
    <row r="23" spans="1:35" s="490" customFormat="1" ht="26.25" customHeight="1" x14ac:dyDescent="0.25">
      <c r="A23" s="485">
        <v>21</v>
      </c>
      <c r="B23" s="485" t="s">
        <v>294</v>
      </c>
      <c r="C23" s="485"/>
      <c r="D23" s="485"/>
      <c r="E23" s="485"/>
      <c r="F23" s="485" t="s">
        <v>354</v>
      </c>
      <c r="G23" s="485" t="s">
        <v>315</v>
      </c>
      <c r="H23" s="485"/>
      <c r="I23" s="486" t="s">
        <v>316</v>
      </c>
      <c r="J23" s="485">
        <v>1</v>
      </c>
      <c r="K23" s="487">
        <f t="shared" si="5"/>
        <v>1</v>
      </c>
      <c r="L23" s="488"/>
      <c r="M23" s="488">
        <v>8</v>
      </c>
      <c r="N23" s="488">
        <f t="shared" si="2"/>
        <v>8</v>
      </c>
      <c r="O23" s="491" t="s">
        <v>251</v>
      </c>
      <c r="P23" s="489" t="s">
        <v>317</v>
      </c>
      <c r="Q23" s="485"/>
      <c r="R23" s="176"/>
      <c r="S23" s="485">
        <v>20</v>
      </c>
      <c r="T23" s="485">
        <v>200</v>
      </c>
      <c r="U23" s="488">
        <v>324</v>
      </c>
      <c r="V23" s="488"/>
      <c r="W23" s="488"/>
      <c r="X23" s="488"/>
      <c r="Y23" s="488"/>
      <c r="Z23" s="488"/>
      <c r="AA23" s="488"/>
      <c r="AB23" s="488"/>
      <c r="AC23" s="488"/>
      <c r="AD23" s="488"/>
      <c r="AE23" s="488"/>
      <c r="AF23" s="488"/>
      <c r="AG23" s="488"/>
      <c r="AH23" s="489"/>
      <c r="AI23" s="488"/>
    </row>
    <row r="24" spans="1:35" s="490" customFormat="1" ht="26.25" customHeight="1" x14ac:dyDescent="0.25">
      <c r="A24" s="485">
        <v>22</v>
      </c>
      <c r="B24" s="485" t="s">
        <v>294</v>
      </c>
      <c r="C24" s="485"/>
      <c r="D24" s="485"/>
      <c r="E24" s="485"/>
      <c r="F24" s="485" t="s">
        <v>355</v>
      </c>
      <c r="G24" s="485" t="s">
        <v>319</v>
      </c>
      <c r="H24" s="485"/>
      <c r="I24" s="486" t="s">
        <v>320</v>
      </c>
      <c r="J24" s="485">
        <v>1</v>
      </c>
      <c r="K24" s="487">
        <f t="shared" si="5"/>
        <v>1</v>
      </c>
      <c r="L24" s="488"/>
      <c r="M24" s="488">
        <v>37</v>
      </c>
      <c r="N24" s="488">
        <f t="shared" si="2"/>
        <v>37</v>
      </c>
      <c r="O24" s="491" t="s">
        <v>251</v>
      </c>
      <c r="P24" s="489" t="s">
        <v>262</v>
      </c>
      <c r="Q24" s="485"/>
      <c r="R24" s="176"/>
      <c r="S24" s="485">
        <v>10</v>
      </c>
      <c r="T24" s="485">
        <v>100</v>
      </c>
      <c r="U24" s="488">
        <v>4702</v>
      </c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9"/>
      <c r="AI24" s="488"/>
    </row>
    <row r="25" spans="1:35" s="490" customFormat="1" ht="26.25" customHeight="1" x14ac:dyDescent="0.25">
      <c r="A25" s="485">
        <v>23</v>
      </c>
      <c r="B25" s="485" t="s">
        <v>294</v>
      </c>
      <c r="C25" s="485"/>
      <c r="D25" s="485"/>
      <c r="E25" s="485"/>
      <c r="F25" s="485" t="s">
        <v>356</v>
      </c>
      <c r="G25" s="485" t="s">
        <v>322</v>
      </c>
      <c r="H25" s="485"/>
      <c r="I25" s="486" t="s">
        <v>323</v>
      </c>
      <c r="J25" s="485">
        <v>1</v>
      </c>
      <c r="K25" s="487">
        <f t="shared" si="5"/>
        <v>1</v>
      </c>
      <c r="L25" s="488"/>
      <c r="M25" s="488">
        <v>0.8</v>
      </c>
      <c r="N25" s="488">
        <f t="shared" si="2"/>
        <v>0.8</v>
      </c>
      <c r="O25" s="491" t="s">
        <v>251</v>
      </c>
      <c r="P25" s="489" t="s">
        <v>250</v>
      </c>
      <c r="Q25" s="485"/>
      <c r="R25" s="176"/>
      <c r="S25" s="485">
        <v>10</v>
      </c>
      <c r="T25" s="485">
        <v>100</v>
      </c>
      <c r="U25" s="488">
        <v>191</v>
      </c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9"/>
      <c r="AI25" s="488"/>
    </row>
    <row r="26" spans="1:35" s="490" customFormat="1" ht="26.25" customHeight="1" x14ac:dyDescent="0.25">
      <c r="A26" s="485">
        <v>24</v>
      </c>
      <c r="B26" s="485" t="s">
        <v>294</v>
      </c>
      <c r="C26" s="485"/>
      <c r="D26" s="485"/>
      <c r="E26" s="485"/>
      <c r="F26" s="485" t="s">
        <v>357</v>
      </c>
      <c r="G26" s="485" t="s">
        <v>325</v>
      </c>
      <c r="H26" s="485"/>
      <c r="I26" s="486" t="s">
        <v>326</v>
      </c>
      <c r="J26" s="485">
        <v>1</v>
      </c>
      <c r="K26" s="487">
        <f t="shared" si="5"/>
        <v>1</v>
      </c>
      <c r="L26" s="488"/>
      <c r="M26" s="488">
        <v>11.6</v>
      </c>
      <c r="N26" s="488">
        <f t="shared" si="2"/>
        <v>11.6</v>
      </c>
      <c r="O26" s="491" t="s">
        <v>251</v>
      </c>
      <c r="P26" s="489" t="s">
        <v>317</v>
      </c>
      <c r="Q26" s="485"/>
      <c r="R26" s="176"/>
      <c r="S26" s="485">
        <v>40</v>
      </c>
      <c r="T26" s="485">
        <v>200</v>
      </c>
      <c r="U26" s="485">
        <v>200</v>
      </c>
      <c r="V26" s="488"/>
      <c r="W26" s="488"/>
      <c r="X26" s="488"/>
      <c r="Y26" s="488"/>
      <c r="Z26" s="488"/>
      <c r="AA26" s="488"/>
      <c r="AB26" s="488">
        <v>10</v>
      </c>
      <c r="AC26" s="488"/>
      <c r="AD26" s="488"/>
      <c r="AE26" s="488"/>
      <c r="AF26" s="488"/>
      <c r="AG26" s="488"/>
      <c r="AH26" s="489"/>
      <c r="AI26" s="488"/>
    </row>
    <row r="27" spans="1:35" s="490" customFormat="1" ht="26.25" customHeight="1" x14ac:dyDescent="0.25">
      <c r="A27" s="485">
        <v>25</v>
      </c>
      <c r="B27" s="485" t="s">
        <v>294</v>
      </c>
      <c r="C27" s="485"/>
      <c r="D27" s="485"/>
      <c r="E27" s="485"/>
      <c r="F27" s="485" t="s">
        <v>358</v>
      </c>
      <c r="G27" s="485" t="s">
        <v>328</v>
      </c>
      <c r="H27" s="485"/>
      <c r="I27" s="486" t="s">
        <v>329</v>
      </c>
      <c r="J27" s="485">
        <v>1</v>
      </c>
      <c r="K27" s="487">
        <f t="shared" si="5"/>
        <v>1</v>
      </c>
      <c r="L27" s="488"/>
      <c r="M27" s="488">
        <v>4</v>
      </c>
      <c r="N27" s="488">
        <f t="shared" si="2"/>
        <v>4</v>
      </c>
      <c r="O27" s="491" t="s">
        <v>251</v>
      </c>
      <c r="P27" s="489" t="s">
        <v>317</v>
      </c>
      <c r="Q27" s="485"/>
      <c r="R27" s="176"/>
      <c r="S27" s="485">
        <v>25</v>
      </c>
      <c r="T27" s="485">
        <v>165</v>
      </c>
      <c r="U27" s="488">
        <v>180</v>
      </c>
      <c r="V27" s="488"/>
      <c r="W27" s="488"/>
      <c r="X27" s="488"/>
      <c r="Y27" s="488"/>
      <c r="Z27" s="488"/>
      <c r="AA27" s="488"/>
      <c r="AB27" s="488"/>
      <c r="AC27" s="488"/>
      <c r="AD27" s="488"/>
      <c r="AE27" s="488"/>
      <c r="AF27" s="488"/>
      <c r="AG27" s="488"/>
      <c r="AH27" s="489"/>
      <c r="AI27" s="488"/>
    </row>
    <row r="28" spans="1:35" s="490" customFormat="1" ht="26.25" customHeight="1" x14ac:dyDescent="0.25">
      <c r="A28" s="485">
        <v>26</v>
      </c>
      <c r="B28" s="485" t="s">
        <v>294</v>
      </c>
      <c r="C28" s="485"/>
      <c r="D28" s="485"/>
      <c r="E28" s="485"/>
      <c r="F28" s="485" t="s">
        <v>359</v>
      </c>
      <c r="G28" s="485" t="s">
        <v>337</v>
      </c>
      <c r="H28" s="485"/>
      <c r="I28" s="486" t="s">
        <v>338</v>
      </c>
      <c r="J28" s="485">
        <v>2</v>
      </c>
      <c r="K28" s="487">
        <f t="shared" si="5"/>
        <v>2</v>
      </c>
      <c r="L28" s="488"/>
      <c r="M28" s="488">
        <v>19</v>
      </c>
      <c r="N28" s="488">
        <f t="shared" si="2"/>
        <v>38</v>
      </c>
      <c r="O28" s="491" t="s">
        <v>251</v>
      </c>
      <c r="P28" s="489" t="s">
        <v>262</v>
      </c>
      <c r="Q28" s="485"/>
      <c r="R28" s="176"/>
      <c r="S28" s="485">
        <v>50</v>
      </c>
      <c r="T28" s="485">
        <v>220</v>
      </c>
      <c r="U28" s="488">
        <v>334</v>
      </c>
      <c r="V28" s="488"/>
      <c r="W28" s="488"/>
      <c r="X28" s="488"/>
      <c r="Y28" s="488"/>
      <c r="Z28" s="488"/>
      <c r="AA28" s="488"/>
      <c r="AB28" s="488">
        <v>45</v>
      </c>
      <c r="AC28" s="488"/>
      <c r="AD28" s="488"/>
      <c r="AE28" s="488"/>
      <c r="AF28" s="488"/>
      <c r="AG28" s="488"/>
      <c r="AH28" s="489"/>
      <c r="AI28" s="488"/>
    </row>
    <row r="29" spans="1:35" s="490" customFormat="1" ht="26.25" customHeight="1" x14ac:dyDescent="0.25">
      <c r="A29" s="485">
        <v>27</v>
      </c>
      <c r="B29" s="485" t="s">
        <v>294</v>
      </c>
      <c r="C29" s="485"/>
      <c r="D29" s="485"/>
      <c r="E29" s="485"/>
      <c r="F29" s="485" t="s">
        <v>360</v>
      </c>
      <c r="G29" s="485" t="s">
        <v>300</v>
      </c>
      <c r="H29" s="485"/>
      <c r="I29" s="486" t="s">
        <v>340</v>
      </c>
      <c r="J29" s="485">
        <v>1</v>
      </c>
      <c r="K29" s="487">
        <f t="shared" si="5"/>
        <v>1</v>
      </c>
      <c r="L29" s="488"/>
      <c r="M29" s="488">
        <f>S29*T29*U29*0.00000785</f>
        <v>149.99779999999998</v>
      </c>
      <c r="N29" s="488">
        <f t="shared" si="2"/>
        <v>149.99779999999998</v>
      </c>
      <c r="O29" s="491" t="s">
        <v>251</v>
      </c>
      <c r="P29" s="489" t="s">
        <v>317</v>
      </c>
      <c r="Q29" s="485"/>
      <c r="R29" s="176"/>
      <c r="S29" s="485">
        <v>20</v>
      </c>
      <c r="T29" s="488">
        <v>200</v>
      </c>
      <c r="U29" s="485">
        <v>4777</v>
      </c>
      <c r="V29" s="488"/>
      <c r="W29" s="488"/>
      <c r="X29" s="488"/>
      <c r="Y29" s="488"/>
      <c r="Z29" s="488"/>
      <c r="AA29" s="488"/>
      <c r="AB29" s="488"/>
      <c r="AC29" s="488"/>
      <c r="AD29" s="488"/>
      <c r="AE29" s="488"/>
      <c r="AF29" s="488"/>
      <c r="AG29" s="488"/>
      <c r="AH29" s="489"/>
      <c r="AI29" s="488"/>
    </row>
    <row r="30" spans="1:35" s="490" customFormat="1" ht="26.25" customHeight="1" x14ac:dyDescent="0.25">
      <c r="A30" s="485">
        <v>28</v>
      </c>
      <c r="B30" s="485" t="s">
        <v>294</v>
      </c>
      <c r="C30" s="485"/>
      <c r="D30" s="485"/>
      <c r="E30" s="485"/>
      <c r="F30" s="485" t="s">
        <v>361</v>
      </c>
      <c r="G30" s="485" t="s">
        <v>300</v>
      </c>
      <c r="H30" s="485"/>
      <c r="I30" s="486" t="s">
        <v>362</v>
      </c>
      <c r="J30" s="485">
        <v>2</v>
      </c>
      <c r="K30" s="487">
        <f t="shared" si="5"/>
        <v>2</v>
      </c>
      <c r="L30" s="488"/>
      <c r="M30" s="488">
        <f>1.27*U30/1000</f>
        <v>0.13144500000000001</v>
      </c>
      <c r="N30" s="488">
        <f t="shared" si="2"/>
        <v>0.26289000000000001</v>
      </c>
      <c r="O30" s="491" t="s">
        <v>333</v>
      </c>
      <c r="P30" s="489" t="s">
        <v>363</v>
      </c>
      <c r="Q30" s="485"/>
      <c r="R30" s="176"/>
      <c r="S30" s="485" t="s">
        <v>364</v>
      </c>
      <c r="T30" s="488"/>
      <c r="U30" s="492">
        <v>103.5</v>
      </c>
      <c r="V30" s="488"/>
      <c r="W30" s="488"/>
      <c r="X30" s="488"/>
      <c r="Y30" s="488"/>
      <c r="Z30" s="488"/>
      <c r="AA30" s="488"/>
      <c r="AB30" s="488"/>
      <c r="AC30" s="488"/>
      <c r="AD30" s="488"/>
      <c r="AE30" s="488"/>
      <c r="AF30" s="488"/>
      <c r="AG30" s="488"/>
      <c r="AH30" s="489"/>
      <c r="AI30" s="488"/>
    </row>
    <row r="31" spans="1:35" s="490" customFormat="1" ht="26.25" customHeight="1" x14ac:dyDescent="0.25">
      <c r="A31" s="485">
        <v>29</v>
      </c>
      <c r="B31" s="485" t="s">
        <v>294</v>
      </c>
      <c r="C31" s="485"/>
      <c r="D31" s="485"/>
      <c r="E31" s="485"/>
      <c r="F31" s="485" t="s">
        <v>365</v>
      </c>
      <c r="G31" s="485" t="s">
        <v>300</v>
      </c>
      <c r="H31" s="485"/>
      <c r="I31" s="486" t="s">
        <v>366</v>
      </c>
      <c r="J31" s="485">
        <v>2</v>
      </c>
      <c r="K31" s="487">
        <f t="shared" si="5"/>
        <v>2</v>
      </c>
      <c r="L31" s="488"/>
      <c r="M31" s="488"/>
      <c r="N31" s="488">
        <f t="shared" si="2"/>
        <v>0</v>
      </c>
      <c r="O31" s="491" t="s">
        <v>367</v>
      </c>
      <c r="P31" s="489" t="s">
        <v>368</v>
      </c>
      <c r="Q31" s="485"/>
      <c r="R31" s="176"/>
      <c r="S31" s="485"/>
      <c r="T31" s="488"/>
      <c r="U31" s="485"/>
      <c r="V31" s="488"/>
      <c r="W31" s="488"/>
      <c r="X31" s="488"/>
      <c r="Y31" s="488"/>
      <c r="Z31" s="488"/>
      <c r="AA31" s="488"/>
      <c r="AB31" s="488"/>
      <c r="AC31" s="488"/>
      <c r="AD31" s="488"/>
      <c r="AE31" s="488"/>
      <c r="AF31" s="488"/>
      <c r="AG31" s="488"/>
      <c r="AH31" s="489"/>
      <c r="AI31" s="488"/>
    </row>
    <row r="32" spans="1:35" s="490" customFormat="1" ht="26.25" customHeight="1" x14ac:dyDescent="0.25">
      <c r="A32" s="485">
        <v>30</v>
      </c>
      <c r="B32" s="485" t="s">
        <v>294</v>
      </c>
      <c r="C32" s="485"/>
      <c r="D32" s="485"/>
      <c r="E32" s="485"/>
      <c r="F32" s="485" t="s">
        <v>369</v>
      </c>
      <c r="G32" s="485" t="s">
        <v>370</v>
      </c>
      <c r="H32" s="485"/>
      <c r="I32" s="486" t="s">
        <v>371</v>
      </c>
      <c r="J32" s="485">
        <v>2</v>
      </c>
      <c r="K32" s="487">
        <f t="shared" si="5"/>
        <v>2</v>
      </c>
      <c r="L32" s="488"/>
      <c r="M32" s="488">
        <v>2</v>
      </c>
      <c r="N32" s="488">
        <f t="shared" si="2"/>
        <v>4</v>
      </c>
      <c r="O32" s="491" t="s">
        <v>251</v>
      </c>
      <c r="P32" s="489" t="s">
        <v>250</v>
      </c>
      <c r="Q32" s="485"/>
      <c r="R32" s="176"/>
      <c r="S32" s="485">
        <v>10</v>
      </c>
      <c r="T32" s="488">
        <v>210</v>
      </c>
      <c r="U32" s="485">
        <v>210</v>
      </c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9"/>
      <c r="AI32" s="488"/>
    </row>
    <row r="33" spans="1:38" s="490" customFormat="1" ht="26.25" customHeight="1" x14ac:dyDescent="0.25">
      <c r="A33" s="485">
        <v>31</v>
      </c>
      <c r="B33" s="485" t="s">
        <v>294</v>
      </c>
      <c r="C33" s="485"/>
      <c r="D33" s="485"/>
      <c r="E33" s="485" t="s">
        <v>372</v>
      </c>
      <c r="F33" s="485"/>
      <c r="G33" s="485" t="s">
        <v>373</v>
      </c>
      <c r="H33" s="485"/>
      <c r="I33" s="486" t="s">
        <v>374</v>
      </c>
      <c r="J33" s="485">
        <v>2</v>
      </c>
      <c r="K33" s="487">
        <f t="shared" si="4"/>
        <v>2</v>
      </c>
      <c r="L33" s="488"/>
      <c r="M33" s="488">
        <v>3.4</v>
      </c>
      <c r="N33" s="488">
        <f t="shared" si="2"/>
        <v>6.8</v>
      </c>
      <c r="O33" s="491" t="s">
        <v>251</v>
      </c>
      <c r="P33" s="489" t="s">
        <v>250</v>
      </c>
      <c r="Q33" s="485"/>
      <c r="R33" s="176"/>
      <c r="S33" s="485">
        <v>12</v>
      </c>
      <c r="T33" s="488">
        <v>200</v>
      </c>
      <c r="U33" s="485">
        <v>240</v>
      </c>
      <c r="V33" s="488"/>
      <c r="W33" s="488"/>
      <c r="X33" s="488"/>
      <c r="Y33" s="488"/>
      <c r="Z33" s="488"/>
      <c r="AA33" s="488"/>
      <c r="AB33" s="488"/>
      <c r="AC33" s="488"/>
      <c r="AD33" s="488"/>
      <c r="AE33" s="488"/>
      <c r="AF33" s="488"/>
      <c r="AG33" s="488"/>
      <c r="AH33" s="489"/>
      <c r="AI33" s="488"/>
    </row>
    <row r="34" spans="1:38" s="490" customFormat="1" ht="26.25" customHeight="1" x14ac:dyDescent="0.25">
      <c r="A34" s="485">
        <v>32</v>
      </c>
      <c r="B34" s="485" t="s">
        <v>294</v>
      </c>
      <c r="C34" s="485"/>
      <c r="D34" s="485"/>
      <c r="E34" s="485" t="s">
        <v>375</v>
      </c>
      <c r="F34" s="485"/>
      <c r="G34" s="485" t="s">
        <v>376</v>
      </c>
      <c r="H34" s="485"/>
      <c r="I34" s="486" t="s">
        <v>377</v>
      </c>
      <c r="J34" s="485">
        <v>4</v>
      </c>
      <c r="K34" s="487">
        <f t="shared" si="4"/>
        <v>4</v>
      </c>
      <c r="L34" s="485"/>
      <c r="M34" s="488">
        <v>15</v>
      </c>
      <c r="N34" s="488">
        <f t="shared" si="2"/>
        <v>60</v>
      </c>
      <c r="O34" s="491" t="s">
        <v>251</v>
      </c>
      <c r="P34" s="493" t="s">
        <v>250</v>
      </c>
      <c r="Q34" s="494"/>
      <c r="R34" s="485"/>
      <c r="S34" s="485">
        <v>12</v>
      </c>
      <c r="T34" s="485">
        <v>373</v>
      </c>
      <c r="U34" s="485">
        <v>789</v>
      </c>
      <c r="V34" s="488"/>
      <c r="W34" s="485"/>
      <c r="X34" s="488"/>
      <c r="Y34" s="488"/>
      <c r="Z34" s="488"/>
      <c r="AA34" s="485"/>
      <c r="AB34" s="488"/>
      <c r="AC34" s="488"/>
      <c r="AD34" s="485"/>
      <c r="AE34" s="485"/>
      <c r="AF34" s="488"/>
      <c r="AG34" s="485"/>
      <c r="AH34" s="489"/>
      <c r="AI34" s="488"/>
    </row>
    <row r="35" spans="1:38" s="490" customFormat="1" ht="26.25" customHeight="1" x14ac:dyDescent="0.25">
      <c r="A35" s="485">
        <v>33</v>
      </c>
      <c r="B35" s="485" t="s">
        <v>294</v>
      </c>
      <c r="C35" s="485"/>
      <c r="D35" s="485"/>
      <c r="E35" s="485" t="s">
        <v>378</v>
      </c>
      <c r="F35" s="485"/>
      <c r="G35" s="485" t="s">
        <v>379</v>
      </c>
      <c r="H35" s="485"/>
      <c r="I35" s="486" t="s">
        <v>380</v>
      </c>
      <c r="J35" s="485">
        <v>2</v>
      </c>
      <c r="K35" s="487">
        <f t="shared" si="4"/>
        <v>2</v>
      </c>
      <c r="L35" s="495"/>
      <c r="M35" s="488">
        <v>5</v>
      </c>
      <c r="N35" s="488">
        <f t="shared" si="2"/>
        <v>10</v>
      </c>
      <c r="O35" s="157" t="s">
        <v>293</v>
      </c>
      <c r="P35" s="489"/>
      <c r="Q35" s="485"/>
      <c r="R35" s="176"/>
      <c r="S35" s="485"/>
      <c r="T35" s="485"/>
      <c r="U35" s="488"/>
      <c r="V35" s="488"/>
      <c r="W35" s="488"/>
      <c r="X35" s="488"/>
      <c r="Y35" s="488"/>
      <c r="Z35" s="488"/>
      <c r="AA35" s="488"/>
      <c r="AB35" s="488"/>
      <c r="AC35" s="488"/>
      <c r="AD35" s="488"/>
      <c r="AE35" s="488"/>
      <c r="AF35" s="488"/>
      <c r="AG35" s="488"/>
      <c r="AH35" s="489"/>
      <c r="AI35" s="488"/>
    </row>
    <row r="36" spans="1:38" s="490" customFormat="1" ht="26.25" customHeight="1" x14ac:dyDescent="0.25">
      <c r="A36" s="485">
        <v>34</v>
      </c>
      <c r="B36" s="485" t="s">
        <v>294</v>
      </c>
      <c r="C36" s="485"/>
      <c r="D36" s="485"/>
      <c r="E36" s="485"/>
      <c r="F36" s="485" t="s">
        <v>381</v>
      </c>
      <c r="G36" s="485"/>
      <c r="H36" s="485"/>
      <c r="I36" s="486" t="s">
        <v>382</v>
      </c>
      <c r="J36" s="485">
        <v>1</v>
      </c>
      <c r="K36" s="487">
        <f>J36*$K$35</f>
        <v>2</v>
      </c>
      <c r="L36" s="495"/>
      <c r="M36" s="488">
        <f>M35-M37</f>
        <v>4.6516484</v>
      </c>
      <c r="N36" s="488">
        <f t="shared" si="2"/>
        <v>9.3032968</v>
      </c>
      <c r="O36" s="491" t="s">
        <v>333</v>
      </c>
      <c r="P36" s="489" t="s">
        <v>363</v>
      </c>
      <c r="Q36" s="485"/>
      <c r="R36" s="176"/>
      <c r="S36" s="485" t="s">
        <v>383</v>
      </c>
      <c r="T36" s="485"/>
      <c r="U36" s="485">
        <v>255</v>
      </c>
      <c r="V36" s="488"/>
      <c r="W36" s="488"/>
      <c r="X36" s="488"/>
      <c r="Y36" s="488"/>
      <c r="Z36" s="488"/>
      <c r="AA36" s="488"/>
      <c r="AB36" s="488">
        <v>5</v>
      </c>
      <c r="AC36" s="488"/>
      <c r="AD36" s="488"/>
      <c r="AE36" s="488"/>
      <c r="AF36" s="488"/>
      <c r="AG36" s="488"/>
      <c r="AH36" s="489"/>
      <c r="AI36" s="488"/>
    </row>
    <row r="37" spans="1:38" s="490" customFormat="1" ht="26.25" customHeight="1" x14ac:dyDescent="0.25">
      <c r="A37" s="485">
        <v>35</v>
      </c>
      <c r="B37" s="485" t="s">
        <v>294</v>
      </c>
      <c r="C37" s="485"/>
      <c r="D37" s="485"/>
      <c r="E37" s="485"/>
      <c r="F37" s="485" t="s">
        <v>384</v>
      </c>
      <c r="G37" s="485"/>
      <c r="H37" s="485"/>
      <c r="I37" s="486" t="s">
        <v>385</v>
      </c>
      <c r="J37" s="485">
        <v>1</v>
      </c>
      <c r="K37" s="487">
        <f>J37*$K$35</f>
        <v>2</v>
      </c>
      <c r="L37" s="495"/>
      <c r="M37" s="488">
        <f>S37*T37*U37*0.00000785</f>
        <v>0.34835159999999998</v>
      </c>
      <c r="N37" s="488">
        <f t="shared" si="2"/>
        <v>0.69670319999999997</v>
      </c>
      <c r="O37" s="491" t="s">
        <v>251</v>
      </c>
      <c r="P37" s="489" t="s">
        <v>363</v>
      </c>
      <c r="Q37" s="485"/>
      <c r="R37" s="176"/>
      <c r="S37" s="485">
        <v>6</v>
      </c>
      <c r="T37" s="485">
        <v>86</v>
      </c>
      <c r="U37" s="488">
        <v>86</v>
      </c>
      <c r="V37" s="488"/>
      <c r="W37" s="488"/>
      <c r="X37" s="488"/>
      <c r="Y37" s="488"/>
      <c r="Z37" s="488"/>
      <c r="AA37" s="488"/>
      <c r="AB37" s="488"/>
      <c r="AC37" s="488"/>
      <c r="AD37" s="488"/>
      <c r="AE37" s="488"/>
      <c r="AF37" s="488"/>
      <c r="AG37" s="488"/>
      <c r="AH37" s="489"/>
      <c r="AI37" s="488"/>
    </row>
    <row r="38" spans="1:38" s="490" customFormat="1" ht="26.25" customHeight="1" x14ac:dyDescent="0.25">
      <c r="A38" s="485">
        <v>36</v>
      </c>
      <c r="B38" s="485" t="s">
        <v>294</v>
      </c>
      <c r="C38" s="485"/>
      <c r="D38" s="485"/>
      <c r="E38" s="485" t="s">
        <v>386</v>
      </c>
      <c r="F38" s="485"/>
      <c r="G38" s="485" t="s">
        <v>387</v>
      </c>
      <c r="H38" s="485"/>
      <c r="I38" s="486" t="s">
        <v>388</v>
      </c>
      <c r="J38" s="485">
        <v>2</v>
      </c>
      <c r="K38" s="487">
        <f t="shared" si="4"/>
        <v>2</v>
      </c>
      <c r="L38" s="488"/>
      <c r="M38" s="488">
        <v>498</v>
      </c>
      <c r="N38" s="488">
        <f t="shared" si="2"/>
        <v>996</v>
      </c>
      <c r="O38" s="491" t="s">
        <v>389</v>
      </c>
      <c r="P38" s="489" t="s">
        <v>390</v>
      </c>
      <c r="Q38" s="485"/>
      <c r="R38" s="176"/>
      <c r="S38" s="485" t="s">
        <v>391</v>
      </c>
      <c r="T38" s="485"/>
      <c r="U38" s="488">
        <v>4572</v>
      </c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9"/>
      <c r="AI38" s="488"/>
    </row>
    <row r="39" spans="1:38" s="490" customFormat="1" ht="26.25" customHeight="1" x14ac:dyDescent="0.25">
      <c r="A39" s="485">
        <v>37</v>
      </c>
      <c r="B39" s="485" t="s">
        <v>294</v>
      </c>
      <c r="C39" s="485"/>
      <c r="D39" s="485"/>
      <c r="E39" s="485" t="s">
        <v>392</v>
      </c>
      <c r="F39" s="485"/>
      <c r="G39" s="485" t="s">
        <v>393</v>
      </c>
      <c r="H39" s="485"/>
      <c r="I39" s="486" t="s">
        <v>394</v>
      </c>
      <c r="J39" s="485">
        <v>1</v>
      </c>
      <c r="K39" s="487">
        <f t="shared" si="4"/>
        <v>1</v>
      </c>
      <c r="L39" s="488"/>
      <c r="M39" s="488">
        <v>3</v>
      </c>
      <c r="N39" s="488">
        <f t="shared" si="2"/>
        <v>3</v>
      </c>
      <c r="O39" s="491" t="s">
        <v>395</v>
      </c>
      <c r="P39" s="489" t="s">
        <v>396</v>
      </c>
      <c r="Q39" s="485"/>
      <c r="R39" s="176"/>
      <c r="S39" s="485" t="s">
        <v>397</v>
      </c>
      <c r="T39" s="488"/>
      <c r="U39" s="485">
        <v>410</v>
      </c>
      <c r="V39" s="488"/>
      <c r="W39" s="488"/>
      <c r="X39" s="488"/>
      <c r="Y39" s="488"/>
      <c r="Z39" s="488"/>
      <c r="AA39" s="488"/>
      <c r="AB39" s="488"/>
      <c r="AC39" s="488"/>
      <c r="AD39" s="488"/>
      <c r="AE39" s="488"/>
      <c r="AF39" s="488"/>
      <c r="AG39" s="488"/>
      <c r="AH39" s="489"/>
      <c r="AI39" s="488"/>
    </row>
    <row r="40" spans="1:38" s="490" customFormat="1" ht="26.25" customHeight="1" x14ac:dyDescent="0.25">
      <c r="A40" s="485">
        <v>38</v>
      </c>
      <c r="B40" s="485" t="s">
        <v>294</v>
      </c>
      <c r="C40" s="485"/>
      <c r="D40" s="485"/>
      <c r="E40" s="485" t="s">
        <v>398</v>
      </c>
      <c r="F40" s="485"/>
      <c r="G40" s="485" t="s">
        <v>399</v>
      </c>
      <c r="H40" s="485"/>
      <c r="I40" s="486" t="s">
        <v>400</v>
      </c>
      <c r="J40" s="485">
        <v>1</v>
      </c>
      <c r="K40" s="487">
        <f t="shared" si="4"/>
        <v>1</v>
      </c>
      <c r="L40" s="485"/>
      <c r="M40" s="488">
        <v>3</v>
      </c>
      <c r="N40" s="488">
        <f t="shared" si="2"/>
        <v>3</v>
      </c>
      <c r="O40" s="491" t="s">
        <v>395</v>
      </c>
      <c r="P40" s="489" t="s">
        <v>396</v>
      </c>
      <c r="Q40" s="494"/>
      <c r="R40" s="489"/>
      <c r="S40" s="485" t="s">
        <v>397</v>
      </c>
      <c r="T40" s="485"/>
      <c r="U40" s="485">
        <v>410</v>
      </c>
      <c r="V40" s="488"/>
      <c r="W40" s="485"/>
      <c r="X40" s="488"/>
      <c r="Y40" s="488"/>
      <c r="Z40" s="488"/>
      <c r="AA40" s="485"/>
      <c r="AB40" s="488"/>
      <c r="AC40" s="488"/>
      <c r="AD40" s="485"/>
      <c r="AE40" s="485"/>
      <c r="AF40" s="488"/>
      <c r="AG40" s="488"/>
      <c r="AH40" s="489"/>
      <c r="AI40" s="488"/>
      <c r="AL40" s="495"/>
    </row>
    <row r="41" spans="1:38" s="490" customFormat="1" ht="26.25" customHeight="1" x14ac:dyDescent="0.25">
      <c r="A41" s="485">
        <v>39</v>
      </c>
      <c r="B41" s="485" t="s">
        <v>294</v>
      </c>
      <c r="C41" s="485"/>
      <c r="D41" s="485"/>
      <c r="E41" s="485" t="s">
        <v>401</v>
      </c>
      <c r="F41" s="485"/>
      <c r="G41" s="485" t="s">
        <v>300</v>
      </c>
      <c r="H41" s="485"/>
      <c r="I41" s="486" t="s">
        <v>402</v>
      </c>
      <c r="J41" s="485">
        <v>7</v>
      </c>
      <c r="K41" s="487">
        <f t="shared" si="4"/>
        <v>7</v>
      </c>
      <c r="L41" s="488"/>
      <c r="M41" s="488">
        <f>25.3*U41/1000</f>
        <v>55.609400000000001</v>
      </c>
      <c r="N41" s="488">
        <f t="shared" si="2"/>
        <v>389.26580000000001</v>
      </c>
      <c r="O41" s="491" t="s">
        <v>395</v>
      </c>
      <c r="P41" s="489" t="s">
        <v>250</v>
      </c>
      <c r="Q41" s="485"/>
      <c r="R41" s="489"/>
      <c r="S41" s="485" t="s">
        <v>403</v>
      </c>
      <c r="T41" s="485"/>
      <c r="U41" s="488">
        <v>2198</v>
      </c>
      <c r="V41" s="488">
        <f>25.3*U41/1000</f>
        <v>55.609400000000001</v>
      </c>
      <c r="W41" s="488"/>
      <c r="X41" s="488"/>
      <c r="Y41" s="488"/>
      <c r="Z41" s="485"/>
      <c r="AA41" s="485"/>
      <c r="AB41" s="485"/>
      <c r="AC41" s="488"/>
      <c r="AD41" s="485"/>
      <c r="AE41" s="485"/>
      <c r="AF41" s="485"/>
      <c r="AG41" s="488"/>
      <c r="AH41" s="489"/>
      <c r="AI41" s="488"/>
      <c r="AL41" s="495"/>
    </row>
    <row r="42" spans="1:38" s="490" customFormat="1" ht="26.25" customHeight="1" x14ac:dyDescent="0.25">
      <c r="A42" s="485">
        <v>40</v>
      </c>
      <c r="B42" s="485" t="s">
        <v>294</v>
      </c>
      <c r="C42" s="485"/>
      <c r="D42" s="488"/>
      <c r="E42" s="485" t="s">
        <v>404</v>
      </c>
      <c r="F42" s="485"/>
      <c r="G42" s="485" t="s">
        <v>405</v>
      </c>
      <c r="H42" s="485"/>
      <c r="I42" s="486" t="s">
        <v>406</v>
      </c>
      <c r="J42" s="485">
        <v>1</v>
      </c>
      <c r="K42" s="487">
        <f t="shared" si="4"/>
        <v>1</v>
      </c>
      <c r="L42" s="485"/>
      <c r="M42" s="488">
        <v>27.7</v>
      </c>
      <c r="N42" s="488">
        <f t="shared" si="2"/>
        <v>27.7</v>
      </c>
      <c r="O42" s="489" t="s">
        <v>251</v>
      </c>
      <c r="P42" s="489" t="s">
        <v>407</v>
      </c>
      <c r="Q42" s="485"/>
      <c r="R42" s="489"/>
      <c r="S42" s="485">
        <v>6</v>
      </c>
      <c r="T42" s="485">
        <v>720</v>
      </c>
      <c r="U42" s="488">
        <v>819</v>
      </c>
      <c r="V42" s="488"/>
      <c r="W42" s="488"/>
      <c r="X42" s="488"/>
      <c r="Y42" s="488"/>
      <c r="Z42" s="485">
        <v>1</v>
      </c>
      <c r="AA42" s="485" t="s">
        <v>408</v>
      </c>
      <c r="AB42" s="485"/>
      <c r="AC42" s="488"/>
      <c r="AD42" s="485"/>
      <c r="AE42" s="485"/>
      <c r="AF42" s="485"/>
      <c r="AG42" s="488"/>
      <c r="AH42" s="489"/>
      <c r="AI42" s="488"/>
      <c r="AL42" s="495"/>
    </row>
    <row r="43" spans="1:38" s="490" customFormat="1" ht="26.25" customHeight="1" x14ac:dyDescent="0.25">
      <c r="A43" s="485">
        <v>41</v>
      </c>
      <c r="B43" s="485" t="s">
        <v>294</v>
      </c>
      <c r="C43" s="485"/>
      <c r="D43" s="485"/>
      <c r="E43" s="485" t="s">
        <v>409</v>
      </c>
      <c r="F43" s="485"/>
      <c r="G43" s="485" t="s">
        <v>300</v>
      </c>
      <c r="H43" s="485"/>
      <c r="I43" s="486" t="s">
        <v>410</v>
      </c>
      <c r="J43" s="485">
        <v>1</v>
      </c>
      <c r="K43" s="487">
        <f t="shared" si="4"/>
        <v>1</v>
      </c>
      <c r="L43" s="485"/>
      <c r="M43" s="488">
        <f>8.64*U43/1000</f>
        <v>40.366080000000004</v>
      </c>
      <c r="N43" s="488">
        <f t="shared" si="2"/>
        <v>40.366080000000004</v>
      </c>
      <c r="O43" s="491" t="s">
        <v>395</v>
      </c>
      <c r="P43" s="489" t="s">
        <v>396</v>
      </c>
      <c r="Q43" s="485"/>
      <c r="R43" s="489"/>
      <c r="S43" s="485" t="s">
        <v>397</v>
      </c>
      <c r="T43" s="488"/>
      <c r="U43" s="488">
        <v>4672</v>
      </c>
      <c r="V43" s="488">
        <f>8.64*U43/1000</f>
        <v>40.366080000000004</v>
      </c>
      <c r="W43" s="488"/>
      <c r="X43" s="485"/>
      <c r="Y43" s="485"/>
      <c r="Z43" s="485"/>
      <c r="AA43" s="485"/>
      <c r="AB43" s="485"/>
      <c r="AC43" s="488"/>
      <c r="AD43" s="485"/>
      <c r="AE43" s="485"/>
      <c r="AF43" s="485"/>
      <c r="AG43" s="488"/>
      <c r="AH43" s="489"/>
      <c r="AI43" s="493"/>
      <c r="AL43" s="495"/>
    </row>
    <row r="44" spans="1:38" s="490" customFormat="1" ht="26.25" customHeight="1" x14ac:dyDescent="0.25">
      <c r="A44" s="485">
        <v>42</v>
      </c>
      <c r="B44" s="485" t="s">
        <v>294</v>
      </c>
      <c r="C44" s="485"/>
      <c r="D44" s="488"/>
      <c r="E44" s="485" t="s">
        <v>411</v>
      </c>
      <c r="F44" s="485"/>
      <c r="G44" s="485" t="s">
        <v>300</v>
      </c>
      <c r="H44" s="485"/>
      <c r="I44" s="486" t="s">
        <v>412</v>
      </c>
      <c r="J44" s="485">
        <v>5</v>
      </c>
      <c r="K44" s="487">
        <f t="shared" si="4"/>
        <v>5</v>
      </c>
      <c r="L44" s="485"/>
      <c r="M44" s="488">
        <f>8.64*U44/1000</f>
        <v>9.8755199999999999</v>
      </c>
      <c r="N44" s="488">
        <f t="shared" si="2"/>
        <v>49.377600000000001</v>
      </c>
      <c r="O44" s="491" t="s">
        <v>395</v>
      </c>
      <c r="P44" s="489" t="s">
        <v>396</v>
      </c>
      <c r="Q44" s="485"/>
      <c r="R44" s="489"/>
      <c r="S44" s="485" t="s">
        <v>397</v>
      </c>
      <c r="T44" s="485"/>
      <c r="U44" s="488">
        <v>1143</v>
      </c>
      <c r="V44" s="488">
        <f>8.64*U44/1000</f>
        <v>9.8755199999999999</v>
      </c>
      <c r="W44" s="488"/>
      <c r="X44" s="488"/>
      <c r="Y44" s="488"/>
      <c r="Z44" s="485"/>
      <c r="AA44" s="485"/>
      <c r="AB44" s="485"/>
      <c r="AC44" s="485"/>
      <c r="AD44" s="485"/>
      <c r="AE44" s="485"/>
      <c r="AF44" s="485"/>
      <c r="AG44" s="488"/>
      <c r="AH44" s="489"/>
      <c r="AI44" s="488"/>
      <c r="AL44" s="495"/>
    </row>
    <row r="45" spans="1:38" s="490" customFormat="1" ht="26.25" customHeight="1" x14ac:dyDescent="0.25">
      <c r="A45" s="485">
        <v>43</v>
      </c>
      <c r="B45" s="485" t="s">
        <v>294</v>
      </c>
      <c r="C45" s="485"/>
      <c r="D45" s="485"/>
      <c r="E45" s="485" t="s">
        <v>413</v>
      </c>
      <c r="F45" s="485"/>
      <c r="G45" s="485" t="s">
        <v>414</v>
      </c>
      <c r="H45" s="485"/>
      <c r="I45" s="486" t="s">
        <v>415</v>
      </c>
      <c r="J45" s="485">
        <v>1</v>
      </c>
      <c r="K45" s="487">
        <f t="shared" si="4"/>
        <v>1</v>
      </c>
      <c r="L45" s="485"/>
      <c r="M45" s="488">
        <f>8.64*U45/1000</f>
        <v>39.942720000000001</v>
      </c>
      <c r="N45" s="488">
        <f t="shared" si="2"/>
        <v>39.942720000000001</v>
      </c>
      <c r="O45" s="491" t="s">
        <v>395</v>
      </c>
      <c r="P45" s="489" t="s">
        <v>396</v>
      </c>
      <c r="Q45" s="494"/>
      <c r="R45" s="489"/>
      <c r="S45" s="485" t="s">
        <v>397</v>
      </c>
      <c r="T45" s="485"/>
      <c r="U45" s="488">
        <v>4623</v>
      </c>
      <c r="V45" s="488">
        <f>8.64*U45/1000</f>
        <v>39.942720000000001</v>
      </c>
      <c r="W45" s="485"/>
      <c r="X45" s="488"/>
      <c r="Y45" s="488"/>
      <c r="Z45" s="488"/>
      <c r="AA45" s="485"/>
      <c r="AB45" s="488"/>
      <c r="AC45" s="488"/>
      <c r="AD45" s="485"/>
      <c r="AE45" s="485"/>
      <c r="AF45" s="488"/>
      <c r="AG45" s="488"/>
      <c r="AH45" s="489"/>
      <c r="AI45" s="488"/>
      <c r="AL45" s="495"/>
    </row>
    <row r="46" spans="1:38" s="490" customFormat="1" ht="26.25" customHeight="1" x14ac:dyDescent="0.25">
      <c r="A46" s="485">
        <v>44</v>
      </c>
      <c r="B46" s="485" t="s">
        <v>294</v>
      </c>
      <c r="C46" s="485"/>
      <c r="D46" s="488"/>
      <c r="E46" s="485" t="s">
        <v>416</v>
      </c>
      <c r="F46" s="485"/>
      <c r="G46" s="485" t="s">
        <v>417</v>
      </c>
      <c r="H46" s="485"/>
      <c r="I46" s="486" t="s">
        <v>418</v>
      </c>
      <c r="J46" s="485">
        <v>1</v>
      </c>
      <c r="K46" s="487">
        <f t="shared" si="4"/>
        <v>1</v>
      </c>
      <c r="L46" s="488"/>
      <c r="M46" s="488">
        <f>S46*T46*U46*0.00000785</f>
        <v>0.69731549999999998</v>
      </c>
      <c r="N46" s="488">
        <f t="shared" si="2"/>
        <v>0.69731549999999998</v>
      </c>
      <c r="O46" s="489" t="s">
        <v>251</v>
      </c>
      <c r="P46" s="489" t="s">
        <v>317</v>
      </c>
      <c r="Q46" s="485"/>
      <c r="R46" s="489"/>
      <c r="S46" s="485">
        <v>6</v>
      </c>
      <c r="T46" s="485">
        <v>45</v>
      </c>
      <c r="U46" s="488">
        <v>329</v>
      </c>
      <c r="V46" s="488"/>
      <c r="W46" s="488"/>
      <c r="X46" s="488"/>
      <c r="Y46" s="488"/>
      <c r="Z46" s="485"/>
      <c r="AA46" s="485"/>
      <c r="AB46" s="485"/>
      <c r="AC46" s="488"/>
      <c r="AD46" s="485"/>
      <c r="AE46" s="485"/>
      <c r="AF46" s="485"/>
      <c r="AG46" s="488"/>
      <c r="AH46" s="489"/>
      <c r="AI46" s="488"/>
      <c r="AL46" s="495"/>
    </row>
    <row r="47" spans="1:38" s="490" customFormat="1" ht="26.25" customHeight="1" x14ac:dyDescent="0.25">
      <c r="A47" s="485">
        <v>45</v>
      </c>
      <c r="B47" s="485" t="s">
        <v>294</v>
      </c>
      <c r="C47" s="485"/>
      <c r="D47" s="485"/>
      <c r="E47" s="485" t="s">
        <v>419</v>
      </c>
      <c r="F47" s="485"/>
      <c r="G47" s="485" t="s">
        <v>300</v>
      </c>
      <c r="H47" s="485"/>
      <c r="I47" s="486" t="s">
        <v>420</v>
      </c>
      <c r="J47" s="485">
        <v>1</v>
      </c>
      <c r="K47" s="487">
        <f t="shared" si="4"/>
        <v>1</v>
      </c>
      <c r="L47" s="485"/>
      <c r="M47" s="488">
        <f>42.56*U47/1000</f>
        <v>101.63328</v>
      </c>
      <c r="N47" s="488">
        <f t="shared" si="2"/>
        <v>101.63328</v>
      </c>
      <c r="O47" s="489" t="s">
        <v>333</v>
      </c>
      <c r="P47" s="489" t="s">
        <v>280</v>
      </c>
      <c r="Q47" s="485"/>
      <c r="R47" s="489"/>
      <c r="S47" s="485" t="s">
        <v>421</v>
      </c>
      <c r="T47" s="485"/>
      <c r="U47" s="485">
        <v>2388</v>
      </c>
      <c r="V47" s="488"/>
      <c r="W47" s="488"/>
      <c r="X47" s="488"/>
      <c r="Y47" s="488"/>
      <c r="Z47" s="485"/>
      <c r="AA47" s="485"/>
      <c r="AB47" s="485"/>
      <c r="AC47" s="488"/>
      <c r="AD47" s="485"/>
      <c r="AE47" s="485"/>
      <c r="AF47" s="485"/>
      <c r="AG47" s="488"/>
      <c r="AH47" s="489"/>
      <c r="AI47" s="488"/>
      <c r="AL47" s="495"/>
    </row>
    <row r="48" spans="1:38" s="490" customFormat="1" ht="26.25" customHeight="1" x14ac:dyDescent="0.2">
      <c r="A48" s="485">
        <v>46</v>
      </c>
      <c r="B48" s="485" t="s">
        <v>294</v>
      </c>
      <c r="C48" s="485"/>
      <c r="D48" s="488"/>
      <c r="E48" s="485" t="s">
        <v>422</v>
      </c>
      <c r="F48" s="485"/>
      <c r="G48" s="485" t="s">
        <v>423</v>
      </c>
      <c r="H48" s="485"/>
      <c r="I48" s="486" t="s">
        <v>424</v>
      </c>
      <c r="J48" s="485">
        <v>1</v>
      </c>
      <c r="K48" s="487">
        <f t="shared" si="4"/>
        <v>1</v>
      </c>
      <c r="L48" s="492"/>
      <c r="M48" s="488">
        <f>S48*T48*U48*0.00000785</f>
        <v>0.59345999999999999</v>
      </c>
      <c r="N48" s="488">
        <f t="shared" si="2"/>
        <v>0.59345999999999999</v>
      </c>
      <c r="O48" s="489" t="s">
        <v>251</v>
      </c>
      <c r="P48" s="489" t="s">
        <v>317</v>
      </c>
      <c r="Q48" s="485"/>
      <c r="R48" s="489"/>
      <c r="S48" s="485">
        <v>6</v>
      </c>
      <c r="T48" s="485">
        <v>45</v>
      </c>
      <c r="U48" s="488">
        <v>280</v>
      </c>
      <c r="V48" s="496"/>
      <c r="W48" s="488"/>
      <c r="X48" s="485"/>
      <c r="Y48" s="485"/>
      <c r="Z48" s="485"/>
      <c r="AA48" s="485"/>
      <c r="AB48" s="485"/>
      <c r="AC48" s="488"/>
      <c r="AD48" s="485"/>
      <c r="AE48" s="488"/>
      <c r="AF48" s="485"/>
      <c r="AG48" s="488"/>
      <c r="AH48" s="489"/>
      <c r="AI48" s="493"/>
      <c r="AL48" s="495"/>
    </row>
    <row r="49" spans="1:38" s="490" customFormat="1" ht="26.25" customHeight="1" x14ac:dyDescent="0.25">
      <c r="A49" s="485">
        <v>47</v>
      </c>
      <c r="B49" s="485" t="s">
        <v>294</v>
      </c>
      <c r="C49" s="485"/>
      <c r="D49" s="485"/>
      <c r="E49" s="485" t="s">
        <v>425</v>
      </c>
      <c r="F49" s="485"/>
      <c r="G49" s="485" t="s">
        <v>426</v>
      </c>
      <c r="H49" s="485"/>
      <c r="I49" s="486" t="s">
        <v>427</v>
      </c>
      <c r="J49" s="485">
        <v>1</v>
      </c>
      <c r="K49" s="487">
        <f t="shared" si="4"/>
        <v>1</v>
      </c>
      <c r="L49" s="485"/>
      <c r="M49" s="488">
        <v>4.0999999999999996</v>
      </c>
      <c r="N49" s="488">
        <f t="shared" si="2"/>
        <v>4.0999999999999996</v>
      </c>
      <c r="O49" s="489" t="s">
        <v>251</v>
      </c>
      <c r="P49" s="489" t="s">
        <v>407</v>
      </c>
      <c r="Q49" s="485"/>
      <c r="R49" s="489"/>
      <c r="S49" s="485">
        <v>6</v>
      </c>
      <c r="T49" s="485">
        <v>126</v>
      </c>
      <c r="U49" s="488">
        <v>691</v>
      </c>
      <c r="V49" s="488"/>
      <c r="W49" s="488"/>
      <c r="X49" s="488"/>
      <c r="Y49" s="488"/>
      <c r="Z49" s="485">
        <v>1</v>
      </c>
      <c r="AA49" s="485" t="s">
        <v>428</v>
      </c>
      <c r="AB49" s="485"/>
      <c r="AC49" s="485"/>
      <c r="AD49" s="485"/>
      <c r="AE49" s="485"/>
      <c r="AF49" s="485"/>
      <c r="AG49" s="488"/>
      <c r="AH49" s="489"/>
      <c r="AI49" s="488"/>
      <c r="AL49" s="495"/>
    </row>
    <row r="50" spans="1:38" s="490" customFormat="1" ht="26.25" customHeight="1" x14ac:dyDescent="0.25">
      <c r="A50" s="485">
        <v>48</v>
      </c>
      <c r="B50" s="485" t="s">
        <v>294</v>
      </c>
      <c r="C50" s="485"/>
      <c r="D50" s="488"/>
      <c r="E50" s="485" t="s">
        <v>429</v>
      </c>
      <c r="F50" s="485"/>
      <c r="G50" s="485" t="s">
        <v>430</v>
      </c>
      <c r="H50" s="485"/>
      <c r="I50" s="486" t="s">
        <v>431</v>
      </c>
      <c r="J50" s="485">
        <v>1</v>
      </c>
      <c r="K50" s="487">
        <f t="shared" si="4"/>
        <v>1</v>
      </c>
      <c r="L50" s="485"/>
      <c r="M50" s="488">
        <f>8.64*U50/1000</f>
        <v>14.264640000000002</v>
      </c>
      <c r="N50" s="488">
        <f t="shared" si="2"/>
        <v>14.264640000000002</v>
      </c>
      <c r="O50" s="491" t="s">
        <v>395</v>
      </c>
      <c r="P50" s="489" t="s">
        <v>396</v>
      </c>
      <c r="Q50" s="494"/>
      <c r="R50" s="489"/>
      <c r="S50" s="485" t="s">
        <v>397</v>
      </c>
      <c r="T50" s="485"/>
      <c r="U50" s="488">
        <v>1651</v>
      </c>
      <c r="V50" s="488">
        <f>8.64*U50/1000</f>
        <v>14.264640000000002</v>
      </c>
      <c r="W50" s="485"/>
      <c r="X50" s="488"/>
      <c r="Y50" s="488"/>
      <c r="Z50" s="488"/>
      <c r="AA50" s="485"/>
      <c r="AB50" s="488"/>
      <c r="AC50" s="488"/>
      <c r="AD50" s="485"/>
      <c r="AE50" s="485"/>
      <c r="AF50" s="488"/>
      <c r="AG50" s="488"/>
      <c r="AH50" s="489"/>
      <c r="AI50" s="488"/>
      <c r="AL50" s="495"/>
    </row>
    <row r="51" spans="1:38" s="490" customFormat="1" ht="26.25" customHeight="1" x14ac:dyDescent="0.25">
      <c r="A51" s="485">
        <v>49</v>
      </c>
      <c r="B51" s="485" t="s">
        <v>294</v>
      </c>
      <c r="C51" s="485"/>
      <c r="D51" s="485"/>
      <c r="E51" s="485" t="s">
        <v>432</v>
      </c>
      <c r="F51" s="485"/>
      <c r="G51" s="485" t="s">
        <v>433</v>
      </c>
      <c r="H51" s="485"/>
      <c r="I51" s="486" t="s">
        <v>434</v>
      </c>
      <c r="J51" s="485">
        <v>1</v>
      </c>
      <c r="K51" s="487">
        <f t="shared" si="4"/>
        <v>1</v>
      </c>
      <c r="L51" s="485"/>
      <c r="M51" s="488">
        <f>S51*T51*U51*0.00000785</f>
        <v>17.460911999999997</v>
      </c>
      <c r="N51" s="488">
        <f t="shared" si="2"/>
        <v>17.460911999999997</v>
      </c>
      <c r="O51" s="489" t="s">
        <v>251</v>
      </c>
      <c r="P51" s="489" t="s">
        <v>317</v>
      </c>
      <c r="Q51" s="485"/>
      <c r="R51" s="489"/>
      <c r="S51" s="485">
        <v>6</v>
      </c>
      <c r="T51" s="485">
        <v>80</v>
      </c>
      <c r="U51" s="488">
        <v>4634</v>
      </c>
      <c r="V51" s="488"/>
      <c r="W51" s="485"/>
      <c r="X51" s="485"/>
      <c r="Y51" s="485"/>
      <c r="Z51" s="485"/>
      <c r="AA51" s="485"/>
      <c r="AB51" s="485"/>
      <c r="AC51" s="488"/>
      <c r="AD51" s="485"/>
      <c r="AE51" s="485"/>
      <c r="AF51" s="485"/>
      <c r="AG51" s="488"/>
      <c r="AH51" s="489"/>
      <c r="AI51" s="493"/>
      <c r="AL51" s="495"/>
    </row>
    <row r="52" spans="1:38" s="490" customFormat="1" ht="26.25" customHeight="1" x14ac:dyDescent="0.25">
      <c r="A52" s="485">
        <v>50</v>
      </c>
      <c r="B52" s="485" t="s">
        <v>294</v>
      </c>
      <c r="C52" s="485"/>
      <c r="D52" s="488"/>
      <c r="E52" s="485" t="s">
        <v>435</v>
      </c>
      <c r="F52" s="485"/>
      <c r="G52" s="485" t="s">
        <v>436</v>
      </c>
      <c r="H52" s="485"/>
      <c r="I52" s="486" t="s">
        <v>437</v>
      </c>
      <c r="J52" s="485">
        <v>1</v>
      </c>
      <c r="K52" s="487">
        <f t="shared" si="4"/>
        <v>1</v>
      </c>
      <c r="L52" s="488"/>
      <c r="M52" s="488">
        <f>S52*T52*U52*0.00000785</f>
        <v>17.27628</v>
      </c>
      <c r="N52" s="488">
        <f t="shared" si="2"/>
        <v>17.27628</v>
      </c>
      <c r="O52" s="489" t="s">
        <v>251</v>
      </c>
      <c r="P52" s="489" t="s">
        <v>317</v>
      </c>
      <c r="Q52" s="485"/>
      <c r="R52" s="489"/>
      <c r="S52" s="485">
        <v>6</v>
      </c>
      <c r="T52" s="485">
        <v>80</v>
      </c>
      <c r="U52" s="488">
        <v>4585</v>
      </c>
      <c r="V52" s="488"/>
      <c r="W52" s="488"/>
      <c r="X52" s="488"/>
      <c r="Y52" s="488"/>
      <c r="Z52" s="485"/>
      <c r="AA52" s="485"/>
      <c r="AB52" s="485"/>
      <c r="AC52" s="488"/>
      <c r="AD52" s="485"/>
      <c r="AE52" s="485"/>
      <c r="AF52" s="485"/>
      <c r="AG52" s="488"/>
      <c r="AH52" s="489"/>
      <c r="AI52" s="488"/>
      <c r="AL52" s="495"/>
    </row>
    <row r="53" spans="1:38" s="490" customFormat="1" ht="26.25" customHeight="1" x14ac:dyDescent="0.25">
      <c r="A53" s="485">
        <v>51</v>
      </c>
      <c r="B53" s="485" t="s">
        <v>294</v>
      </c>
      <c r="C53" s="485"/>
      <c r="D53" s="485"/>
      <c r="E53" s="485" t="s">
        <v>438</v>
      </c>
      <c r="F53" s="485"/>
      <c r="G53" s="485" t="s">
        <v>439</v>
      </c>
      <c r="H53" s="485"/>
      <c r="I53" s="486" t="s">
        <v>440</v>
      </c>
      <c r="J53" s="485">
        <v>2</v>
      </c>
      <c r="K53" s="487">
        <f t="shared" si="4"/>
        <v>2</v>
      </c>
      <c r="L53" s="485"/>
      <c r="M53" s="488">
        <f>S53*T53*U53*0.00000785</f>
        <v>9.9930499999999992E-2</v>
      </c>
      <c r="N53" s="488">
        <f t="shared" si="2"/>
        <v>0.19986099999999998</v>
      </c>
      <c r="O53" s="489" t="s">
        <v>251</v>
      </c>
      <c r="P53" s="489" t="s">
        <v>317</v>
      </c>
      <c r="Q53" s="485"/>
      <c r="R53" s="489"/>
      <c r="S53" s="485">
        <v>5</v>
      </c>
      <c r="T53" s="485">
        <v>38</v>
      </c>
      <c r="U53" s="485">
        <v>67</v>
      </c>
      <c r="V53" s="488"/>
      <c r="W53" s="488"/>
      <c r="X53" s="488"/>
      <c r="Y53" s="488"/>
      <c r="Z53" s="485"/>
      <c r="AA53" s="485"/>
      <c r="AB53" s="485"/>
      <c r="AC53" s="488"/>
      <c r="AD53" s="485"/>
      <c r="AE53" s="485"/>
      <c r="AF53" s="485"/>
      <c r="AG53" s="488"/>
      <c r="AH53" s="489"/>
      <c r="AI53" s="488"/>
      <c r="AL53" s="495"/>
    </row>
    <row r="54" spans="1:38" s="490" customFormat="1" ht="26.25" customHeight="1" x14ac:dyDescent="0.25">
      <c r="A54" s="485">
        <v>52</v>
      </c>
      <c r="B54" s="485" t="s">
        <v>294</v>
      </c>
      <c r="C54" s="485"/>
      <c r="D54" s="488"/>
      <c r="E54" s="485" t="s">
        <v>441</v>
      </c>
      <c r="F54" s="485"/>
      <c r="G54" s="485" t="s">
        <v>442</v>
      </c>
      <c r="H54" s="485"/>
      <c r="I54" s="486" t="s">
        <v>443</v>
      </c>
      <c r="J54" s="485">
        <v>1</v>
      </c>
      <c r="K54" s="487">
        <f t="shared" si="4"/>
        <v>1</v>
      </c>
      <c r="L54" s="492"/>
      <c r="M54" s="488">
        <v>28.6</v>
      </c>
      <c r="N54" s="488">
        <f t="shared" si="2"/>
        <v>28.6</v>
      </c>
      <c r="O54" s="489" t="s">
        <v>251</v>
      </c>
      <c r="P54" s="489" t="s">
        <v>407</v>
      </c>
      <c r="Q54" s="485"/>
      <c r="R54" s="489"/>
      <c r="S54" s="485">
        <v>6</v>
      </c>
      <c r="T54" s="497">
        <v>630</v>
      </c>
      <c r="U54" s="485">
        <v>967</v>
      </c>
      <c r="V54" s="488"/>
      <c r="W54" s="488"/>
      <c r="X54" s="488"/>
      <c r="Y54" s="488"/>
      <c r="Z54" s="485">
        <v>3</v>
      </c>
      <c r="AA54" s="485" t="s">
        <v>408</v>
      </c>
      <c r="AB54" s="485"/>
      <c r="AC54" s="488"/>
      <c r="AD54" s="485"/>
      <c r="AE54" s="485"/>
      <c r="AF54" s="485"/>
      <c r="AG54" s="488"/>
      <c r="AH54" s="489"/>
      <c r="AI54" s="488"/>
      <c r="AL54" s="495"/>
    </row>
    <row r="55" spans="1:38" s="490" customFormat="1" ht="26.25" customHeight="1" x14ac:dyDescent="0.25">
      <c r="A55" s="485">
        <v>53</v>
      </c>
      <c r="B55" s="485" t="s">
        <v>294</v>
      </c>
      <c r="C55" s="485"/>
      <c r="D55" s="485"/>
      <c r="E55" s="485" t="s">
        <v>444</v>
      </c>
      <c r="F55" s="485"/>
      <c r="G55" s="485" t="s">
        <v>445</v>
      </c>
      <c r="H55" s="485"/>
      <c r="I55" s="486" t="s">
        <v>446</v>
      </c>
      <c r="J55" s="485">
        <v>1</v>
      </c>
      <c r="K55" s="487">
        <f t="shared" si="4"/>
        <v>1</v>
      </c>
      <c r="L55" s="485"/>
      <c r="M55" s="488">
        <v>4</v>
      </c>
      <c r="N55" s="488">
        <f t="shared" si="2"/>
        <v>4</v>
      </c>
      <c r="O55" s="489" t="s">
        <v>251</v>
      </c>
      <c r="P55" s="489" t="s">
        <v>407</v>
      </c>
      <c r="Q55" s="485"/>
      <c r="R55" s="489"/>
      <c r="S55" s="485">
        <v>6</v>
      </c>
      <c r="T55" s="497">
        <v>119</v>
      </c>
      <c r="U55" s="485">
        <v>691</v>
      </c>
      <c r="V55" s="488"/>
      <c r="W55" s="488"/>
      <c r="X55" s="488"/>
      <c r="Y55" s="488"/>
      <c r="Z55" s="485">
        <v>2</v>
      </c>
      <c r="AA55" s="485" t="s">
        <v>408</v>
      </c>
      <c r="AB55" s="485"/>
      <c r="AC55" s="488"/>
      <c r="AD55" s="485"/>
      <c r="AE55" s="485"/>
      <c r="AF55" s="485"/>
      <c r="AG55" s="488"/>
      <c r="AH55" s="489"/>
      <c r="AI55" s="488"/>
      <c r="AL55" s="495"/>
    </row>
    <row r="56" spans="1:38" s="490" customFormat="1" ht="26.25" customHeight="1" x14ac:dyDescent="0.25">
      <c r="A56" s="485">
        <v>54</v>
      </c>
      <c r="B56" s="485" t="s">
        <v>294</v>
      </c>
      <c r="C56" s="485"/>
      <c r="D56" s="488"/>
      <c r="E56" s="485" t="s">
        <v>447</v>
      </c>
      <c r="F56" s="485"/>
      <c r="G56" s="485" t="s">
        <v>448</v>
      </c>
      <c r="H56" s="485"/>
      <c r="I56" s="486" t="s">
        <v>449</v>
      </c>
      <c r="J56" s="485">
        <v>1</v>
      </c>
      <c r="K56" s="487">
        <f t="shared" si="4"/>
        <v>1</v>
      </c>
      <c r="L56" s="485"/>
      <c r="M56" s="488">
        <v>23</v>
      </c>
      <c r="N56" s="488">
        <f t="shared" si="2"/>
        <v>23</v>
      </c>
      <c r="O56" s="489" t="s">
        <v>251</v>
      </c>
      <c r="P56" s="489" t="s">
        <v>407</v>
      </c>
      <c r="Q56" s="485"/>
      <c r="R56" s="489"/>
      <c r="S56" s="485">
        <v>6</v>
      </c>
      <c r="T56" s="497">
        <v>630</v>
      </c>
      <c r="U56" s="485">
        <v>802</v>
      </c>
      <c r="V56" s="488"/>
      <c r="W56" s="488"/>
      <c r="X56" s="488"/>
      <c r="Y56" s="488"/>
      <c r="Z56" s="485"/>
      <c r="AA56" s="485"/>
      <c r="AB56" s="485"/>
      <c r="AC56" s="488"/>
      <c r="AD56" s="485"/>
      <c r="AE56" s="485"/>
      <c r="AF56" s="485"/>
      <c r="AG56" s="488"/>
      <c r="AH56" s="489"/>
      <c r="AI56" s="488"/>
      <c r="AL56" s="495"/>
    </row>
    <row r="57" spans="1:38" s="490" customFormat="1" ht="26.25" customHeight="1" x14ac:dyDescent="0.25">
      <c r="A57" s="485">
        <v>55</v>
      </c>
      <c r="B57" s="485" t="s">
        <v>294</v>
      </c>
      <c r="C57" s="485"/>
      <c r="D57" s="485"/>
      <c r="E57" s="485" t="s">
        <v>450</v>
      </c>
      <c r="F57" s="485"/>
      <c r="G57" s="485" t="s">
        <v>451</v>
      </c>
      <c r="H57" s="485"/>
      <c r="I57" s="486" t="s">
        <v>406</v>
      </c>
      <c r="J57" s="485">
        <v>1</v>
      </c>
      <c r="K57" s="487">
        <f t="shared" si="4"/>
        <v>1</v>
      </c>
      <c r="L57" s="485"/>
      <c r="M57" s="488">
        <v>9</v>
      </c>
      <c r="N57" s="488">
        <f t="shared" si="2"/>
        <v>9</v>
      </c>
      <c r="O57" s="489" t="s">
        <v>251</v>
      </c>
      <c r="P57" s="489" t="s">
        <v>407</v>
      </c>
      <c r="Q57" s="485"/>
      <c r="R57" s="489"/>
      <c r="S57" s="485">
        <v>6</v>
      </c>
      <c r="T57" s="497">
        <v>365.13</v>
      </c>
      <c r="U57" s="485">
        <v>526.79999999999995</v>
      </c>
      <c r="V57" s="488"/>
      <c r="W57" s="488"/>
      <c r="X57" s="488"/>
      <c r="Y57" s="488"/>
      <c r="Z57" s="485"/>
      <c r="AA57" s="485"/>
      <c r="AB57" s="485"/>
      <c r="AC57" s="488"/>
      <c r="AD57" s="485"/>
      <c r="AE57" s="485"/>
      <c r="AF57" s="485"/>
      <c r="AG57" s="488"/>
      <c r="AH57" s="489"/>
      <c r="AI57" s="488"/>
      <c r="AL57" s="495"/>
    </row>
    <row r="58" spans="1:38" s="490" customFormat="1" ht="26.25" customHeight="1" x14ac:dyDescent="0.25">
      <c r="A58" s="485">
        <v>56</v>
      </c>
      <c r="B58" s="485" t="s">
        <v>294</v>
      </c>
      <c r="C58" s="485"/>
      <c r="D58" s="488"/>
      <c r="E58" s="485" t="s">
        <v>452</v>
      </c>
      <c r="F58" s="485"/>
      <c r="G58" s="485" t="s">
        <v>453</v>
      </c>
      <c r="H58" s="485"/>
      <c r="I58" s="486" t="s">
        <v>454</v>
      </c>
      <c r="J58" s="485">
        <v>1</v>
      </c>
      <c r="K58" s="487">
        <f t="shared" si="4"/>
        <v>1</v>
      </c>
      <c r="L58" s="485"/>
      <c r="M58" s="488"/>
      <c r="N58" s="488">
        <f t="shared" si="2"/>
        <v>0</v>
      </c>
      <c r="O58" s="489" t="s">
        <v>455</v>
      </c>
      <c r="P58" s="489" t="s">
        <v>456</v>
      </c>
      <c r="Q58" s="485"/>
      <c r="R58" s="489"/>
      <c r="S58" s="485"/>
      <c r="T58" s="497"/>
      <c r="U58" s="485"/>
      <c r="V58" s="488"/>
      <c r="W58" s="488"/>
      <c r="X58" s="488"/>
      <c r="Y58" s="488"/>
      <c r="Z58" s="485"/>
      <c r="AA58" s="485"/>
      <c r="AB58" s="485"/>
      <c r="AC58" s="488"/>
      <c r="AD58" s="485"/>
      <c r="AE58" s="485"/>
      <c r="AF58" s="485"/>
      <c r="AG58" s="488"/>
      <c r="AH58" s="489"/>
      <c r="AI58" s="488"/>
      <c r="AL58" s="495"/>
    </row>
    <row r="59" spans="1:38" s="490" customFormat="1" ht="26.25" customHeight="1" x14ac:dyDescent="0.25">
      <c r="A59" s="485">
        <v>57</v>
      </c>
      <c r="B59" s="485" t="s">
        <v>294</v>
      </c>
      <c r="C59" s="485"/>
      <c r="D59" s="485"/>
      <c r="E59" s="485" t="s">
        <v>457</v>
      </c>
      <c r="F59" s="485"/>
      <c r="G59" s="485" t="s">
        <v>458</v>
      </c>
      <c r="H59" s="485"/>
      <c r="I59" s="486" t="s">
        <v>459</v>
      </c>
      <c r="J59" s="485">
        <v>10</v>
      </c>
      <c r="K59" s="487">
        <f t="shared" si="4"/>
        <v>10</v>
      </c>
      <c r="L59" s="485"/>
      <c r="M59" s="488">
        <v>1.8</v>
      </c>
      <c r="N59" s="488">
        <f t="shared" si="2"/>
        <v>18</v>
      </c>
      <c r="O59" s="489" t="s">
        <v>251</v>
      </c>
      <c r="P59" s="489" t="s">
        <v>250</v>
      </c>
      <c r="Q59" s="485"/>
      <c r="R59" s="489"/>
      <c r="S59" s="485">
        <v>10</v>
      </c>
      <c r="T59" s="497">
        <v>100</v>
      </c>
      <c r="U59" s="485">
        <v>254</v>
      </c>
      <c r="V59" s="488"/>
      <c r="W59" s="488"/>
      <c r="X59" s="488"/>
      <c r="Y59" s="488"/>
      <c r="Z59" s="485"/>
      <c r="AA59" s="485"/>
      <c r="AB59" s="485"/>
      <c r="AC59" s="488"/>
      <c r="AD59" s="485"/>
      <c r="AE59" s="485"/>
      <c r="AF59" s="485"/>
      <c r="AG59" s="488"/>
      <c r="AH59" s="489"/>
      <c r="AI59" s="488"/>
      <c r="AL59" s="495"/>
    </row>
    <row r="60" spans="1:38" s="490" customFormat="1" ht="26.25" customHeight="1" x14ac:dyDescent="0.25">
      <c r="A60" s="485">
        <v>58</v>
      </c>
      <c r="B60" s="485" t="s">
        <v>294</v>
      </c>
      <c r="C60" s="485"/>
      <c r="D60" s="485">
        <v>1.2</v>
      </c>
      <c r="E60" s="485"/>
      <c r="F60" s="485"/>
      <c r="G60" s="485" t="s">
        <v>460</v>
      </c>
      <c r="H60" s="485"/>
      <c r="I60" s="486" t="s">
        <v>461</v>
      </c>
      <c r="J60" s="485">
        <v>4</v>
      </c>
      <c r="K60" s="487">
        <f>J60*$K$4</f>
        <v>4</v>
      </c>
      <c r="L60" s="485"/>
      <c r="M60" s="488">
        <v>2</v>
      </c>
      <c r="N60" s="488">
        <f t="shared" si="2"/>
        <v>8</v>
      </c>
      <c r="O60" s="489" t="s">
        <v>251</v>
      </c>
      <c r="P60" s="489" t="s">
        <v>250</v>
      </c>
      <c r="Q60" s="485"/>
      <c r="R60" s="489"/>
      <c r="S60" s="485">
        <v>10</v>
      </c>
      <c r="T60" s="497">
        <v>200</v>
      </c>
      <c r="U60" s="485">
        <v>200</v>
      </c>
      <c r="V60" s="488"/>
      <c r="W60" s="488"/>
      <c r="X60" s="488"/>
      <c r="Y60" s="488"/>
      <c r="Z60" s="485"/>
      <c r="AA60" s="485"/>
      <c r="AB60" s="485"/>
      <c r="AC60" s="488"/>
      <c r="AD60" s="485"/>
      <c r="AE60" s="485"/>
      <c r="AF60" s="485"/>
      <c r="AG60" s="488"/>
      <c r="AH60" s="489"/>
      <c r="AI60" s="488"/>
      <c r="AL60" s="495"/>
    </row>
    <row r="61" spans="1:38" s="490" customFormat="1" ht="26.25" customHeight="1" x14ac:dyDescent="0.25">
      <c r="A61" s="485">
        <v>59</v>
      </c>
      <c r="B61" s="485" t="s">
        <v>294</v>
      </c>
      <c r="C61" s="485"/>
      <c r="D61" s="485">
        <v>1.3</v>
      </c>
      <c r="E61" s="485"/>
      <c r="F61" s="485"/>
      <c r="G61" s="485" t="s">
        <v>462</v>
      </c>
      <c r="H61" s="485"/>
      <c r="I61" s="486" t="s">
        <v>463</v>
      </c>
      <c r="J61" s="485">
        <v>7</v>
      </c>
      <c r="K61" s="487">
        <f t="shared" ref="K61:K69" si="6">J61*$K$4</f>
        <v>7</v>
      </c>
      <c r="L61" s="485"/>
      <c r="M61" s="488">
        <v>5</v>
      </c>
      <c r="N61" s="488">
        <f t="shared" si="2"/>
        <v>35</v>
      </c>
      <c r="O61" s="489" t="s">
        <v>251</v>
      </c>
      <c r="P61" s="489" t="s">
        <v>250</v>
      </c>
      <c r="Q61" s="485"/>
      <c r="R61" s="489"/>
      <c r="S61" s="485">
        <v>10</v>
      </c>
      <c r="T61" s="497">
        <v>113</v>
      </c>
      <c r="U61" s="485">
        <v>745</v>
      </c>
      <c r="V61" s="488"/>
      <c r="W61" s="488"/>
      <c r="X61" s="488"/>
      <c r="Y61" s="488"/>
      <c r="Z61" s="485"/>
      <c r="AA61" s="485"/>
      <c r="AB61" s="485"/>
      <c r="AC61" s="488"/>
      <c r="AD61" s="485"/>
      <c r="AE61" s="485"/>
      <c r="AF61" s="485"/>
      <c r="AG61" s="488"/>
      <c r="AH61" s="489"/>
      <c r="AI61" s="488"/>
      <c r="AL61" s="495"/>
    </row>
    <row r="62" spans="1:38" s="490" customFormat="1" ht="26.25" customHeight="1" x14ac:dyDescent="0.25">
      <c r="A62" s="485">
        <v>60</v>
      </c>
      <c r="B62" s="485" t="s">
        <v>294</v>
      </c>
      <c r="C62" s="485"/>
      <c r="D62" s="485">
        <v>1.4</v>
      </c>
      <c r="E62" s="485"/>
      <c r="F62" s="485"/>
      <c r="G62" s="485" t="s">
        <v>464</v>
      </c>
      <c r="H62" s="485"/>
      <c r="I62" s="486" t="s">
        <v>465</v>
      </c>
      <c r="J62" s="485">
        <v>2</v>
      </c>
      <c r="K62" s="487">
        <f t="shared" si="6"/>
        <v>2</v>
      </c>
      <c r="L62" s="485"/>
      <c r="M62" s="488">
        <v>17</v>
      </c>
      <c r="N62" s="488">
        <f t="shared" si="2"/>
        <v>34</v>
      </c>
      <c r="O62" s="489" t="s">
        <v>251</v>
      </c>
      <c r="P62" s="489" t="s">
        <v>254</v>
      </c>
      <c r="Q62" s="485"/>
      <c r="R62" s="489"/>
      <c r="S62" s="485">
        <v>40</v>
      </c>
      <c r="T62" s="497">
        <v>87</v>
      </c>
      <c r="U62" s="485">
        <v>813</v>
      </c>
      <c r="V62" s="488"/>
      <c r="W62" s="488"/>
      <c r="X62" s="488"/>
      <c r="Y62" s="488"/>
      <c r="Z62" s="485"/>
      <c r="AA62" s="485"/>
      <c r="AB62" s="485"/>
      <c r="AC62" s="488"/>
      <c r="AD62" s="485"/>
      <c r="AE62" s="485"/>
      <c r="AF62" s="485"/>
      <c r="AG62" s="488"/>
      <c r="AH62" s="489"/>
      <c r="AI62" s="488"/>
      <c r="AL62" s="495"/>
    </row>
    <row r="63" spans="1:38" s="490" customFormat="1" ht="26.25" customHeight="1" x14ac:dyDescent="0.25">
      <c r="A63" s="485">
        <v>61</v>
      </c>
      <c r="B63" s="485" t="s">
        <v>294</v>
      </c>
      <c r="C63" s="485"/>
      <c r="D63" s="485">
        <v>1.5</v>
      </c>
      <c r="E63" s="485"/>
      <c r="F63" s="485"/>
      <c r="G63" s="485" t="s">
        <v>466</v>
      </c>
      <c r="H63" s="485"/>
      <c r="I63" s="486" t="s">
        <v>467</v>
      </c>
      <c r="J63" s="485">
        <v>2</v>
      </c>
      <c r="K63" s="487">
        <f t="shared" si="6"/>
        <v>2</v>
      </c>
      <c r="L63" s="485"/>
      <c r="M63" s="488">
        <v>11</v>
      </c>
      <c r="N63" s="488">
        <f t="shared" si="2"/>
        <v>22</v>
      </c>
      <c r="O63" s="157" t="s">
        <v>293</v>
      </c>
      <c r="P63" s="489" t="s">
        <v>407</v>
      </c>
      <c r="Q63" s="485"/>
      <c r="R63" s="489"/>
      <c r="S63" s="485"/>
      <c r="T63" s="497"/>
      <c r="U63" s="485"/>
      <c r="V63" s="488"/>
      <c r="W63" s="488"/>
      <c r="X63" s="488"/>
      <c r="Y63" s="488"/>
      <c r="Z63" s="485"/>
      <c r="AA63" s="485"/>
      <c r="AB63" s="485"/>
      <c r="AC63" s="488"/>
      <c r="AD63" s="485"/>
      <c r="AE63" s="485"/>
      <c r="AF63" s="485"/>
      <c r="AG63" s="488"/>
      <c r="AH63" s="489"/>
      <c r="AI63" s="488"/>
      <c r="AL63" s="495"/>
    </row>
    <row r="64" spans="1:38" s="490" customFormat="1" ht="26.25" customHeight="1" x14ac:dyDescent="0.25">
      <c r="A64" s="485">
        <v>62</v>
      </c>
      <c r="B64" s="485" t="s">
        <v>294</v>
      </c>
      <c r="C64" s="485"/>
      <c r="D64" s="485"/>
      <c r="E64" s="485" t="s">
        <v>468</v>
      </c>
      <c r="F64" s="485"/>
      <c r="G64" s="485"/>
      <c r="H64" s="485"/>
      <c r="I64" s="486" t="s">
        <v>469</v>
      </c>
      <c r="J64" s="485">
        <v>1</v>
      </c>
      <c r="K64" s="487">
        <f>J64*$K$63</f>
        <v>2</v>
      </c>
      <c r="L64" s="485"/>
      <c r="M64" s="488">
        <f>21.98*U64/1000</f>
        <v>13.407800000000002</v>
      </c>
      <c r="N64" s="488">
        <f t="shared" si="2"/>
        <v>26.815600000000003</v>
      </c>
      <c r="O64" s="498" t="s">
        <v>470</v>
      </c>
      <c r="P64" s="489" t="s">
        <v>396</v>
      </c>
      <c r="Q64" s="485"/>
      <c r="R64" s="489"/>
      <c r="S64" s="485" t="s">
        <v>471</v>
      </c>
      <c r="T64" s="497"/>
      <c r="U64" s="485">
        <v>610</v>
      </c>
      <c r="V64" s="488"/>
      <c r="W64" s="488"/>
      <c r="X64" s="488"/>
      <c r="Y64" s="488"/>
      <c r="Z64" s="485"/>
      <c r="AA64" s="485"/>
      <c r="AB64" s="485"/>
      <c r="AC64" s="488"/>
      <c r="AD64" s="485"/>
      <c r="AE64" s="485"/>
      <c r="AF64" s="485"/>
      <c r="AG64" s="488"/>
      <c r="AH64" s="489"/>
      <c r="AI64" s="488"/>
      <c r="AL64" s="495"/>
    </row>
    <row r="65" spans="1:38" s="490" customFormat="1" ht="26.25" customHeight="1" x14ac:dyDescent="0.25">
      <c r="A65" s="485">
        <v>63</v>
      </c>
      <c r="B65" s="485" t="s">
        <v>294</v>
      </c>
      <c r="C65" s="485"/>
      <c r="D65" s="485"/>
      <c r="E65" s="485" t="s">
        <v>472</v>
      </c>
      <c r="F65" s="485"/>
      <c r="G65" s="485"/>
      <c r="H65" s="485"/>
      <c r="I65" s="486" t="s">
        <v>473</v>
      </c>
      <c r="J65" s="485">
        <v>2</v>
      </c>
      <c r="K65" s="487">
        <f>J65*$K$63</f>
        <v>4</v>
      </c>
      <c r="L65" s="485"/>
      <c r="M65" s="488">
        <f>S65*T65*U65*0.00000785</f>
        <v>0.27412199999999998</v>
      </c>
      <c r="N65" s="488">
        <f t="shared" si="2"/>
        <v>1.0964879999999999</v>
      </c>
      <c r="O65" s="498" t="s">
        <v>251</v>
      </c>
      <c r="P65" s="489" t="s">
        <v>407</v>
      </c>
      <c r="Q65" s="485"/>
      <c r="R65" s="489"/>
      <c r="S65" s="485">
        <v>6</v>
      </c>
      <c r="T65" s="497">
        <v>60</v>
      </c>
      <c r="U65" s="485">
        <v>97</v>
      </c>
      <c r="V65" s="488"/>
      <c r="W65" s="488"/>
      <c r="X65" s="488"/>
      <c r="Y65" s="488"/>
      <c r="Z65" s="485"/>
      <c r="AA65" s="485"/>
      <c r="AB65" s="485"/>
      <c r="AC65" s="488"/>
      <c r="AD65" s="485"/>
      <c r="AE65" s="485"/>
      <c r="AF65" s="485"/>
      <c r="AG65" s="488"/>
      <c r="AH65" s="489"/>
      <c r="AI65" s="488"/>
      <c r="AL65" s="495"/>
    </row>
    <row r="66" spans="1:38" s="490" customFormat="1" ht="26.25" customHeight="1" x14ac:dyDescent="0.25">
      <c r="A66" s="485">
        <v>64</v>
      </c>
      <c r="B66" s="485" t="s">
        <v>294</v>
      </c>
      <c r="C66" s="485"/>
      <c r="D66" s="485">
        <v>1.6</v>
      </c>
      <c r="E66" s="485"/>
      <c r="F66" s="485"/>
      <c r="G66" s="485" t="s">
        <v>252</v>
      </c>
      <c r="H66" s="485"/>
      <c r="I66" s="486" t="s">
        <v>474</v>
      </c>
      <c r="J66" s="485">
        <v>2</v>
      </c>
      <c r="K66" s="487">
        <f t="shared" si="6"/>
        <v>2</v>
      </c>
      <c r="L66" s="485"/>
      <c r="M66" s="488">
        <f>S66*T66*U66*0.00000785</f>
        <v>4.0034999999999998</v>
      </c>
      <c r="N66" s="488">
        <f t="shared" si="2"/>
        <v>8.0069999999999997</v>
      </c>
      <c r="O66" s="498" t="s">
        <v>251</v>
      </c>
      <c r="P66" s="489" t="s">
        <v>254</v>
      </c>
      <c r="Q66" s="485"/>
      <c r="R66" s="489"/>
      <c r="S66" s="485">
        <v>25</v>
      </c>
      <c r="T66" s="497">
        <v>51</v>
      </c>
      <c r="U66" s="485">
        <v>400</v>
      </c>
      <c r="V66" s="488"/>
      <c r="W66" s="488"/>
      <c r="X66" s="488"/>
      <c r="Y66" s="488"/>
      <c r="Z66" s="485"/>
      <c r="AA66" s="485"/>
      <c r="AB66" s="485"/>
      <c r="AC66" s="488"/>
      <c r="AD66" s="485"/>
      <c r="AE66" s="485"/>
      <c r="AF66" s="485"/>
      <c r="AG66" s="488"/>
      <c r="AH66" s="489"/>
      <c r="AI66" s="488"/>
      <c r="AL66" s="495"/>
    </row>
    <row r="67" spans="1:38" s="490" customFormat="1" ht="26.25" customHeight="1" x14ac:dyDescent="0.25">
      <c r="A67" s="485">
        <v>65</v>
      </c>
      <c r="B67" s="485" t="s">
        <v>294</v>
      </c>
      <c r="C67" s="485"/>
      <c r="D67" s="485">
        <v>1.7</v>
      </c>
      <c r="E67" s="485"/>
      <c r="F67" s="485"/>
      <c r="G67" s="485" t="s">
        <v>252</v>
      </c>
      <c r="H67" s="485"/>
      <c r="I67" s="486" t="s">
        <v>475</v>
      </c>
      <c r="J67" s="485">
        <v>2</v>
      </c>
      <c r="K67" s="487">
        <f t="shared" si="6"/>
        <v>2</v>
      </c>
      <c r="L67" s="485"/>
      <c r="M67" s="488">
        <f>22.33*U67/1000</f>
        <v>14.023239999999999</v>
      </c>
      <c r="N67" s="488">
        <f t="shared" si="2"/>
        <v>28.046479999999999</v>
      </c>
      <c r="O67" s="498" t="s">
        <v>333</v>
      </c>
      <c r="P67" s="489" t="s">
        <v>334</v>
      </c>
      <c r="Q67" s="485"/>
      <c r="R67" s="489"/>
      <c r="S67" s="485" t="s">
        <v>476</v>
      </c>
      <c r="T67" s="497"/>
      <c r="U67" s="485">
        <v>628</v>
      </c>
      <c r="V67" s="488"/>
      <c r="W67" s="488"/>
      <c r="X67" s="488"/>
      <c r="Y67" s="488"/>
      <c r="Z67" s="485"/>
      <c r="AA67" s="485"/>
      <c r="AB67" s="485"/>
      <c r="AC67" s="488"/>
      <c r="AD67" s="485"/>
      <c r="AE67" s="485"/>
      <c r="AF67" s="485"/>
      <c r="AG67" s="488"/>
      <c r="AH67" s="489"/>
      <c r="AI67" s="488"/>
      <c r="AL67" s="495"/>
    </row>
    <row r="68" spans="1:38" s="490" customFormat="1" ht="26.25" customHeight="1" x14ac:dyDescent="0.25">
      <c r="A68" s="485">
        <v>66</v>
      </c>
      <c r="B68" s="485" t="s">
        <v>294</v>
      </c>
      <c r="C68" s="485"/>
      <c r="D68" s="485">
        <v>1.8</v>
      </c>
      <c r="E68" s="485"/>
      <c r="F68" s="485"/>
      <c r="G68" s="485" t="s">
        <v>252</v>
      </c>
      <c r="H68" s="485"/>
      <c r="I68" s="486" t="s">
        <v>477</v>
      </c>
      <c r="J68" s="485">
        <v>2</v>
      </c>
      <c r="K68" s="487">
        <f t="shared" si="6"/>
        <v>2</v>
      </c>
      <c r="L68" s="485"/>
      <c r="M68" s="488"/>
      <c r="N68" s="488">
        <f t="shared" si="2"/>
        <v>0</v>
      </c>
      <c r="O68" s="498" t="s">
        <v>455</v>
      </c>
      <c r="P68" s="489" t="s">
        <v>262</v>
      </c>
      <c r="Q68" s="485"/>
      <c r="R68" s="489"/>
      <c r="S68" s="485"/>
      <c r="T68" s="497"/>
      <c r="U68" s="485"/>
      <c r="V68" s="488"/>
      <c r="W68" s="488"/>
      <c r="X68" s="488"/>
      <c r="Y68" s="488"/>
      <c r="Z68" s="485"/>
      <c r="AA68" s="485"/>
      <c r="AB68" s="485"/>
      <c r="AC68" s="488"/>
      <c r="AD68" s="485"/>
      <c r="AE68" s="485"/>
      <c r="AF68" s="485"/>
      <c r="AG68" s="488"/>
      <c r="AH68" s="489"/>
      <c r="AI68" s="488"/>
      <c r="AL68" s="495"/>
    </row>
    <row r="69" spans="1:38" s="490" customFormat="1" ht="26.25" customHeight="1" x14ac:dyDescent="0.25">
      <c r="A69" s="485">
        <v>67</v>
      </c>
      <c r="B69" s="485" t="s">
        <v>294</v>
      </c>
      <c r="C69" s="485"/>
      <c r="D69" s="485">
        <v>1.9</v>
      </c>
      <c r="E69" s="485"/>
      <c r="F69" s="485"/>
      <c r="G69" s="485" t="s">
        <v>478</v>
      </c>
      <c r="H69" s="485"/>
      <c r="I69" s="486" t="s">
        <v>465</v>
      </c>
      <c r="J69" s="485">
        <v>2</v>
      </c>
      <c r="K69" s="487">
        <f t="shared" si="6"/>
        <v>2</v>
      </c>
      <c r="L69" s="485"/>
      <c r="M69" s="488">
        <v>16</v>
      </c>
      <c r="N69" s="488">
        <f t="shared" si="2"/>
        <v>32</v>
      </c>
      <c r="O69" s="498" t="s">
        <v>251</v>
      </c>
      <c r="P69" s="489" t="s">
        <v>254</v>
      </c>
      <c r="Q69" s="485"/>
      <c r="R69" s="489"/>
      <c r="S69" s="485">
        <v>40</v>
      </c>
      <c r="T69" s="497">
        <v>112</v>
      </c>
      <c r="U69" s="485">
        <v>813</v>
      </c>
      <c r="V69" s="488"/>
      <c r="W69" s="488"/>
      <c r="X69" s="488"/>
      <c r="Y69" s="488"/>
      <c r="Z69" s="485"/>
      <c r="AA69" s="485"/>
      <c r="AB69" s="485"/>
      <c r="AC69" s="488"/>
      <c r="AD69" s="485"/>
      <c r="AE69" s="485"/>
      <c r="AF69" s="485"/>
      <c r="AG69" s="488"/>
      <c r="AH69" s="489"/>
      <c r="AI69" s="488"/>
      <c r="AL69" s="495"/>
    </row>
    <row r="70" spans="1:38" s="490" customFormat="1" ht="26.25" customHeight="1" x14ac:dyDescent="0.25">
      <c r="A70" s="485">
        <v>68</v>
      </c>
      <c r="B70" s="485" t="s">
        <v>294</v>
      </c>
      <c r="C70" s="485">
        <v>2</v>
      </c>
      <c r="D70" s="485"/>
      <c r="E70" s="485"/>
      <c r="F70" s="485"/>
      <c r="G70" s="485" t="s">
        <v>479</v>
      </c>
      <c r="H70" s="485"/>
      <c r="I70" s="486" t="s">
        <v>480</v>
      </c>
      <c r="J70" s="485">
        <v>1</v>
      </c>
      <c r="K70" s="487">
        <f>J70*$K$3</f>
        <v>1</v>
      </c>
      <c r="L70" s="485"/>
      <c r="M70" s="488">
        <v>20.45</v>
      </c>
      <c r="N70" s="488">
        <f t="shared" si="2"/>
        <v>20.45</v>
      </c>
      <c r="O70" s="157" t="s">
        <v>293</v>
      </c>
      <c r="P70" s="489"/>
      <c r="Q70" s="485"/>
      <c r="R70" s="489"/>
      <c r="S70" s="485"/>
      <c r="T70" s="497"/>
      <c r="U70" s="485"/>
      <c r="V70" s="488"/>
      <c r="W70" s="488"/>
      <c r="X70" s="488"/>
      <c r="Y70" s="488"/>
      <c r="Z70" s="485"/>
      <c r="AA70" s="485"/>
      <c r="AB70" s="485"/>
      <c r="AC70" s="488"/>
      <c r="AD70" s="485"/>
      <c r="AE70" s="485"/>
      <c r="AF70" s="485"/>
      <c r="AG70" s="488"/>
      <c r="AH70" s="489"/>
      <c r="AI70" s="488"/>
      <c r="AL70" s="495"/>
    </row>
    <row r="71" spans="1:38" s="490" customFormat="1" ht="26.25" customHeight="1" x14ac:dyDescent="0.25">
      <c r="A71" s="485">
        <v>69</v>
      </c>
      <c r="B71" s="485" t="s">
        <v>294</v>
      </c>
      <c r="C71" s="485"/>
      <c r="D71" s="485">
        <v>2.1</v>
      </c>
      <c r="E71" s="485"/>
      <c r="F71" s="485"/>
      <c r="G71" s="485"/>
      <c r="H71" s="485"/>
      <c r="I71" s="486" t="s">
        <v>481</v>
      </c>
      <c r="J71" s="485">
        <v>4</v>
      </c>
      <c r="K71" s="487">
        <f>J71*$K$70</f>
        <v>4</v>
      </c>
      <c r="L71" s="485"/>
      <c r="M71" s="488">
        <f>7.07*U71/1000</f>
        <v>1.30088</v>
      </c>
      <c r="N71" s="488">
        <f t="shared" si="2"/>
        <v>5.2035200000000001</v>
      </c>
      <c r="O71" s="498" t="s">
        <v>470</v>
      </c>
      <c r="P71" s="489" t="s">
        <v>482</v>
      </c>
      <c r="Q71" s="485"/>
      <c r="R71" s="489"/>
      <c r="S71" s="485" t="s">
        <v>483</v>
      </c>
      <c r="T71" s="497"/>
      <c r="U71" s="485">
        <v>184</v>
      </c>
      <c r="V71" s="488"/>
      <c r="W71" s="488"/>
      <c r="X71" s="488"/>
      <c r="Y71" s="488"/>
      <c r="Z71" s="485"/>
      <c r="AA71" s="485"/>
      <c r="AB71" s="485"/>
      <c r="AC71" s="488"/>
      <c r="AD71" s="485"/>
      <c r="AE71" s="485"/>
      <c r="AF71" s="485"/>
      <c r="AG71" s="488"/>
      <c r="AH71" s="489"/>
      <c r="AI71" s="488"/>
      <c r="AL71" s="495"/>
    </row>
    <row r="72" spans="1:38" s="490" customFormat="1" ht="26.25" customHeight="1" x14ac:dyDescent="0.25">
      <c r="A72" s="485">
        <v>70</v>
      </c>
      <c r="B72" s="485" t="s">
        <v>294</v>
      </c>
      <c r="C72" s="485"/>
      <c r="D72" s="485">
        <v>2.2000000000000002</v>
      </c>
      <c r="E72" s="485"/>
      <c r="F72" s="485"/>
      <c r="G72" s="485"/>
      <c r="H72" s="485"/>
      <c r="I72" s="486" t="s">
        <v>484</v>
      </c>
      <c r="J72" s="485">
        <v>2</v>
      </c>
      <c r="K72" s="487">
        <f t="shared" ref="K72:K73" si="7">J72*$K$70</f>
        <v>2</v>
      </c>
      <c r="L72" s="485"/>
      <c r="M72" s="488">
        <f t="shared" ref="M72:M73" si="8">7.07*U72/1000</f>
        <v>3.9450599999999998</v>
      </c>
      <c r="N72" s="488">
        <f t="shared" si="2"/>
        <v>7.8901199999999996</v>
      </c>
      <c r="O72" s="498" t="s">
        <v>470</v>
      </c>
      <c r="P72" s="489" t="s">
        <v>482</v>
      </c>
      <c r="Q72" s="485"/>
      <c r="R72" s="489"/>
      <c r="S72" s="485" t="s">
        <v>483</v>
      </c>
      <c r="T72" s="497"/>
      <c r="U72" s="485">
        <v>558</v>
      </c>
      <c r="V72" s="488"/>
      <c r="W72" s="488"/>
      <c r="X72" s="488"/>
      <c r="Y72" s="488"/>
      <c r="Z72" s="485"/>
      <c r="AA72" s="485"/>
      <c r="AB72" s="485">
        <v>2</v>
      </c>
      <c r="AC72" s="488"/>
      <c r="AD72" s="485"/>
      <c r="AE72" s="485"/>
      <c r="AF72" s="485"/>
      <c r="AG72" s="488"/>
      <c r="AH72" s="489"/>
      <c r="AI72" s="488"/>
      <c r="AL72" s="495"/>
    </row>
    <row r="73" spans="1:38" s="490" customFormat="1" ht="26.25" customHeight="1" x14ac:dyDescent="0.25">
      <c r="A73" s="485">
        <v>71</v>
      </c>
      <c r="B73" s="485" t="s">
        <v>294</v>
      </c>
      <c r="C73" s="485"/>
      <c r="D73" s="485">
        <v>2.2999999999999998</v>
      </c>
      <c r="E73" s="485"/>
      <c r="F73" s="485"/>
      <c r="G73" s="485"/>
      <c r="H73" s="485"/>
      <c r="I73" s="486" t="s">
        <v>485</v>
      </c>
      <c r="J73" s="485">
        <v>2</v>
      </c>
      <c r="K73" s="487">
        <f t="shared" si="7"/>
        <v>2</v>
      </c>
      <c r="L73" s="485"/>
      <c r="M73" s="488">
        <f t="shared" si="8"/>
        <v>3.6764000000000001</v>
      </c>
      <c r="N73" s="488">
        <f t="shared" si="2"/>
        <v>7.3528000000000002</v>
      </c>
      <c r="O73" s="498" t="s">
        <v>470</v>
      </c>
      <c r="P73" s="489" t="s">
        <v>482</v>
      </c>
      <c r="Q73" s="485"/>
      <c r="R73" s="489"/>
      <c r="S73" s="485" t="s">
        <v>483</v>
      </c>
      <c r="T73" s="497"/>
      <c r="U73" s="485">
        <v>520</v>
      </c>
      <c r="V73" s="488"/>
      <c r="W73" s="488"/>
      <c r="X73" s="488"/>
      <c r="Y73" s="488"/>
      <c r="Z73" s="485"/>
      <c r="AA73" s="485"/>
      <c r="AB73" s="485">
        <v>2</v>
      </c>
      <c r="AC73" s="488"/>
      <c r="AD73" s="485"/>
      <c r="AE73" s="485"/>
      <c r="AF73" s="485"/>
      <c r="AG73" s="488"/>
      <c r="AH73" s="489"/>
      <c r="AI73" s="488"/>
      <c r="AL73" s="495"/>
    </row>
    <row r="74" spans="1:38" s="490" customFormat="1" ht="26.25" customHeight="1" x14ac:dyDescent="0.25">
      <c r="A74" s="485">
        <v>72</v>
      </c>
      <c r="B74" s="485" t="s">
        <v>294</v>
      </c>
      <c r="C74" s="485">
        <v>3</v>
      </c>
      <c r="D74" s="485"/>
      <c r="E74" s="485"/>
      <c r="F74" s="485"/>
      <c r="G74" s="485" t="s">
        <v>486</v>
      </c>
      <c r="H74" s="485"/>
      <c r="I74" s="486" t="s">
        <v>487</v>
      </c>
      <c r="J74" s="485">
        <v>2</v>
      </c>
      <c r="K74" s="487">
        <f>J74*$K$3</f>
        <v>2</v>
      </c>
      <c r="L74" s="485"/>
      <c r="M74" s="488">
        <v>6.7</v>
      </c>
      <c r="N74" s="488">
        <f t="shared" si="2"/>
        <v>13.4</v>
      </c>
      <c r="O74" s="498" t="s">
        <v>251</v>
      </c>
      <c r="P74" s="489" t="s">
        <v>250</v>
      </c>
      <c r="Q74" s="485"/>
      <c r="R74" s="489"/>
      <c r="S74" s="485">
        <v>10</v>
      </c>
      <c r="T74" s="497">
        <v>121</v>
      </c>
      <c r="U74" s="485">
        <v>708</v>
      </c>
      <c r="V74" s="488"/>
      <c r="W74" s="488"/>
      <c r="X74" s="488"/>
      <c r="Y74" s="488"/>
      <c r="Z74" s="485"/>
      <c r="AA74" s="485"/>
      <c r="AB74" s="485"/>
      <c r="AC74" s="488"/>
      <c r="AD74" s="485"/>
      <c r="AE74" s="485"/>
      <c r="AF74" s="485"/>
      <c r="AG74" s="488"/>
      <c r="AH74" s="489"/>
      <c r="AI74" s="488"/>
      <c r="AL74" s="495"/>
    </row>
    <row r="75" spans="1:38" s="490" customFormat="1" ht="26.25" customHeight="1" x14ac:dyDescent="0.25">
      <c r="A75" s="485">
        <v>73</v>
      </c>
      <c r="B75" s="485" t="s">
        <v>294</v>
      </c>
      <c r="C75" s="485">
        <v>4</v>
      </c>
      <c r="D75" s="485"/>
      <c r="E75" s="485"/>
      <c r="F75" s="485"/>
      <c r="G75" s="485" t="s">
        <v>488</v>
      </c>
      <c r="H75" s="485"/>
      <c r="I75" s="486" t="s">
        <v>489</v>
      </c>
      <c r="J75" s="485">
        <v>1</v>
      </c>
      <c r="K75" s="487">
        <f>J75*$K$3</f>
        <v>1</v>
      </c>
      <c r="L75" s="485"/>
      <c r="M75" s="488">
        <v>10</v>
      </c>
      <c r="N75" s="488">
        <f t="shared" si="2"/>
        <v>10</v>
      </c>
      <c r="O75" s="157" t="s">
        <v>293</v>
      </c>
      <c r="P75" s="489"/>
      <c r="Q75" s="485"/>
      <c r="R75" s="489"/>
      <c r="S75" s="485"/>
      <c r="T75" s="497"/>
      <c r="U75" s="485"/>
      <c r="V75" s="488"/>
      <c r="W75" s="488"/>
      <c r="X75" s="488"/>
      <c r="Y75" s="488"/>
      <c r="Z75" s="485"/>
      <c r="AA75" s="485"/>
      <c r="AB75" s="485"/>
      <c r="AC75" s="488"/>
      <c r="AD75" s="485"/>
      <c r="AE75" s="485"/>
      <c r="AF75" s="485"/>
      <c r="AG75" s="488"/>
      <c r="AH75" s="489"/>
      <c r="AI75" s="488"/>
      <c r="AL75" s="495"/>
    </row>
    <row r="76" spans="1:38" s="490" customFormat="1" ht="26.25" customHeight="1" x14ac:dyDescent="0.25">
      <c r="A76" s="485">
        <v>74</v>
      </c>
      <c r="B76" s="485" t="s">
        <v>294</v>
      </c>
      <c r="C76" s="485"/>
      <c r="D76" s="485">
        <v>4.0999999999999996</v>
      </c>
      <c r="E76" s="485"/>
      <c r="F76" s="485"/>
      <c r="G76" s="485"/>
      <c r="H76" s="485"/>
      <c r="I76" s="486" t="s">
        <v>490</v>
      </c>
      <c r="J76" s="485">
        <v>1</v>
      </c>
      <c r="K76" s="487">
        <f>J76*$K$75</f>
        <v>1</v>
      </c>
      <c r="L76" s="485"/>
      <c r="M76" s="488">
        <f>S76*T76*U76*0.00000785</f>
        <v>0.41523359999999998</v>
      </c>
      <c r="N76" s="488">
        <f t="shared" si="2"/>
        <v>0.41523359999999998</v>
      </c>
      <c r="O76" s="498" t="s">
        <v>251</v>
      </c>
      <c r="P76" s="489" t="s">
        <v>407</v>
      </c>
      <c r="Q76" s="485"/>
      <c r="R76" s="489"/>
      <c r="S76" s="485">
        <v>6</v>
      </c>
      <c r="T76" s="497">
        <v>76</v>
      </c>
      <c r="U76" s="485">
        <v>116</v>
      </c>
      <c r="V76" s="488"/>
      <c r="W76" s="488"/>
      <c r="X76" s="488"/>
      <c r="Y76" s="488"/>
      <c r="Z76" s="485"/>
      <c r="AA76" s="485"/>
      <c r="AB76" s="485"/>
      <c r="AC76" s="488"/>
      <c r="AD76" s="485"/>
      <c r="AE76" s="485"/>
      <c r="AF76" s="485"/>
      <c r="AG76" s="488"/>
      <c r="AH76" s="489"/>
      <c r="AI76" s="488"/>
      <c r="AL76" s="495"/>
    </row>
    <row r="77" spans="1:38" s="490" customFormat="1" ht="26.25" customHeight="1" x14ac:dyDescent="0.25">
      <c r="A77" s="485">
        <v>75</v>
      </c>
      <c r="B77" s="485" t="s">
        <v>294</v>
      </c>
      <c r="C77" s="485"/>
      <c r="D77" s="485">
        <v>4.2</v>
      </c>
      <c r="E77" s="485"/>
      <c r="F77" s="485"/>
      <c r="G77" s="485"/>
      <c r="H77" s="485"/>
      <c r="I77" s="486" t="s">
        <v>491</v>
      </c>
      <c r="J77" s="485">
        <v>1</v>
      </c>
      <c r="K77" s="487">
        <f>J77*$K$75</f>
        <v>1</v>
      </c>
      <c r="L77" s="485"/>
      <c r="M77" s="488">
        <f>13.35*U77/1000</f>
        <v>11.5344</v>
      </c>
      <c r="N77" s="488">
        <f t="shared" si="2"/>
        <v>11.5344</v>
      </c>
      <c r="O77" s="498" t="s">
        <v>492</v>
      </c>
      <c r="P77" s="489" t="s">
        <v>253</v>
      </c>
      <c r="Q77" s="485"/>
      <c r="R77" s="489"/>
      <c r="S77" s="485" t="s">
        <v>493</v>
      </c>
      <c r="T77" s="497"/>
      <c r="U77" s="485">
        <v>864</v>
      </c>
      <c r="V77" s="488"/>
      <c r="W77" s="488"/>
      <c r="X77" s="488"/>
      <c r="Y77" s="488"/>
      <c r="Z77" s="485"/>
      <c r="AA77" s="485"/>
      <c r="AB77" s="485">
        <v>10</v>
      </c>
      <c r="AC77" s="488"/>
      <c r="AD77" s="485"/>
      <c r="AE77" s="485"/>
      <c r="AF77" s="485"/>
      <c r="AG77" s="488"/>
      <c r="AH77" s="489"/>
      <c r="AI77" s="488"/>
      <c r="AL77" s="495"/>
    </row>
    <row r="78" spans="1:38" s="490" customFormat="1" ht="26.25" customHeight="1" x14ac:dyDescent="0.25">
      <c r="A78" s="485">
        <v>76</v>
      </c>
      <c r="B78" s="485" t="s">
        <v>294</v>
      </c>
      <c r="C78" s="485">
        <v>5</v>
      </c>
      <c r="D78" s="485"/>
      <c r="E78" s="485"/>
      <c r="F78" s="485"/>
      <c r="G78" s="485" t="s">
        <v>494</v>
      </c>
      <c r="H78" s="485"/>
      <c r="I78" s="486" t="s">
        <v>495</v>
      </c>
      <c r="J78" s="485">
        <v>1</v>
      </c>
      <c r="K78" s="487">
        <f>J78*$K$3</f>
        <v>1</v>
      </c>
      <c r="L78" s="485"/>
      <c r="M78" s="488">
        <v>10</v>
      </c>
      <c r="N78" s="488">
        <f t="shared" si="2"/>
        <v>10</v>
      </c>
      <c r="O78" s="157" t="s">
        <v>293</v>
      </c>
      <c r="P78" s="489"/>
      <c r="Q78" s="485"/>
      <c r="R78" s="489"/>
      <c r="S78" s="485"/>
      <c r="T78" s="497"/>
      <c r="U78" s="485"/>
      <c r="V78" s="488"/>
      <c r="W78" s="488"/>
      <c r="X78" s="488"/>
      <c r="Y78" s="488"/>
      <c r="Z78" s="485"/>
      <c r="AA78" s="485"/>
      <c r="AB78" s="485"/>
      <c r="AC78" s="488"/>
      <c r="AD78" s="485"/>
      <c r="AE78" s="485"/>
      <c r="AF78" s="485"/>
      <c r="AG78" s="488"/>
      <c r="AH78" s="489"/>
      <c r="AI78" s="488"/>
      <c r="AL78" s="495"/>
    </row>
    <row r="79" spans="1:38" s="490" customFormat="1" ht="26.25" customHeight="1" x14ac:dyDescent="0.25">
      <c r="A79" s="485">
        <v>77</v>
      </c>
      <c r="B79" s="485" t="s">
        <v>294</v>
      </c>
      <c r="C79" s="485"/>
      <c r="D79" s="485">
        <v>5.0999999999999996</v>
      </c>
      <c r="E79" s="485"/>
      <c r="F79" s="485"/>
      <c r="G79" s="485"/>
      <c r="H79" s="485"/>
      <c r="I79" s="486" t="s">
        <v>490</v>
      </c>
      <c r="J79" s="485">
        <v>1</v>
      </c>
      <c r="K79" s="487">
        <f>J79*$K$78</f>
        <v>1</v>
      </c>
      <c r="L79" s="485"/>
      <c r="M79" s="488">
        <f>S79*T79*U79*0.00000785</f>
        <v>0.41523359999999998</v>
      </c>
      <c r="N79" s="488">
        <f t="shared" si="2"/>
        <v>0.41523359999999998</v>
      </c>
      <c r="O79" s="498" t="s">
        <v>251</v>
      </c>
      <c r="P79" s="489" t="s">
        <v>407</v>
      </c>
      <c r="Q79" s="485"/>
      <c r="R79" s="489"/>
      <c r="S79" s="485">
        <v>6</v>
      </c>
      <c r="T79" s="497">
        <v>76</v>
      </c>
      <c r="U79" s="485">
        <v>116</v>
      </c>
      <c r="V79" s="488"/>
      <c r="W79" s="488"/>
      <c r="X79" s="488"/>
      <c r="Y79" s="488"/>
      <c r="Z79" s="485"/>
      <c r="AA79" s="485"/>
      <c r="AB79" s="485"/>
      <c r="AC79" s="488"/>
      <c r="AD79" s="485"/>
      <c r="AE79" s="485"/>
      <c r="AF79" s="485"/>
      <c r="AG79" s="488"/>
      <c r="AH79" s="489"/>
      <c r="AI79" s="488"/>
      <c r="AL79" s="495"/>
    </row>
    <row r="80" spans="1:38" s="490" customFormat="1" ht="26.25" customHeight="1" x14ac:dyDescent="0.25">
      <c r="A80" s="485">
        <v>78</v>
      </c>
      <c r="B80" s="485" t="s">
        <v>294</v>
      </c>
      <c r="C80" s="485"/>
      <c r="D80" s="485">
        <v>5.2</v>
      </c>
      <c r="E80" s="485"/>
      <c r="F80" s="485"/>
      <c r="G80" s="485"/>
      <c r="H80" s="485"/>
      <c r="I80" s="486" t="s">
        <v>491</v>
      </c>
      <c r="J80" s="485">
        <v>1</v>
      </c>
      <c r="K80" s="487">
        <f>J80*$K$78</f>
        <v>1</v>
      </c>
      <c r="L80" s="485"/>
      <c r="M80" s="488">
        <f>13.35*U80/1000</f>
        <v>11.5344</v>
      </c>
      <c r="N80" s="488">
        <f t="shared" si="2"/>
        <v>11.5344</v>
      </c>
      <c r="O80" s="498" t="s">
        <v>492</v>
      </c>
      <c r="P80" s="489" t="s">
        <v>253</v>
      </c>
      <c r="Q80" s="485"/>
      <c r="R80" s="489"/>
      <c r="S80" s="485" t="s">
        <v>493</v>
      </c>
      <c r="T80" s="497"/>
      <c r="U80" s="485">
        <v>864</v>
      </c>
      <c r="V80" s="488"/>
      <c r="W80" s="488"/>
      <c r="X80" s="488"/>
      <c r="Y80" s="488"/>
      <c r="Z80" s="485"/>
      <c r="AA80" s="485"/>
      <c r="AB80" s="485">
        <v>10</v>
      </c>
      <c r="AC80" s="488"/>
      <c r="AD80" s="485"/>
      <c r="AE80" s="485"/>
      <c r="AF80" s="485"/>
      <c r="AG80" s="488"/>
      <c r="AH80" s="489"/>
      <c r="AI80" s="488"/>
      <c r="AL80" s="495"/>
    </row>
    <row r="81" spans="1:38" s="490" customFormat="1" ht="26.25" customHeight="1" x14ac:dyDescent="0.25">
      <c r="A81" s="485">
        <v>79</v>
      </c>
      <c r="B81" s="485" t="s">
        <v>294</v>
      </c>
      <c r="C81" s="485">
        <v>6</v>
      </c>
      <c r="D81" s="485"/>
      <c r="E81" s="485"/>
      <c r="F81" s="485"/>
      <c r="G81" s="485" t="s">
        <v>252</v>
      </c>
      <c r="H81" s="485"/>
      <c r="I81" s="486" t="s">
        <v>496</v>
      </c>
      <c r="J81" s="485">
        <v>3</v>
      </c>
      <c r="K81" s="487">
        <f t="shared" ref="K81:K86" si="9">J81*$K$3</f>
        <v>3</v>
      </c>
      <c r="L81" s="485"/>
      <c r="M81" s="488">
        <f t="shared" ref="M81:M82" si="10">25.3*U81/1000</f>
        <v>11.7392</v>
      </c>
      <c r="N81" s="488">
        <f t="shared" si="2"/>
        <v>35.217600000000004</v>
      </c>
      <c r="O81" s="498" t="s">
        <v>395</v>
      </c>
      <c r="P81" s="489" t="s">
        <v>250</v>
      </c>
      <c r="Q81" s="485"/>
      <c r="R81" s="489"/>
      <c r="S81" s="485" t="s">
        <v>403</v>
      </c>
      <c r="T81" s="497"/>
      <c r="U81" s="485">
        <v>464</v>
      </c>
      <c r="V81" s="488"/>
      <c r="W81" s="488"/>
      <c r="X81" s="488"/>
      <c r="Y81" s="488"/>
      <c r="Z81" s="485"/>
      <c r="AA81" s="485"/>
      <c r="AB81" s="485"/>
      <c r="AC81" s="488"/>
      <c r="AD81" s="485"/>
      <c r="AE81" s="485"/>
      <c r="AF81" s="485"/>
      <c r="AG81" s="488"/>
      <c r="AH81" s="489"/>
      <c r="AI81" s="488"/>
      <c r="AL81" s="495"/>
    </row>
    <row r="82" spans="1:38" s="490" customFormat="1" ht="26.25" customHeight="1" x14ac:dyDescent="0.25">
      <c r="A82" s="485">
        <v>80</v>
      </c>
      <c r="B82" s="485" t="s">
        <v>294</v>
      </c>
      <c r="C82" s="485">
        <v>7</v>
      </c>
      <c r="D82" s="485"/>
      <c r="E82" s="485"/>
      <c r="F82" s="485"/>
      <c r="G82" s="485" t="s">
        <v>252</v>
      </c>
      <c r="H82" s="485"/>
      <c r="I82" s="486" t="s">
        <v>497</v>
      </c>
      <c r="J82" s="485">
        <v>3</v>
      </c>
      <c r="K82" s="487">
        <f t="shared" si="9"/>
        <v>3</v>
      </c>
      <c r="L82" s="485"/>
      <c r="M82" s="488">
        <f t="shared" si="10"/>
        <v>109.34660000000001</v>
      </c>
      <c r="N82" s="488">
        <f t="shared" si="2"/>
        <v>328.03980000000001</v>
      </c>
      <c r="O82" s="498" t="s">
        <v>395</v>
      </c>
      <c r="P82" s="489" t="s">
        <v>250</v>
      </c>
      <c r="Q82" s="485"/>
      <c r="R82" s="489"/>
      <c r="S82" s="485" t="s">
        <v>403</v>
      </c>
      <c r="T82" s="497"/>
      <c r="U82" s="485">
        <v>4322</v>
      </c>
      <c r="V82" s="488"/>
      <c r="W82" s="488"/>
      <c r="X82" s="488"/>
      <c r="Y82" s="488"/>
      <c r="Z82" s="485"/>
      <c r="AA82" s="485"/>
      <c r="AB82" s="485"/>
      <c r="AC82" s="488"/>
      <c r="AD82" s="485"/>
      <c r="AE82" s="485"/>
      <c r="AF82" s="485"/>
      <c r="AG82" s="488"/>
      <c r="AH82" s="489"/>
      <c r="AI82" s="488"/>
      <c r="AL82" s="495"/>
    </row>
    <row r="83" spans="1:38" s="490" customFormat="1" ht="26.25" customHeight="1" x14ac:dyDescent="0.25">
      <c r="A83" s="485">
        <v>81</v>
      </c>
      <c r="B83" s="485" t="s">
        <v>294</v>
      </c>
      <c r="C83" s="485">
        <v>8</v>
      </c>
      <c r="D83" s="485"/>
      <c r="E83" s="485"/>
      <c r="F83" s="485"/>
      <c r="G83" s="485" t="s">
        <v>252</v>
      </c>
      <c r="H83" s="485"/>
      <c r="I83" s="486" t="s">
        <v>498</v>
      </c>
      <c r="J83" s="485">
        <v>4</v>
      </c>
      <c r="K83" s="487">
        <f t="shared" si="9"/>
        <v>4</v>
      </c>
      <c r="L83" s="485"/>
      <c r="M83" s="488">
        <f>S83*T83*U83*0.00000785</f>
        <v>1.4648099999999999</v>
      </c>
      <c r="N83" s="488">
        <f t="shared" si="2"/>
        <v>5.8592399999999998</v>
      </c>
      <c r="O83" s="498" t="s">
        <v>251</v>
      </c>
      <c r="P83" s="489" t="s">
        <v>250</v>
      </c>
      <c r="Q83" s="485"/>
      <c r="R83" s="489"/>
      <c r="S83" s="485">
        <v>10</v>
      </c>
      <c r="T83" s="497">
        <v>30</v>
      </c>
      <c r="U83" s="485">
        <v>622</v>
      </c>
      <c r="V83" s="488"/>
      <c r="W83" s="488"/>
      <c r="X83" s="488"/>
      <c r="Y83" s="488"/>
      <c r="Z83" s="485"/>
      <c r="AA83" s="485"/>
      <c r="AB83" s="485"/>
      <c r="AC83" s="488"/>
      <c r="AD83" s="485"/>
      <c r="AE83" s="485"/>
      <c r="AF83" s="485"/>
      <c r="AG83" s="488"/>
      <c r="AH83" s="489"/>
      <c r="AI83" s="488"/>
      <c r="AL83" s="495"/>
    </row>
    <row r="84" spans="1:38" s="490" customFormat="1" ht="26.25" customHeight="1" x14ac:dyDescent="0.25">
      <c r="A84" s="485">
        <v>82</v>
      </c>
      <c r="B84" s="485" t="s">
        <v>294</v>
      </c>
      <c r="C84" s="485">
        <v>9</v>
      </c>
      <c r="D84" s="485"/>
      <c r="E84" s="485"/>
      <c r="F84" s="485"/>
      <c r="G84" s="485" t="s">
        <v>252</v>
      </c>
      <c r="H84" s="485"/>
      <c r="I84" s="486" t="s">
        <v>499</v>
      </c>
      <c r="J84" s="485">
        <v>5</v>
      </c>
      <c r="K84" s="487">
        <f t="shared" si="9"/>
        <v>5</v>
      </c>
      <c r="L84" s="485"/>
      <c r="M84" s="488">
        <v>0.1</v>
      </c>
      <c r="N84" s="488">
        <f t="shared" si="2"/>
        <v>0.5</v>
      </c>
      <c r="O84" s="498" t="s">
        <v>455</v>
      </c>
      <c r="P84" s="489" t="s">
        <v>252</v>
      </c>
      <c r="Q84" s="485"/>
      <c r="R84" s="489"/>
      <c r="S84" s="485"/>
      <c r="T84" s="497"/>
      <c r="U84" s="485"/>
      <c r="V84" s="488"/>
      <c r="W84" s="488"/>
      <c r="X84" s="488"/>
      <c r="Y84" s="488"/>
      <c r="Z84" s="485"/>
      <c r="AA84" s="485"/>
      <c r="AB84" s="485"/>
      <c r="AC84" s="488"/>
      <c r="AD84" s="485"/>
      <c r="AE84" s="485"/>
      <c r="AF84" s="485"/>
      <c r="AG84" s="488"/>
      <c r="AH84" s="489"/>
      <c r="AI84" s="488"/>
      <c r="AL84" s="495"/>
    </row>
    <row r="85" spans="1:38" s="490" customFormat="1" ht="26.25" customHeight="1" x14ac:dyDescent="0.25">
      <c r="A85" s="485">
        <v>83</v>
      </c>
      <c r="B85" s="485" t="s">
        <v>294</v>
      </c>
      <c r="C85" s="485">
        <v>10</v>
      </c>
      <c r="D85" s="485"/>
      <c r="E85" s="485"/>
      <c r="F85" s="485"/>
      <c r="G85" s="485" t="s">
        <v>252</v>
      </c>
      <c r="H85" s="485"/>
      <c r="I85" s="486" t="s">
        <v>500</v>
      </c>
      <c r="J85" s="485">
        <v>3</v>
      </c>
      <c r="K85" s="487">
        <f t="shared" si="9"/>
        <v>3</v>
      </c>
      <c r="L85" s="485"/>
      <c r="M85" s="488">
        <f>25.3*U85/1000</f>
        <v>76.532499999999999</v>
      </c>
      <c r="N85" s="488">
        <f t="shared" si="2"/>
        <v>229.5975</v>
      </c>
      <c r="O85" s="498" t="s">
        <v>395</v>
      </c>
      <c r="P85" s="489" t="s">
        <v>250</v>
      </c>
      <c r="Q85" s="485"/>
      <c r="R85" s="489"/>
      <c r="S85" s="485" t="s">
        <v>403</v>
      </c>
      <c r="T85" s="497"/>
      <c r="U85" s="485">
        <v>3025</v>
      </c>
      <c r="V85" s="488"/>
      <c r="W85" s="488"/>
      <c r="X85" s="488"/>
      <c r="Y85" s="488"/>
      <c r="Z85" s="485"/>
      <c r="AA85" s="485"/>
      <c r="AB85" s="485"/>
      <c r="AC85" s="488"/>
      <c r="AD85" s="485"/>
      <c r="AE85" s="485"/>
      <c r="AF85" s="485"/>
      <c r="AG85" s="488"/>
      <c r="AH85" s="489"/>
      <c r="AI85" s="488"/>
      <c r="AL85" s="495"/>
    </row>
    <row r="86" spans="1:38" s="490" customFormat="1" ht="26.25" customHeight="1" x14ac:dyDescent="0.25">
      <c r="A86" s="485">
        <v>84</v>
      </c>
      <c r="B86" s="485" t="s">
        <v>294</v>
      </c>
      <c r="C86" s="485">
        <v>11</v>
      </c>
      <c r="D86" s="485"/>
      <c r="E86" s="485"/>
      <c r="F86" s="485"/>
      <c r="G86" s="485" t="s">
        <v>501</v>
      </c>
      <c r="H86" s="485"/>
      <c r="I86" s="486" t="s">
        <v>502</v>
      </c>
      <c r="J86" s="485">
        <v>1</v>
      </c>
      <c r="K86" s="487">
        <f t="shared" si="9"/>
        <v>1</v>
      </c>
      <c r="L86" s="485"/>
      <c r="M86" s="488">
        <v>11</v>
      </c>
      <c r="N86" s="488">
        <f t="shared" si="2"/>
        <v>11</v>
      </c>
      <c r="O86" s="157" t="s">
        <v>293</v>
      </c>
      <c r="P86" s="489" t="s">
        <v>252</v>
      </c>
      <c r="Q86" s="485"/>
      <c r="R86" s="489"/>
      <c r="S86" s="485"/>
      <c r="T86" s="497"/>
      <c r="U86" s="485"/>
      <c r="V86" s="488"/>
      <c r="W86" s="488"/>
      <c r="X86" s="488"/>
      <c r="Y86" s="488"/>
      <c r="Z86" s="485"/>
      <c r="AA86" s="485"/>
      <c r="AB86" s="485"/>
      <c r="AC86" s="488"/>
      <c r="AD86" s="485"/>
      <c r="AE86" s="485"/>
      <c r="AF86" s="485"/>
      <c r="AG86" s="488"/>
      <c r="AH86" s="489"/>
      <c r="AI86" s="488"/>
      <c r="AL86" s="495"/>
    </row>
    <row r="87" spans="1:38" s="490" customFormat="1" ht="26.25" customHeight="1" x14ac:dyDescent="0.25">
      <c r="A87" s="485">
        <v>85</v>
      </c>
      <c r="B87" s="485" t="s">
        <v>294</v>
      </c>
      <c r="C87" s="485"/>
      <c r="D87" s="485">
        <v>11.1</v>
      </c>
      <c r="E87" s="485"/>
      <c r="F87" s="485"/>
      <c r="G87" s="485" t="s">
        <v>503</v>
      </c>
      <c r="H87" s="485"/>
      <c r="I87" s="486" t="s">
        <v>504</v>
      </c>
      <c r="J87" s="485">
        <v>2</v>
      </c>
      <c r="K87" s="487">
        <f>J87*$K$86</f>
        <v>2</v>
      </c>
      <c r="L87" s="485"/>
      <c r="M87" s="488">
        <v>1</v>
      </c>
      <c r="N87" s="488">
        <f t="shared" si="2"/>
        <v>2</v>
      </c>
      <c r="O87" s="498" t="s">
        <v>251</v>
      </c>
      <c r="P87" s="489" t="s">
        <v>250</v>
      </c>
      <c r="Q87" s="485"/>
      <c r="R87" s="489"/>
      <c r="S87" s="485">
        <v>10</v>
      </c>
      <c r="T87" s="497">
        <v>83</v>
      </c>
      <c r="U87" s="485">
        <v>119</v>
      </c>
      <c r="V87" s="488"/>
      <c r="W87" s="488"/>
      <c r="X87" s="488"/>
      <c r="Y87" s="488"/>
      <c r="Z87" s="485"/>
      <c r="AA87" s="485"/>
      <c r="AB87" s="485"/>
      <c r="AC87" s="488"/>
      <c r="AD87" s="485"/>
      <c r="AE87" s="485"/>
      <c r="AF87" s="485"/>
      <c r="AG87" s="488"/>
      <c r="AH87" s="489"/>
      <c r="AI87" s="488"/>
      <c r="AL87" s="495"/>
    </row>
    <row r="88" spans="1:38" s="490" customFormat="1" ht="26.25" customHeight="1" x14ac:dyDescent="0.25">
      <c r="A88" s="485">
        <v>86</v>
      </c>
      <c r="B88" s="485" t="s">
        <v>294</v>
      </c>
      <c r="C88" s="485"/>
      <c r="D88" s="485">
        <v>11.2</v>
      </c>
      <c r="E88" s="485"/>
      <c r="F88" s="485"/>
      <c r="G88" s="485" t="s">
        <v>505</v>
      </c>
      <c r="H88" s="485"/>
      <c r="I88" s="486" t="s">
        <v>506</v>
      </c>
      <c r="J88" s="485">
        <v>2</v>
      </c>
      <c r="K88" s="487">
        <f t="shared" ref="K88:K91" si="11">J88*$K$86</f>
        <v>2</v>
      </c>
      <c r="L88" s="485"/>
      <c r="M88" s="488">
        <v>1</v>
      </c>
      <c r="N88" s="488">
        <f t="shared" si="2"/>
        <v>2</v>
      </c>
      <c r="O88" s="498" t="s">
        <v>251</v>
      </c>
      <c r="P88" s="489" t="s">
        <v>250</v>
      </c>
      <c r="Q88" s="485"/>
      <c r="R88" s="489"/>
      <c r="S88" s="485">
        <v>10</v>
      </c>
      <c r="T88" s="497">
        <v>75</v>
      </c>
      <c r="U88" s="485">
        <v>119</v>
      </c>
      <c r="V88" s="488"/>
      <c r="W88" s="488"/>
      <c r="X88" s="488"/>
      <c r="Y88" s="488"/>
      <c r="Z88" s="485"/>
      <c r="AA88" s="485"/>
      <c r="AB88" s="485"/>
      <c r="AC88" s="488"/>
      <c r="AD88" s="485"/>
      <c r="AE88" s="485"/>
      <c r="AF88" s="485"/>
      <c r="AG88" s="488"/>
      <c r="AH88" s="489"/>
      <c r="AI88" s="488"/>
      <c r="AL88" s="495"/>
    </row>
    <row r="89" spans="1:38" s="490" customFormat="1" ht="26.25" customHeight="1" x14ac:dyDescent="0.25">
      <c r="A89" s="485">
        <v>87</v>
      </c>
      <c r="B89" s="485" t="s">
        <v>294</v>
      </c>
      <c r="C89" s="485"/>
      <c r="D89" s="485">
        <v>11.3</v>
      </c>
      <c r="E89" s="485"/>
      <c r="F89" s="485"/>
      <c r="G89" s="485" t="s">
        <v>507</v>
      </c>
      <c r="H89" s="485"/>
      <c r="I89" s="486" t="s">
        <v>508</v>
      </c>
      <c r="J89" s="485">
        <v>2</v>
      </c>
      <c r="K89" s="487">
        <f t="shared" si="11"/>
        <v>2</v>
      </c>
      <c r="L89" s="485"/>
      <c r="M89" s="488">
        <f>S89*T89*U89*0.00000785</f>
        <v>0.25905</v>
      </c>
      <c r="N89" s="488">
        <f t="shared" si="2"/>
        <v>0.5181</v>
      </c>
      <c r="O89" s="498" t="s">
        <v>251</v>
      </c>
      <c r="P89" s="489" t="s">
        <v>250</v>
      </c>
      <c r="Q89" s="485"/>
      <c r="R89" s="489"/>
      <c r="S89" s="485">
        <v>10</v>
      </c>
      <c r="T89" s="497">
        <v>44</v>
      </c>
      <c r="U89" s="485">
        <v>75</v>
      </c>
      <c r="V89" s="488"/>
      <c r="W89" s="488"/>
      <c r="X89" s="488"/>
      <c r="Y89" s="488"/>
      <c r="Z89" s="485"/>
      <c r="AA89" s="485"/>
      <c r="AB89" s="485"/>
      <c r="AC89" s="488"/>
      <c r="AD89" s="485"/>
      <c r="AE89" s="485"/>
      <c r="AF89" s="485"/>
      <c r="AG89" s="488"/>
      <c r="AH89" s="489"/>
      <c r="AI89" s="488"/>
      <c r="AL89" s="495"/>
    </row>
    <row r="90" spans="1:38" s="490" customFormat="1" ht="26.25" customHeight="1" x14ac:dyDescent="0.25">
      <c r="A90" s="485">
        <v>88</v>
      </c>
      <c r="B90" s="485" t="s">
        <v>294</v>
      </c>
      <c r="C90" s="485"/>
      <c r="D90" s="485">
        <v>11.4</v>
      </c>
      <c r="E90" s="485"/>
      <c r="F90" s="485"/>
      <c r="G90" s="485" t="s">
        <v>509</v>
      </c>
      <c r="H90" s="485"/>
      <c r="I90" s="486" t="s">
        <v>510</v>
      </c>
      <c r="J90" s="485">
        <v>2</v>
      </c>
      <c r="K90" s="487">
        <f t="shared" si="11"/>
        <v>2</v>
      </c>
      <c r="L90" s="485"/>
      <c r="M90" s="488">
        <v>0.02</v>
      </c>
      <c r="N90" s="488">
        <f t="shared" si="2"/>
        <v>0.04</v>
      </c>
      <c r="O90" s="498" t="s">
        <v>49</v>
      </c>
      <c r="P90" s="489" t="s">
        <v>511</v>
      </c>
      <c r="Q90" s="485"/>
      <c r="R90" s="489"/>
      <c r="S90" s="485" t="s">
        <v>512</v>
      </c>
      <c r="T90" s="497"/>
      <c r="U90" s="485">
        <v>25</v>
      </c>
      <c r="V90" s="488"/>
      <c r="W90" s="488"/>
      <c r="X90" s="488"/>
      <c r="Y90" s="488"/>
      <c r="Z90" s="485"/>
      <c r="AA90" s="485"/>
      <c r="AB90" s="485"/>
      <c r="AC90" s="488"/>
      <c r="AD90" s="485"/>
      <c r="AE90" s="485"/>
      <c r="AF90" s="485"/>
      <c r="AG90" s="488"/>
      <c r="AH90" s="489"/>
      <c r="AI90" s="488"/>
      <c r="AL90" s="495"/>
    </row>
    <row r="91" spans="1:38" s="490" customFormat="1" ht="26.25" customHeight="1" x14ac:dyDescent="0.25">
      <c r="A91" s="485">
        <v>89</v>
      </c>
      <c r="B91" s="485" t="s">
        <v>294</v>
      </c>
      <c r="C91" s="485"/>
      <c r="D91" s="485">
        <v>11.5</v>
      </c>
      <c r="E91" s="485"/>
      <c r="F91" s="485"/>
      <c r="G91" s="485" t="s">
        <v>513</v>
      </c>
      <c r="H91" s="485"/>
      <c r="I91" s="486" t="s">
        <v>514</v>
      </c>
      <c r="J91" s="485">
        <v>1</v>
      </c>
      <c r="K91" s="487">
        <f t="shared" si="11"/>
        <v>1</v>
      </c>
      <c r="L91" s="485"/>
      <c r="M91" s="488">
        <v>8</v>
      </c>
      <c r="N91" s="488">
        <f t="shared" si="2"/>
        <v>8</v>
      </c>
      <c r="O91" s="498" t="s">
        <v>251</v>
      </c>
      <c r="P91" s="489" t="s">
        <v>515</v>
      </c>
      <c r="Q91" s="485"/>
      <c r="R91" s="489"/>
      <c r="S91" s="485">
        <v>6</v>
      </c>
      <c r="T91" s="497">
        <v>232</v>
      </c>
      <c r="U91" s="485">
        <v>749</v>
      </c>
      <c r="V91" s="488"/>
      <c r="W91" s="488"/>
      <c r="X91" s="488"/>
      <c r="Y91" s="488"/>
      <c r="Z91" s="485">
        <v>2</v>
      </c>
      <c r="AA91" s="485" t="s">
        <v>408</v>
      </c>
      <c r="AB91" s="485"/>
      <c r="AC91" s="488"/>
      <c r="AD91" s="485"/>
      <c r="AE91" s="485"/>
      <c r="AF91" s="485"/>
      <c r="AG91" s="488"/>
      <c r="AH91" s="489"/>
      <c r="AI91" s="488"/>
      <c r="AL91" s="495"/>
    </row>
  </sheetData>
  <autoFilter ref="A2:AL14" xr:uid="{481341FF-1F97-4E29-AA7D-1B92A2311F46}"/>
  <mergeCells count="3">
    <mergeCell ref="A1:A2"/>
    <mergeCell ref="C1:E1"/>
    <mergeCell ref="G1:L1"/>
  </mergeCells>
  <phoneticPr fontId="1" type="noConversion"/>
  <conditionalFormatting sqref="G1:G2 G92:G1048576">
    <cfRule type="duplicateValues" dxfId="2" priority="4"/>
  </conditionalFormatting>
  <conditionalFormatting sqref="G3:G9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D23-E337-4298-AC05-6DCABE619096}">
  <dimension ref="F2:J17"/>
  <sheetViews>
    <sheetView topLeftCell="A5" workbookViewId="0">
      <selection activeCell="J3" sqref="J3:J17"/>
    </sheetView>
  </sheetViews>
  <sheetFormatPr defaultRowHeight="15" x14ac:dyDescent="0.25"/>
  <cols>
    <col min="8" max="8" width="30.5703125" customWidth="1"/>
    <col min="9" max="9" width="23" customWidth="1"/>
  </cols>
  <sheetData>
    <row r="2" spans="6:10" ht="30" x14ac:dyDescent="0.25">
      <c r="F2" s="408" t="s">
        <v>255</v>
      </c>
      <c r="G2" s="408" t="s">
        <v>21</v>
      </c>
      <c r="H2" s="408" t="s">
        <v>256</v>
      </c>
      <c r="I2" s="408" t="s">
        <v>257</v>
      </c>
      <c r="J2" s="408" t="s">
        <v>258</v>
      </c>
    </row>
    <row r="3" spans="6:10" ht="30" x14ac:dyDescent="0.25">
      <c r="F3" s="409">
        <v>1</v>
      </c>
      <c r="G3" s="409">
        <v>3</v>
      </c>
      <c r="H3" s="409" t="s">
        <v>259</v>
      </c>
      <c r="I3" s="409" t="s">
        <v>250</v>
      </c>
      <c r="J3" s="409" t="s">
        <v>260</v>
      </c>
    </row>
    <row r="4" spans="6:10" ht="30" x14ac:dyDescent="0.25">
      <c r="F4" s="409">
        <v>2</v>
      </c>
      <c r="G4" s="409">
        <v>1</v>
      </c>
      <c r="H4" s="409" t="s">
        <v>261</v>
      </c>
      <c r="I4" s="409" t="s">
        <v>262</v>
      </c>
      <c r="J4" s="409" t="s">
        <v>263</v>
      </c>
    </row>
    <row r="5" spans="6:10" ht="30" x14ac:dyDescent="0.25">
      <c r="F5" s="409">
        <v>3</v>
      </c>
      <c r="G5" s="409">
        <v>1</v>
      </c>
      <c r="H5" s="409" t="s">
        <v>264</v>
      </c>
      <c r="I5" s="409" t="s">
        <v>262</v>
      </c>
      <c r="J5" s="409" t="s">
        <v>265</v>
      </c>
    </row>
    <row r="6" spans="6:10" x14ac:dyDescent="0.25">
      <c r="F6" s="409">
        <v>4</v>
      </c>
      <c r="G6" s="409">
        <v>4</v>
      </c>
      <c r="H6" s="409" t="s">
        <v>266</v>
      </c>
      <c r="I6" s="409" t="s">
        <v>250</v>
      </c>
      <c r="J6" s="409" t="s">
        <v>267</v>
      </c>
    </row>
    <row r="7" spans="6:10" ht="30" x14ac:dyDescent="0.25">
      <c r="F7" s="409">
        <v>5</v>
      </c>
      <c r="G7" s="409">
        <v>1</v>
      </c>
      <c r="H7" s="409" t="s">
        <v>268</v>
      </c>
      <c r="I7" s="409" t="s">
        <v>254</v>
      </c>
      <c r="J7" s="409" t="s">
        <v>269</v>
      </c>
    </row>
    <row r="8" spans="6:10" ht="30" x14ac:dyDescent="0.25">
      <c r="F8" s="409">
        <v>6</v>
      </c>
      <c r="G8" s="409">
        <v>2</v>
      </c>
      <c r="H8" s="409" t="s">
        <v>270</v>
      </c>
      <c r="I8" s="409" t="s">
        <v>250</v>
      </c>
      <c r="J8" s="409" t="s">
        <v>271</v>
      </c>
    </row>
    <row r="9" spans="6:10" x14ac:dyDescent="0.25">
      <c r="F9" s="409">
        <v>7</v>
      </c>
      <c r="G9" s="409">
        <v>4</v>
      </c>
      <c r="H9" s="409" t="s">
        <v>272</v>
      </c>
      <c r="I9" s="409" t="s">
        <v>273</v>
      </c>
      <c r="J9" s="409" t="s">
        <v>274</v>
      </c>
    </row>
    <row r="10" spans="6:10" x14ac:dyDescent="0.25">
      <c r="F10" s="409">
        <v>8</v>
      </c>
      <c r="G10" s="409">
        <v>1</v>
      </c>
      <c r="H10" s="409" t="s">
        <v>275</v>
      </c>
      <c r="I10" s="409" t="s">
        <v>253</v>
      </c>
      <c r="J10" s="409" t="s">
        <v>276</v>
      </c>
    </row>
    <row r="11" spans="6:10" x14ac:dyDescent="0.25">
      <c r="F11" s="409">
        <v>9</v>
      </c>
      <c r="G11" s="409">
        <v>2</v>
      </c>
      <c r="H11" s="409" t="s">
        <v>277</v>
      </c>
      <c r="I11" s="409" t="s">
        <v>250</v>
      </c>
      <c r="J11" s="409" t="s">
        <v>278</v>
      </c>
    </row>
    <row r="12" spans="6:10" x14ac:dyDescent="0.25">
      <c r="F12" s="409">
        <v>10</v>
      </c>
      <c r="G12" s="409">
        <v>2</v>
      </c>
      <c r="H12" s="409" t="s">
        <v>279</v>
      </c>
      <c r="I12" s="409" t="s">
        <v>280</v>
      </c>
      <c r="J12" s="409" t="s">
        <v>252</v>
      </c>
    </row>
    <row r="13" spans="6:10" ht="30" x14ac:dyDescent="0.25">
      <c r="F13" s="409">
        <v>11</v>
      </c>
      <c r="G13" s="409">
        <v>4</v>
      </c>
      <c r="H13" s="409" t="s">
        <v>281</v>
      </c>
      <c r="I13" s="409" t="s">
        <v>250</v>
      </c>
      <c r="J13" s="409" t="s">
        <v>282</v>
      </c>
    </row>
    <row r="14" spans="6:10" ht="30" x14ac:dyDescent="0.25">
      <c r="F14" s="409">
        <v>12</v>
      </c>
      <c r="G14" s="409">
        <v>2</v>
      </c>
      <c r="H14" s="409" t="s">
        <v>283</v>
      </c>
      <c r="I14" s="409" t="s">
        <v>284</v>
      </c>
      <c r="J14" s="409" t="s">
        <v>285</v>
      </c>
    </row>
    <row r="15" spans="6:10" x14ac:dyDescent="0.25">
      <c r="F15" s="409">
        <v>13</v>
      </c>
      <c r="G15" s="409">
        <v>2</v>
      </c>
      <c r="H15" s="409" t="s">
        <v>286</v>
      </c>
      <c r="I15" s="409" t="s">
        <v>250</v>
      </c>
      <c r="J15" s="409" t="s">
        <v>287</v>
      </c>
    </row>
    <row r="16" spans="6:10" ht="30" x14ac:dyDescent="0.25">
      <c r="F16" s="409">
        <v>14</v>
      </c>
      <c r="G16" s="409">
        <v>2</v>
      </c>
      <c r="H16" s="409" t="s">
        <v>288</v>
      </c>
      <c r="I16" s="409" t="s">
        <v>254</v>
      </c>
      <c r="J16" s="409" t="s">
        <v>289</v>
      </c>
    </row>
    <row r="17" spans="6:10" ht="30" x14ac:dyDescent="0.25">
      <c r="F17" s="409">
        <v>15</v>
      </c>
      <c r="G17" s="409">
        <v>2</v>
      </c>
      <c r="H17" s="409" t="s">
        <v>290</v>
      </c>
      <c r="I17" s="409" t="s">
        <v>250</v>
      </c>
      <c r="J17" s="409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77" bestFit="1" customWidth="1"/>
    <col min="2" max="2" width="17" style="177" bestFit="1" customWidth="1"/>
    <col min="3" max="3" width="23.42578125" style="177" customWidth="1"/>
    <col min="4" max="4" width="19.28515625" style="177" bestFit="1" customWidth="1"/>
    <col min="5" max="5" width="19.28515625" style="177" customWidth="1"/>
    <col min="6" max="6" width="17.28515625" style="177" bestFit="1" customWidth="1"/>
    <col min="7" max="7" width="12.140625" style="177" customWidth="1"/>
    <col min="8" max="8" width="15" style="177" bestFit="1" customWidth="1"/>
    <col min="9" max="9" width="21.5703125" style="177" bestFit="1" customWidth="1"/>
    <col min="10" max="10" width="17.5703125" style="177" bestFit="1" customWidth="1"/>
    <col min="11" max="11" width="21.5703125" style="177" bestFit="1" customWidth="1"/>
    <col min="12" max="12" width="17.5703125" style="177" bestFit="1" customWidth="1"/>
    <col min="13" max="13" width="21.5703125" style="177" bestFit="1" customWidth="1"/>
    <col min="14" max="14" width="17.5703125" style="177" bestFit="1" customWidth="1"/>
    <col min="15" max="15" width="19.5703125" style="177" bestFit="1" customWidth="1"/>
    <col min="16" max="16" width="19.28515625" style="177" customWidth="1"/>
    <col min="17" max="17" width="12.85546875" style="177" bestFit="1" customWidth="1"/>
    <col min="18" max="18" width="9.7109375" style="177" bestFit="1" customWidth="1"/>
    <col min="19" max="19" width="10.5703125" style="177" bestFit="1" customWidth="1"/>
    <col min="20" max="20" width="14.42578125" style="177" bestFit="1" customWidth="1"/>
    <col min="21" max="16384" width="9.140625" style="177"/>
  </cols>
  <sheetData>
    <row r="1" spans="1:14" ht="16.5" thickBot="1" x14ac:dyDescent="0.3">
      <c r="H1" s="178" t="s">
        <v>165</v>
      </c>
      <c r="I1" s="179" t="s">
        <v>158</v>
      </c>
    </row>
    <row r="2" spans="1:14" ht="28.5" customHeight="1" thickBot="1" x14ac:dyDescent="0.3">
      <c r="A2" s="473" t="s">
        <v>179</v>
      </c>
      <c r="B2" s="474"/>
      <c r="C2" s="474"/>
      <c r="D2" s="474"/>
      <c r="E2" s="180" t="str">
        <f>I1</f>
        <v>DT34962</v>
      </c>
      <c r="F2" s="181"/>
    </row>
    <row r="3" spans="1:14" s="185" customFormat="1" x14ac:dyDescent="0.25">
      <c r="A3" s="173" t="s">
        <v>13</v>
      </c>
      <c r="B3" s="173" t="s">
        <v>44</v>
      </c>
      <c r="C3" s="173" t="s">
        <v>45</v>
      </c>
      <c r="D3" s="173" t="s">
        <v>46</v>
      </c>
      <c r="E3" s="173" t="s">
        <v>178</v>
      </c>
      <c r="F3" s="173" t="s">
        <v>47</v>
      </c>
      <c r="G3" s="182"/>
      <c r="H3" s="183"/>
      <c r="I3" s="184" t="s">
        <v>174</v>
      </c>
      <c r="J3" s="183"/>
      <c r="K3" s="183"/>
      <c r="L3" s="183"/>
      <c r="M3" s="183"/>
      <c r="N3" s="183"/>
    </row>
    <row r="4" spans="1:14" s="185" customFormat="1" ht="47.25" x14ac:dyDescent="0.25">
      <c r="A4" s="174" t="s">
        <v>48</v>
      </c>
      <c r="B4" s="174" t="s">
        <v>164</v>
      </c>
      <c r="C4" s="175" t="s">
        <v>169</v>
      </c>
      <c r="D4" s="174">
        <v>8</v>
      </c>
      <c r="E4" s="176">
        <f>GETPIVOTDATA("Sum of Total Weight 
(Kg)",$H$3,"Alt. Material","IS 2062 
E250 A/BO/BR","IS Thk
(mm)",8)</f>
        <v>158.59461759999999</v>
      </c>
      <c r="F4" s="176">
        <f>GETPIVOTDATA("Sum of Gross Wt 
(kg)",$H$3,"Alt. Material","IS 2062 
E250 A/BO/BR","IS Thk
(mm)",8)</f>
        <v>218.06759919999999</v>
      </c>
      <c r="G4" s="182"/>
      <c r="H4" s="183"/>
      <c r="I4" s="183" t="s">
        <v>170</v>
      </c>
      <c r="J4" s="183"/>
      <c r="K4" s="183" t="s">
        <v>169</v>
      </c>
      <c r="L4" s="183"/>
      <c r="M4" s="183" t="s">
        <v>175</v>
      </c>
      <c r="N4" s="183" t="s">
        <v>176</v>
      </c>
    </row>
    <row r="5" spans="1:14" s="185" customFormat="1" ht="31.5" x14ac:dyDescent="0.25">
      <c r="A5" s="174" t="s">
        <v>48</v>
      </c>
      <c r="B5" s="174" t="s">
        <v>163</v>
      </c>
      <c r="C5" s="175" t="s">
        <v>170</v>
      </c>
      <c r="D5" s="174">
        <v>20</v>
      </c>
      <c r="E5" s="176">
        <f>GETPIVOTDATA("Sum of Total Weight 
(Kg)",$H$3,"Alt. Material","ASTM A514","IS Thk
(mm)",20)</f>
        <v>8.6183999999999994</v>
      </c>
      <c r="F5" s="176">
        <f>GETPIVOTDATA("Sum of Gross Wt 
(kg)",$H$3,"Alt. Material","ASTM A514","IS Thk
(mm)",20)</f>
        <v>10.084816499999999</v>
      </c>
      <c r="G5" s="182"/>
      <c r="H5" s="184" t="s">
        <v>41</v>
      </c>
      <c r="I5" s="183" t="s">
        <v>177</v>
      </c>
      <c r="J5" s="183" t="s">
        <v>43</v>
      </c>
      <c r="K5" s="183" t="s">
        <v>177</v>
      </c>
      <c r="L5" s="183" t="s">
        <v>43</v>
      </c>
      <c r="M5" s="183"/>
      <c r="N5" s="183"/>
    </row>
    <row r="6" spans="1:14" s="185" customFormat="1" x14ac:dyDescent="0.25">
      <c r="A6" s="177"/>
      <c r="B6" s="177"/>
      <c r="C6" s="177"/>
      <c r="D6" s="177"/>
      <c r="E6" s="177"/>
      <c r="F6" s="177"/>
      <c r="G6" s="186"/>
      <c r="H6" s="187">
        <v>8</v>
      </c>
      <c r="I6" s="188"/>
      <c r="J6" s="188"/>
      <c r="K6" s="188">
        <v>158.59461759999999</v>
      </c>
      <c r="L6" s="188">
        <v>218.06759919999999</v>
      </c>
      <c r="M6" s="188">
        <v>158.59461759999999</v>
      </c>
      <c r="N6" s="188">
        <v>218.06759919999999</v>
      </c>
    </row>
    <row r="7" spans="1:14" x14ac:dyDescent="0.25">
      <c r="G7" s="186"/>
      <c r="H7" s="187">
        <v>20</v>
      </c>
      <c r="I7" s="188">
        <v>8.6183999999999994</v>
      </c>
      <c r="J7" s="188">
        <v>10.084816499999999</v>
      </c>
      <c r="K7" s="188"/>
      <c r="L7" s="188"/>
      <c r="M7" s="188">
        <v>8.6183999999999994</v>
      </c>
      <c r="N7" s="188">
        <v>10.084816499999999</v>
      </c>
    </row>
    <row r="8" spans="1:14" x14ac:dyDescent="0.25">
      <c r="G8" s="189"/>
      <c r="H8" s="187" t="s">
        <v>42</v>
      </c>
      <c r="I8" s="190">
        <v>8.6183999999999994</v>
      </c>
      <c r="J8" s="190">
        <v>10.084816499999999</v>
      </c>
      <c r="K8" s="190">
        <v>158.59461759999999</v>
      </c>
      <c r="L8" s="190">
        <v>218.06759919999999</v>
      </c>
      <c r="M8" s="190">
        <v>167.2130176</v>
      </c>
      <c r="N8" s="190">
        <v>228.15241569999998</v>
      </c>
    </row>
    <row r="10" spans="1:14" ht="16.5" thickBot="1" x14ac:dyDescent="0.3"/>
    <row r="11" spans="1:14" ht="24.75" customHeight="1" thickBot="1" x14ac:dyDescent="0.3">
      <c r="A11" s="473" t="s">
        <v>179</v>
      </c>
      <c r="B11" s="474"/>
      <c r="C11" s="474"/>
      <c r="D11" s="474"/>
      <c r="E11" s="180" t="str">
        <f>I11</f>
        <v>DT34961</v>
      </c>
      <c r="F11" s="181"/>
      <c r="H11" s="178" t="s">
        <v>165</v>
      </c>
      <c r="I11" s="179" t="s">
        <v>159</v>
      </c>
    </row>
    <row r="12" spans="1:14" x14ac:dyDescent="0.25">
      <c r="A12" s="173" t="s">
        <v>13</v>
      </c>
      <c r="B12" s="173" t="s">
        <v>44</v>
      </c>
      <c r="C12" s="173" t="s">
        <v>45</v>
      </c>
      <c r="D12" s="173" t="s">
        <v>46</v>
      </c>
      <c r="E12" s="173" t="s">
        <v>178</v>
      </c>
      <c r="F12" s="173" t="s">
        <v>47</v>
      </c>
    </row>
    <row r="13" spans="1:14" ht="31.5" x14ac:dyDescent="0.25">
      <c r="A13" s="174" t="s">
        <v>48</v>
      </c>
      <c r="B13" s="174" t="s">
        <v>164</v>
      </c>
      <c r="C13" s="175" t="s">
        <v>169</v>
      </c>
      <c r="D13" s="174">
        <v>8</v>
      </c>
      <c r="E13" s="176">
        <f>GETPIVOTDATA("Sum of Total Weight 
(Kg)",$H$13,"IS Thk
(mm)",8)</f>
        <v>177.39731439999997</v>
      </c>
      <c r="F13" s="176">
        <f>GETPIVOTDATA("Sum of Gross Wt 
(kg)",$H$13,"IS Thk
(mm)",8)</f>
        <v>243.92130729999997</v>
      </c>
      <c r="H13" s="183"/>
      <c r="I13" s="184" t="s">
        <v>174</v>
      </c>
      <c r="J13" s="183"/>
      <c r="K13" s="183"/>
      <c r="L13" s="183"/>
      <c r="M13" s="183"/>
      <c r="N13" s="183"/>
    </row>
    <row r="14" spans="1:14" ht="47.25" x14ac:dyDescent="0.25">
      <c r="A14" s="174" t="s">
        <v>48</v>
      </c>
      <c r="B14" s="174" t="s">
        <v>163</v>
      </c>
      <c r="C14" s="175" t="s">
        <v>170</v>
      </c>
      <c r="D14" s="174">
        <v>20</v>
      </c>
      <c r="E14" s="176">
        <f>GETPIVOTDATA("Sum of Total Weight 
(Kg)",$H$13,"Alt. Material","ASTM A514","IS Thk
(mm)",20)</f>
        <v>8.6183999999999994</v>
      </c>
      <c r="F14" s="176">
        <f>GETPIVOTDATA("Sum of Gross Wt 
(kg)",$H$13,"Alt. Material","ASTM A514","IS Thk
(mm)",20)</f>
        <v>10.084816499999999</v>
      </c>
      <c r="H14" s="183"/>
      <c r="I14" s="183" t="s">
        <v>170</v>
      </c>
      <c r="J14" s="183"/>
      <c r="K14" s="183" t="s">
        <v>169</v>
      </c>
      <c r="L14" s="183"/>
      <c r="M14" s="183" t="s">
        <v>175</v>
      </c>
      <c r="N14" s="183" t="s">
        <v>176</v>
      </c>
    </row>
    <row r="15" spans="1:14" ht="31.5" x14ac:dyDescent="0.25">
      <c r="H15" s="184" t="s">
        <v>41</v>
      </c>
      <c r="I15" s="183" t="s">
        <v>177</v>
      </c>
      <c r="J15" s="183" t="s">
        <v>43</v>
      </c>
      <c r="K15" s="183" t="s">
        <v>177</v>
      </c>
      <c r="L15" s="183" t="s">
        <v>43</v>
      </c>
      <c r="M15" s="183"/>
      <c r="N15" s="183"/>
    </row>
    <row r="16" spans="1:14" x14ac:dyDescent="0.25">
      <c r="H16" s="187">
        <v>8</v>
      </c>
      <c r="I16" s="188"/>
      <c r="J16" s="188"/>
      <c r="K16" s="188">
        <v>177.39731439999997</v>
      </c>
      <c r="L16" s="188">
        <v>243.92130729999997</v>
      </c>
      <c r="M16" s="188">
        <v>177.39731439999997</v>
      </c>
      <c r="N16" s="188">
        <v>243.92130729999997</v>
      </c>
    </row>
    <row r="17" spans="1:14" x14ac:dyDescent="0.25">
      <c r="H17" s="187">
        <v>20</v>
      </c>
      <c r="I17" s="188">
        <v>8.6183999999999994</v>
      </c>
      <c r="J17" s="188">
        <v>10.084816499999999</v>
      </c>
      <c r="K17" s="188"/>
      <c r="L17" s="188"/>
      <c r="M17" s="188">
        <v>8.6183999999999994</v>
      </c>
      <c r="N17" s="188">
        <v>10.084816499999999</v>
      </c>
    </row>
    <row r="18" spans="1:14" x14ac:dyDescent="0.25">
      <c r="H18" s="187" t="s">
        <v>42</v>
      </c>
      <c r="I18" s="190">
        <v>8.6183999999999994</v>
      </c>
      <c r="J18" s="190">
        <v>10.084816499999999</v>
      </c>
      <c r="K18" s="190">
        <v>177.39731439999997</v>
      </c>
      <c r="L18" s="190">
        <v>243.92130729999997</v>
      </c>
      <c r="M18" s="190">
        <v>186.01571439999998</v>
      </c>
      <c r="N18" s="190">
        <v>254.00612379999995</v>
      </c>
    </row>
    <row r="20" spans="1:14" ht="16.5" thickBot="1" x14ac:dyDescent="0.3"/>
    <row r="21" spans="1:14" ht="28.5" customHeight="1" thickBot="1" x14ac:dyDescent="0.3">
      <c r="A21" s="473" t="s">
        <v>179</v>
      </c>
      <c r="B21" s="474"/>
      <c r="C21" s="474"/>
      <c r="D21" s="475"/>
      <c r="E21" s="180" t="str">
        <f>I21</f>
        <v>DT14062</v>
      </c>
      <c r="F21" s="181"/>
      <c r="H21" s="178" t="s">
        <v>165</v>
      </c>
      <c r="I21" s="179" t="s">
        <v>160</v>
      </c>
    </row>
    <row r="22" spans="1:14" ht="31.5" customHeight="1" x14ac:dyDescent="0.25">
      <c r="A22" s="173" t="s">
        <v>13</v>
      </c>
      <c r="B22" s="173" t="s">
        <v>44</v>
      </c>
      <c r="C22" s="173" t="s">
        <v>45</v>
      </c>
      <c r="D22" s="173" t="s">
        <v>46</v>
      </c>
      <c r="E22" s="173" t="s">
        <v>178</v>
      </c>
      <c r="F22" s="173" t="s">
        <v>47</v>
      </c>
    </row>
    <row r="23" spans="1:14" ht="23.25" customHeight="1" x14ac:dyDescent="0.25">
      <c r="A23" s="174" t="s">
        <v>48</v>
      </c>
      <c r="B23" s="174" t="s">
        <v>164</v>
      </c>
      <c r="C23" s="175" t="s">
        <v>169</v>
      </c>
      <c r="D23" s="174">
        <v>6</v>
      </c>
      <c r="E23" s="176">
        <f>GETPIVOTDATA("Sum of Total Weight 
(Kg)",$H$23,"Alt. Material","IS 2062 
E250 A/BO/BR","IS Thk
(mm)",6)</f>
        <v>1.0099502279999997</v>
      </c>
      <c r="F23" s="176">
        <f>GETPIVOTDATA("Sum of Gross Wt 
(kg)",$H$23,"Alt. Material","IS 2062 
E250 A/BO/BR","IS Thk
(mm)",6)</f>
        <v>1.5870646439999996</v>
      </c>
      <c r="H23" s="183"/>
      <c r="I23" s="184" t="s">
        <v>174</v>
      </c>
      <c r="J23" s="183"/>
      <c r="K23" s="183"/>
      <c r="L23" s="183"/>
      <c r="M23" s="183"/>
      <c r="N23" s="183"/>
    </row>
    <row r="24" spans="1:14" ht="47.25" x14ac:dyDescent="0.25">
      <c r="A24" s="174" t="s">
        <v>48</v>
      </c>
      <c r="B24" s="174" t="s">
        <v>164</v>
      </c>
      <c r="C24" s="175" t="s">
        <v>169</v>
      </c>
      <c r="D24" s="174">
        <v>20</v>
      </c>
      <c r="E24" s="176">
        <f>GETPIVOTDATA("Sum of Total Weight 
(Kg)",$H$23,"Alt. Material","IS 2062 
E250 A/BO/BR","IS Thk
(mm)",20)</f>
        <v>179.33083727999997</v>
      </c>
      <c r="F24" s="176">
        <f>GETPIVOTDATA("Sum of Gross Wt 
(kg)",$H$23,"Alt. Material","IS 2062 
E250 A/BO/BR","IS Thk
(mm)",20)</f>
        <v>253.90305644</v>
      </c>
      <c r="H24" s="183"/>
      <c r="I24" s="183" t="s">
        <v>173</v>
      </c>
      <c r="J24" s="183"/>
      <c r="K24" s="183" t="s">
        <v>169</v>
      </c>
      <c r="L24" s="183"/>
      <c r="M24" s="183" t="s">
        <v>175</v>
      </c>
      <c r="N24" s="183" t="s">
        <v>176</v>
      </c>
    </row>
    <row r="25" spans="1:14" ht="31.5" x14ac:dyDescent="0.25">
      <c r="A25" s="174" t="s">
        <v>49</v>
      </c>
      <c r="B25" s="174" t="s">
        <v>166</v>
      </c>
      <c r="C25" s="175" t="s">
        <v>173</v>
      </c>
      <c r="D25" s="174" t="s">
        <v>22</v>
      </c>
      <c r="E25" s="176">
        <f>GETPIVOTDATA("Sum of Total Weight 
(Kg)",$H$23,"Alt. Material","42CrMo4 / EN 19","IS Thk
(mm)","Dia 65")</f>
        <v>68.040000000000006</v>
      </c>
      <c r="F25" s="176">
        <f>GETPIVOTDATA("Sum of Gross Wt 
(kg)",$H$23,"Alt. Material","42CrMo4 / EN 19","IS Thk
(mm)","Dia 65")</f>
        <v>97.405000000000001</v>
      </c>
      <c r="H25" s="184" t="s">
        <v>41</v>
      </c>
      <c r="I25" s="183" t="s">
        <v>177</v>
      </c>
      <c r="J25" s="183" t="s">
        <v>43</v>
      </c>
      <c r="K25" s="183" t="s">
        <v>177</v>
      </c>
      <c r="L25" s="183" t="s">
        <v>43</v>
      </c>
      <c r="M25" s="183"/>
      <c r="N25" s="183"/>
    </row>
    <row r="26" spans="1:14" x14ac:dyDescent="0.25">
      <c r="H26" s="191">
        <v>6</v>
      </c>
      <c r="I26" s="192"/>
      <c r="J26" s="192"/>
      <c r="K26" s="192">
        <v>1.0099502279999997</v>
      </c>
      <c r="L26" s="192">
        <v>1.5870646439999996</v>
      </c>
      <c r="M26" s="192">
        <v>1.0099502279999997</v>
      </c>
      <c r="N26" s="192">
        <v>1.5870646439999996</v>
      </c>
    </row>
    <row r="27" spans="1:14" ht="26.25" customHeight="1" x14ac:dyDescent="0.25">
      <c r="H27" s="187">
        <v>20</v>
      </c>
      <c r="I27" s="188"/>
      <c r="J27" s="188"/>
      <c r="K27" s="188">
        <v>179.33083727999997</v>
      </c>
      <c r="L27" s="188">
        <v>253.90305644</v>
      </c>
      <c r="M27" s="188">
        <v>179.33083727999997</v>
      </c>
      <c r="N27" s="188">
        <v>253.90305644</v>
      </c>
    </row>
    <row r="28" spans="1:14" x14ac:dyDescent="0.25">
      <c r="H28" s="187" t="s">
        <v>22</v>
      </c>
      <c r="I28" s="188">
        <v>68.040000000000006</v>
      </c>
      <c r="J28" s="188">
        <v>97.405000000000001</v>
      </c>
      <c r="K28" s="188"/>
      <c r="L28" s="188"/>
      <c r="M28" s="188">
        <v>68.040000000000006</v>
      </c>
      <c r="N28" s="188">
        <v>97.405000000000001</v>
      </c>
    </row>
    <row r="29" spans="1:14" x14ac:dyDescent="0.25">
      <c r="H29" s="187" t="s">
        <v>42</v>
      </c>
      <c r="I29" s="190">
        <v>68.040000000000006</v>
      </c>
      <c r="J29" s="190">
        <v>97.405000000000001</v>
      </c>
      <c r="K29" s="190">
        <v>180.34078750799998</v>
      </c>
      <c r="L29" s="190">
        <v>255.49012108400001</v>
      </c>
      <c r="M29" s="190">
        <v>248.38078750799997</v>
      </c>
      <c r="N29" s="190">
        <v>352.89512108400004</v>
      </c>
    </row>
    <row r="32" spans="1:14" ht="16.5" thickBot="1" x14ac:dyDescent="0.3"/>
    <row r="33" spans="1:14" ht="24.75" customHeight="1" thickBot="1" x14ac:dyDescent="0.3">
      <c r="A33" s="473" t="s">
        <v>179</v>
      </c>
      <c r="B33" s="474"/>
      <c r="C33" s="474"/>
      <c r="D33" s="474"/>
      <c r="E33" s="180" t="str">
        <f>I33</f>
        <v>DT14077</v>
      </c>
      <c r="F33" s="181"/>
      <c r="H33" s="178" t="s">
        <v>165</v>
      </c>
      <c r="I33" s="179" t="s">
        <v>161</v>
      </c>
    </row>
    <row r="34" spans="1:14" x14ac:dyDescent="0.25">
      <c r="A34" s="173" t="s">
        <v>13</v>
      </c>
      <c r="B34" s="173" t="s">
        <v>44</v>
      </c>
      <c r="C34" s="173" t="s">
        <v>45</v>
      </c>
      <c r="D34" s="173" t="s">
        <v>46</v>
      </c>
      <c r="E34" s="173" t="s">
        <v>178</v>
      </c>
      <c r="F34" s="173" t="s">
        <v>47</v>
      </c>
    </row>
    <row r="35" spans="1:14" ht="31.5" x14ac:dyDescent="0.25">
      <c r="A35" s="174" t="s">
        <v>48</v>
      </c>
      <c r="B35" s="174" t="s">
        <v>164</v>
      </c>
      <c r="C35" s="175" t="s">
        <v>169</v>
      </c>
      <c r="D35" s="174">
        <v>6</v>
      </c>
      <c r="E35" s="176">
        <f>GETPIVOTDATA("Sum of Total Weight 
(Kg)",$H$35,"Alt. Material","IS 2062 
E250 A/BO/BR","IS Thk
(mm)",6)</f>
        <v>0.45775031030399987</v>
      </c>
      <c r="F35" s="176">
        <f>GETPIVOTDATA("Sum of Gross Wt 
(kg)",$H$35,"Alt. Material","IS 2062 
E250 A/BO/BR","IS Thk
(mm)",6)</f>
        <v>0.71932191619199992</v>
      </c>
      <c r="H35" s="183"/>
      <c r="I35" s="184" t="s">
        <v>174</v>
      </c>
      <c r="J35" s="183"/>
      <c r="K35" s="183"/>
      <c r="L35" s="183"/>
      <c r="M35" s="183"/>
      <c r="N35" s="183"/>
    </row>
    <row r="36" spans="1:14" ht="47.25" x14ac:dyDescent="0.25">
      <c r="A36" s="174" t="s">
        <v>48</v>
      </c>
      <c r="B36" s="174" t="s">
        <v>164</v>
      </c>
      <c r="C36" s="175" t="s">
        <v>169</v>
      </c>
      <c r="D36" s="174">
        <v>20</v>
      </c>
      <c r="E36" s="176">
        <f>GETPIVOTDATA("Sum of Total Weight 
(Kg)",$H$35,"Alt. Material","IS 2062 
E250 A/BO/BR","IS Thk
(mm)",20)</f>
        <v>73.946178513999996</v>
      </c>
      <c r="F36" s="176">
        <f>GETPIVOTDATA("Sum of Gross Wt 
(kg)",$H$35,"Alt. Material","IS 2062 
E250 A/BO/BR","IS Thk
(mm)",20)</f>
        <v>104.51114581599998</v>
      </c>
      <c r="H36" s="183"/>
      <c r="I36" s="183" t="s">
        <v>173</v>
      </c>
      <c r="J36" s="183"/>
      <c r="K36" s="183" t="s">
        <v>169</v>
      </c>
      <c r="L36" s="183"/>
      <c r="M36" s="183" t="s">
        <v>175</v>
      </c>
      <c r="N36" s="183" t="s">
        <v>176</v>
      </c>
    </row>
    <row r="37" spans="1:14" ht="31.5" x14ac:dyDescent="0.25">
      <c r="A37" s="174" t="s">
        <v>49</v>
      </c>
      <c r="B37" s="174" t="s">
        <v>166</v>
      </c>
      <c r="C37" s="175" t="s">
        <v>173</v>
      </c>
      <c r="D37" s="174" t="s">
        <v>22</v>
      </c>
      <c r="E37" s="176">
        <f>GETPIVOTDATA("Sum of Total Weight 
(Kg)",$H$35,"Alt. Material","42CrMo4 / EN 19","IS Thk
(mm)","Dia 65")</f>
        <v>30.028320000000001</v>
      </c>
      <c r="F37" s="176">
        <f>GETPIVOTDATA("Sum of Gross Wt 
(kg)",$H$35,"Alt. Material","42CrMo4 / EN 19","IS Thk
(mm)","Dia 65")</f>
        <v>41.887999999999998</v>
      </c>
      <c r="H37" s="184" t="s">
        <v>41</v>
      </c>
      <c r="I37" s="183" t="s">
        <v>177</v>
      </c>
      <c r="J37" s="183" t="s">
        <v>43</v>
      </c>
      <c r="K37" s="183" t="s">
        <v>177</v>
      </c>
      <c r="L37" s="183" t="s">
        <v>43</v>
      </c>
      <c r="M37" s="183"/>
      <c r="N37" s="183"/>
    </row>
    <row r="38" spans="1:14" x14ac:dyDescent="0.25">
      <c r="H38" s="191">
        <v>6</v>
      </c>
      <c r="I38" s="192"/>
      <c r="J38" s="192"/>
      <c r="K38" s="192">
        <v>0.45775031030399987</v>
      </c>
      <c r="L38" s="192">
        <v>0.71932191619199992</v>
      </c>
      <c r="M38" s="192">
        <v>0.45775031030399987</v>
      </c>
      <c r="N38" s="192">
        <v>0.71932191619199992</v>
      </c>
    </row>
    <row r="39" spans="1:14" x14ac:dyDescent="0.25">
      <c r="H39" s="187">
        <v>20</v>
      </c>
      <c r="I39" s="188"/>
      <c r="J39" s="188"/>
      <c r="K39" s="188">
        <v>73.946178513999996</v>
      </c>
      <c r="L39" s="188">
        <v>104.51114581599998</v>
      </c>
      <c r="M39" s="188">
        <v>73.946178513999996</v>
      </c>
      <c r="N39" s="188">
        <v>104.51114581599998</v>
      </c>
    </row>
    <row r="40" spans="1:14" x14ac:dyDescent="0.25">
      <c r="H40" s="187" t="s">
        <v>22</v>
      </c>
      <c r="I40" s="188">
        <v>30.028320000000001</v>
      </c>
      <c r="J40" s="188">
        <v>41.887999999999998</v>
      </c>
      <c r="K40" s="188"/>
      <c r="L40" s="188"/>
      <c r="M40" s="188">
        <v>30.028320000000001</v>
      </c>
      <c r="N40" s="188">
        <v>41.887999999999998</v>
      </c>
    </row>
    <row r="41" spans="1:14" x14ac:dyDescent="0.25">
      <c r="H41" s="187" t="s">
        <v>42</v>
      </c>
      <c r="I41" s="190">
        <v>30.028320000000001</v>
      </c>
      <c r="J41" s="190">
        <v>41.887999999999998</v>
      </c>
      <c r="K41" s="190">
        <v>74.403928824303989</v>
      </c>
      <c r="L41" s="190">
        <v>105.23046773219198</v>
      </c>
      <c r="M41" s="190">
        <v>104.432248824304</v>
      </c>
      <c r="N41" s="190">
        <v>147.11846773219199</v>
      </c>
    </row>
    <row r="43" spans="1:14" ht="16.5" thickBot="1" x14ac:dyDescent="0.3"/>
    <row r="44" spans="1:14" ht="24.75" customHeight="1" thickBot="1" x14ac:dyDescent="0.3">
      <c r="A44" s="473" t="s">
        <v>179</v>
      </c>
      <c r="B44" s="474"/>
      <c r="C44" s="474"/>
      <c r="D44" s="474"/>
      <c r="E44" s="180" t="str">
        <f>I44</f>
        <v>DT14647</v>
      </c>
      <c r="F44" s="181"/>
      <c r="H44" s="178" t="s">
        <v>165</v>
      </c>
      <c r="I44" s="179" t="s">
        <v>162</v>
      </c>
    </row>
    <row r="45" spans="1:14" x14ac:dyDescent="0.25">
      <c r="A45" s="173" t="s">
        <v>13</v>
      </c>
      <c r="B45" s="173" t="s">
        <v>44</v>
      </c>
      <c r="C45" s="173" t="s">
        <v>45</v>
      </c>
      <c r="D45" s="173" t="s">
        <v>46</v>
      </c>
      <c r="E45" s="173" t="s">
        <v>178</v>
      </c>
      <c r="F45" s="173" t="s">
        <v>47</v>
      </c>
    </row>
    <row r="46" spans="1:14" ht="31.5" customHeight="1" x14ac:dyDescent="0.25">
      <c r="A46" s="174" t="s">
        <v>48</v>
      </c>
      <c r="B46" s="152" t="s">
        <v>167</v>
      </c>
      <c r="C46" s="152" t="s">
        <v>167</v>
      </c>
      <c r="D46" s="174">
        <v>25</v>
      </c>
      <c r="E46" s="176">
        <f>GETPIVOTDATA("Sum of Total Weight 
(Kg)",$H$46,"Alt. Material","ASTM 
A514 GR B","IS Thk
(mm)",25)</f>
        <v>17.907125624999999</v>
      </c>
      <c r="F46" s="176">
        <f>GETPIVOTDATA("Sum of Gross Wt 
(kg)",$H$46,"Alt. Material","ASTM 
A514 GR B","IS Thk
(mm)",25)</f>
        <v>26.071439625</v>
      </c>
      <c r="H46" s="183"/>
      <c r="I46" s="184" t="s">
        <v>174</v>
      </c>
      <c r="J46" s="183"/>
      <c r="K46" s="183"/>
      <c r="L46" s="183"/>
      <c r="M46" s="183"/>
      <c r="N46" s="183"/>
    </row>
    <row r="47" spans="1:14" ht="47.25" x14ac:dyDescent="0.25">
      <c r="A47" s="174" t="s">
        <v>48</v>
      </c>
      <c r="B47" s="152" t="s">
        <v>167</v>
      </c>
      <c r="C47" s="152" t="s">
        <v>167</v>
      </c>
      <c r="D47" s="174">
        <v>32</v>
      </c>
      <c r="E47" s="176">
        <f>GETPIVOTDATA("Sum of Total Weight 
(Kg)",$H$46,"Alt. Material","ASTM 
A514 GR B","IS Thk
(mm)",32)</f>
        <v>105.19452159999997</v>
      </c>
      <c r="F47" s="176">
        <f>GETPIVOTDATA("Sum of Gross Wt 
(kg)",$H$46,"Alt. Material","ASTM 
A514 GR B","IS Thk
(mm)",32)</f>
        <v>120.7573664</v>
      </c>
      <c r="H47" s="183"/>
      <c r="I47" s="183" t="s">
        <v>172</v>
      </c>
      <c r="J47" s="183"/>
      <c r="K47" s="183" t="s">
        <v>171</v>
      </c>
      <c r="L47" s="183"/>
      <c r="M47" s="183" t="s">
        <v>175</v>
      </c>
      <c r="N47" s="183" t="s">
        <v>176</v>
      </c>
    </row>
    <row r="48" spans="1:14" ht="31.5" x14ac:dyDescent="0.25">
      <c r="A48" s="174" t="s">
        <v>48</v>
      </c>
      <c r="B48" s="153" t="s">
        <v>168</v>
      </c>
      <c r="C48" s="175" t="s">
        <v>172</v>
      </c>
      <c r="D48" s="174" t="s">
        <v>180</v>
      </c>
      <c r="E48" s="176">
        <f>GETPIVOTDATA("Sum of Total Weight 
(Kg)",$H$46,"Alt. Material","1.7218 (25CrMo4)","IS Thk
(mm)","Dia 90")</f>
        <v>3.3</v>
      </c>
      <c r="F48" s="176">
        <f>GETPIVOTDATA("Sum of Gross Wt 
(kg)",$H$46,"Alt. Material","1.7218 (25CrMo4)","IS Thk
(mm)","Dia 90")</f>
        <v>4.0150000000000006</v>
      </c>
      <c r="H48" s="184" t="s">
        <v>41</v>
      </c>
      <c r="I48" s="183" t="s">
        <v>177</v>
      </c>
      <c r="J48" s="183" t="s">
        <v>43</v>
      </c>
      <c r="K48" s="183" t="s">
        <v>177</v>
      </c>
      <c r="L48" s="183" t="s">
        <v>43</v>
      </c>
      <c r="M48" s="183"/>
      <c r="N48" s="183"/>
    </row>
    <row r="49" spans="8:14" x14ac:dyDescent="0.25">
      <c r="H49" s="187">
        <v>25</v>
      </c>
      <c r="I49" s="188"/>
      <c r="J49" s="188"/>
      <c r="K49" s="188">
        <v>17.907125624999999</v>
      </c>
      <c r="L49" s="188">
        <v>26.071439625</v>
      </c>
      <c r="M49" s="188">
        <v>17.907125624999999</v>
      </c>
      <c r="N49" s="188">
        <v>26.071439625</v>
      </c>
    </row>
    <row r="50" spans="8:14" x14ac:dyDescent="0.25">
      <c r="H50" s="187">
        <v>32</v>
      </c>
      <c r="I50" s="188"/>
      <c r="J50" s="188"/>
      <c r="K50" s="188">
        <v>105.19452159999997</v>
      </c>
      <c r="L50" s="188">
        <v>120.7573664</v>
      </c>
      <c r="M50" s="188">
        <v>105.19452159999997</v>
      </c>
      <c r="N50" s="188">
        <v>120.7573664</v>
      </c>
    </row>
    <row r="51" spans="8:14" x14ac:dyDescent="0.25">
      <c r="H51" s="187" t="s">
        <v>180</v>
      </c>
      <c r="I51" s="188">
        <v>3.3</v>
      </c>
      <c r="J51" s="188">
        <v>4.0150000000000006</v>
      </c>
      <c r="K51" s="188"/>
      <c r="L51" s="188"/>
      <c r="M51" s="188">
        <v>3.3</v>
      </c>
      <c r="N51" s="188">
        <v>4.0150000000000006</v>
      </c>
    </row>
    <row r="52" spans="8:14" x14ac:dyDescent="0.25">
      <c r="H52" s="187" t="s">
        <v>42</v>
      </c>
      <c r="I52" s="190">
        <v>3.3</v>
      </c>
      <c r="J52" s="190">
        <v>4.0150000000000006</v>
      </c>
      <c r="K52" s="190">
        <v>123.10164722499997</v>
      </c>
      <c r="L52" s="190">
        <v>146.82880602500001</v>
      </c>
      <c r="M52" s="190">
        <v>126.40164722499996</v>
      </c>
      <c r="N52" s="190">
        <v>150.84380602499999</v>
      </c>
    </row>
    <row r="63" spans="8:14" x14ac:dyDescent="0.25">
      <c r="H63" s="352" t="s">
        <v>165</v>
      </c>
      <c r="I63" s="353" t="s">
        <v>203</v>
      </c>
    </row>
    <row r="65" spans="2:20" x14ac:dyDescent="0.25">
      <c r="H65" s="354"/>
      <c r="I65" s="355" t="s">
        <v>174</v>
      </c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</row>
    <row r="66" spans="2:20" ht="63" x14ac:dyDescent="0.25">
      <c r="H66" s="354"/>
      <c r="I66" s="354" t="s">
        <v>172</v>
      </c>
      <c r="J66" s="354"/>
      <c r="K66" s="354" t="s">
        <v>173</v>
      </c>
      <c r="L66" s="354"/>
      <c r="M66" s="354" t="s">
        <v>171</v>
      </c>
      <c r="N66" s="354"/>
      <c r="O66" s="354" t="s">
        <v>170</v>
      </c>
      <c r="P66" s="354"/>
      <c r="Q66" s="354" t="s">
        <v>169</v>
      </c>
      <c r="R66" s="354"/>
      <c r="S66" s="354" t="s">
        <v>175</v>
      </c>
      <c r="T66" s="354" t="s">
        <v>176</v>
      </c>
    </row>
    <row r="67" spans="2:20" ht="37.5" customHeight="1" x14ac:dyDescent="0.25">
      <c r="B67" s="363" t="s">
        <v>204</v>
      </c>
      <c r="C67" s="363" t="s">
        <v>205</v>
      </c>
      <c r="D67" s="364" t="s">
        <v>206</v>
      </c>
      <c r="H67" s="355" t="s">
        <v>41</v>
      </c>
      <c r="I67" s="354" t="s">
        <v>177</v>
      </c>
      <c r="J67" s="354" t="s">
        <v>43</v>
      </c>
      <c r="K67" s="354" t="s">
        <v>177</v>
      </c>
      <c r="L67" s="354" t="s">
        <v>43</v>
      </c>
      <c r="M67" s="354" t="s">
        <v>177</v>
      </c>
      <c r="N67" s="354" t="s">
        <v>43</v>
      </c>
      <c r="O67" s="354" t="s">
        <v>177</v>
      </c>
      <c r="P67" s="354" t="s">
        <v>43</v>
      </c>
      <c r="Q67" s="354" t="s">
        <v>177</v>
      </c>
      <c r="R67" s="354" t="s">
        <v>43</v>
      </c>
      <c r="S67" s="354"/>
      <c r="T67" s="354"/>
    </row>
    <row r="68" spans="2:20" ht="18.75" x14ac:dyDescent="0.25">
      <c r="B68" s="362">
        <v>6</v>
      </c>
      <c r="C68" s="362" t="s">
        <v>207</v>
      </c>
      <c r="D68" s="361">
        <v>2.3063865601919993</v>
      </c>
      <c r="H68" s="356">
        <v>6</v>
      </c>
      <c r="I68" s="357"/>
      <c r="J68" s="357"/>
      <c r="K68" s="357"/>
      <c r="L68" s="357"/>
      <c r="M68" s="357"/>
      <c r="N68" s="357"/>
      <c r="O68" s="357"/>
      <c r="P68" s="357"/>
      <c r="Q68" s="357">
        <v>1.4677005383039996</v>
      </c>
      <c r="R68" s="357">
        <v>2.3063865601919993</v>
      </c>
      <c r="S68" s="357">
        <v>1.4677005383039996</v>
      </c>
      <c r="T68" s="357">
        <v>2.3063865601919993</v>
      </c>
    </row>
    <row r="69" spans="2:20" ht="18.75" x14ac:dyDescent="0.25">
      <c r="B69" s="362">
        <v>8</v>
      </c>
      <c r="C69" s="362" t="s">
        <v>207</v>
      </c>
      <c r="D69" s="361">
        <v>461.98890649999993</v>
      </c>
      <c r="H69" s="358">
        <v>8</v>
      </c>
      <c r="I69" s="359"/>
      <c r="J69" s="359"/>
      <c r="K69" s="359"/>
      <c r="L69" s="359"/>
      <c r="M69" s="359"/>
      <c r="N69" s="359"/>
      <c r="O69" s="359"/>
      <c r="P69" s="359"/>
      <c r="Q69" s="359">
        <v>335.99193199999996</v>
      </c>
      <c r="R69" s="359">
        <v>461.98890649999993</v>
      </c>
      <c r="S69" s="359">
        <v>335.99193199999996</v>
      </c>
      <c r="T69" s="359">
        <v>461.98890649999993</v>
      </c>
    </row>
    <row r="70" spans="2:20" ht="18.75" x14ac:dyDescent="0.25">
      <c r="B70" s="362">
        <v>20</v>
      </c>
      <c r="C70" s="362" t="s">
        <v>207</v>
      </c>
      <c r="D70" s="361">
        <v>358.41420225600001</v>
      </c>
      <c r="H70" s="358">
        <v>20</v>
      </c>
      <c r="I70" s="359"/>
      <c r="J70" s="359"/>
      <c r="K70" s="359"/>
      <c r="L70" s="359"/>
      <c r="M70" s="359"/>
      <c r="N70" s="359"/>
      <c r="O70" s="359">
        <v>17.236799999999999</v>
      </c>
      <c r="P70" s="359">
        <v>20.169632999999997</v>
      </c>
      <c r="Q70" s="359">
        <v>253.27701579399996</v>
      </c>
      <c r="R70" s="359">
        <v>358.41420225600001</v>
      </c>
      <c r="S70" s="359">
        <v>270.51381579399998</v>
      </c>
      <c r="T70" s="359">
        <v>378.58383525599999</v>
      </c>
    </row>
    <row r="71" spans="2:20" ht="18.75" x14ac:dyDescent="0.25">
      <c r="B71" s="362">
        <v>20</v>
      </c>
      <c r="C71" s="362" t="s">
        <v>171</v>
      </c>
      <c r="D71" s="361">
        <v>20.169632999999997</v>
      </c>
      <c r="H71" s="358">
        <v>25</v>
      </c>
      <c r="I71" s="359"/>
      <c r="J71" s="359"/>
      <c r="K71" s="359"/>
      <c r="L71" s="359"/>
      <c r="M71" s="359">
        <v>17.907125624999999</v>
      </c>
      <c r="N71" s="359">
        <v>26.071439625</v>
      </c>
      <c r="O71" s="359"/>
      <c r="P71" s="359"/>
      <c r="Q71" s="359"/>
      <c r="R71" s="359"/>
      <c r="S71" s="359">
        <v>17.907125624999999</v>
      </c>
      <c r="T71" s="359">
        <v>26.071439625</v>
      </c>
    </row>
    <row r="72" spans="2:20" ht="18.75" x14ac:dyDescent="0.25">
      <c r="B72" s="362">
        <v>25</v>
      </c>
      <c r="C72" s="362" t="s">
        <v>171</v>
      </c>
      <c r="D72" s="361">
        <v>26.071439625</v>
      </c>
      <c r="H72" s="358">
        <v>32</v>
      </c>
      <c r="I72" s="359"/>
      <c r="J72" s="359"/>
      <c r="K72" s="359"/>
      <c r="L72" s="359"/>
      <c r="M72" s="359">
        <v>105.19452159999997</v>
      </c>
      <c r="N72" s="359">
        <v>120.7573664</v>
      </c>
      <c r="O72" s="359"/>
      <c r="P72" s="359"/>
      <c r="Q72" s="359"/>
      <c r="R72" s="359"/>
      <c r="S72" s="359">
        <v>105.19452159999997</v>
      </c>
      <c r="T72" s="359">
        <v>120.7573664</v>
      </c>
    </row>
    <row r="73" spans="2:20" ht="18.75" x14ac:dyDescent="0.25">
      <c r="B73" s="362">
        <v>32</v>
      </c>
      <c r="C73" s="362" t="s">
        <v>171</v>
      </c>
      <c r="D73" s="361">
        <v>120.7573664</v>
      </c>
      <c r="H73" s="358" t="s">
        <v>22</v>
      </c>
      <c r="I73" s="359"/>
      <c r="J73" s="359"/>
      <c r="K73" s="359">
        <v>98.06832</v>
      </c>
      <c r="L73" s="359">
        <v>139.29300000000001</v>
      </c>
      <c r="M73" s="359"/>
      <c r="N73" s="359"/>
      <c r="O73" s="359"/>
      <c r="P73" s="359"/>
      <c r="Q73" s="359"/>
      <c r="R73" s="359"/>
      <c r="S73" s="359">
        <v>98.06832</v>
      </c>
      <c r="T73" s="359">
        <v>139.29300000000001</v>
      </c>
    </row>
    <row r="74" spans="2:20" ht="18.75" x14ac:dyDescent="0.25">
      <c r="B74" s="362" t="s">
        <v>22</v>
      </c>
      <c r="C74" s="362" t="s">
        <v>173</v>
      </c>
      <c r="D74" s="361">
        <v>139.29300000000001</v>
      </c>
      <c r="H74" s="358" t="s">
        <v>180</v>
      </c>
      <c r="I74" s="359">
        <v>3.3</v>
      </c>
      <c r="J74" s="359">
        <v>4.0150000000000006</v>
      </c>
      <c r="K74" s="359"/>
      <c r="L74" s="359"/>
      <c r="M74" s="359"/>
      <c r="N74" s="359"/>
      <c r="O74" s="359"/>
      <c r="P74" s="359"/>
      <c r="Q74" s="359"/>
      <c r="R74" s="359"/>
      <c r="S74" s="359">
        <v>3.3</v>
      </c>
      <c r="T74" s="359">
        <v>4.0150000000000006</v>
      </c>
    </row>
    <row r="75" spans="2:20" ht="18.75" x14ac:dyDescent="0.25">
      <c r="B75" s="362" t="s">
        <v>180</v>
      </c>
      <c r="C75" s="362" t="s">
        <v>172</v>
      </c>
      <c r="D75" s="361">
        <v>4.0150000000000006</v>
      </c>
      <c r="H75" s="358" t="s">
        <v>42</v>
      </c>
      <c r="I75" s="360">
        <v>3.3</v>
      </c>
      <c r="J75" s="360">
        <v>4.0150000000000006</v>
      </c>
      <c r="K75" s="360">
        <v>98.06832</v>
      </c>
      <c r="L75" s="360">
        <v>139.29300000000001</v>
      </c>
      <c r="M75" s="360">
        <v>123.10164722499997</v>
      </c>
      <c r="N75" s="360">
        <v>146.82880602500001</v>
      </c>
      <c r="O75" s="360">
        <v>17.236799999999999</v>
      </c>
      <c r="P75" s="360">
        <v>20.169632999999997</v>
      </c>
      <c r="Q75" s="360">
        <v>590.73664833230396</v>
      </c>
      <c r="R75" s="360">
        <v>822.70949531619192</v>
      </c>
      <c r="S75" s="360">
        <v>832.44341555730387</v>
      </c>
      <c r="T75" s="360">
        <v>1133.0159343411922</v>
      </c>
    </row>
    <row r="76" spans="2:20" ht="18.75" x14ac:dyDescent="0.25">
      <c r="B76" s="362" t="s">
        <v>42</v>
      </c>
      <c r="C76" s="362"/>
      <c r="D76" s="361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131" t="s">
        <v>40</v>
      </c>
    </row>
    <row r="3" spans="2:7" ht="15.75" x14ac:dyDescent="0.25">
      <c r="B3" s="170"/>
      <c r="C3" s="131"/>
      <c r="D3" s="131"/>
      <c r="E3" s="131"/>
      <c r="F3" s="131"/>
      <c r="G3" s="131"/>
    </row>
    <row r="4" spans="2:7" ht="15.75" x14ac:dyDescent="0.25">
      <c r="B4" s="170"/>
      <c r="C4" s="132"/>
      <c r="D4" s="132"/>
      <c r="E4" s="132"/>
      <c r="F4" s="132"/>
      <c r="G4" s="132"/>
    </row>
    <row r="5" spans="2:7" ht="15.75" x14ac:dyDescent="0.25">
      <c r="B5" s="170"/>
      <c r="C5" s="132"/>
      <c r="D5" s="132"/>
      <c r="E5" s="132"/>
      <c r="F5" s="132"/>
      <c r="G5" s="132"/>
    </row>
    <row r="6" spans="2:7" ht="15.75" x14ac:dyDescent="0.25">
      <c r="B6" s="170"/>
      <c r="C6" s="132"/>
      <c r="D6" s="132"/>
      <c r="E6" s="132"/>
      <c r="F6" s="132"/>
      <c r="G6" s="132"/>
    </row>
    <row r="7" spans="2:7" ht="15.75" x14ac:dyDescent="0.25">
      <c r="B7" s="170"/>
      <c r="C7" s="132"/>
      <c r="D7" s="132"/>
      <c r="E7" s="132"/>
      <c r="F7" s="132"/>
      <c r="G7" s="131"/>
    </row>
    <row r="8" spans="2:7" ht="15.75" x14ac:dyDescent="0.25">
      <c r="B8" s="170"/>
      <c r="C8" s="132"/>
      <c r="D8" s="132"/>
      <c r="E8" s="132"/>
      <c r="F8" s="132"/>
      <c r="G8" s="132"/>
    </row>
    <row r="9" spans="2:7" ht="15.75" x14ac:dyDescent="0.25">
      <c r="B9" s="170"/>
      <c r="C9" s="132"/>
      <c r="D9" s="132"/>
      <c r="E9" s="132"/>
      <c r="F9" s="132"/>
      <c r="G9" s="132"/>
    </row>
    <row r="10" spans="2:7" ht="15.75" x14ac:dyDescent="0.25">
      <c r="B10" s="170"/>
      <c r="C10" s="132"/>
      <c r="D10" s="132"/>
      <c r="E10" s="132"/>
      <c r="F10" s="132"/>
      <c r="G10" s="132"/>
    </row>
    <row r="11" spans="2:7" ht="15.75" x14ac:dyDescent="0.25">
      <c r="B11" s="170"/>
      <c r="C11" s="132"/>
      <c r="D11" s="132"/>
      <c r="E11" s="132"/>
      <c r="F11" s="132"/>
      <c r="G11" s="131"/>
    </row>
    <row r="12" spans="2:7" ht="15.75" x14ac:dyDescent="0.25">
      <c r="B12" s="170"/>
      <c r="C12" s="132"/>
      <c r="D12" s="132"/>
      <c r="E12" s="132"/>
      <c r="F12" s="132"/>
      <c r="G12" s="132"/>
    </row>
    <row r="13" spans="2:7" ht="15.75" x14ac:dyDescent="0.25">
      <c r="B13" s="170"/>
      <c r="C13" s="132"/>
      <c r="D13" s="132"/>
      <c r="E13" s="132"/>
      <c r="F13" s="132"/>
      <c r="G13" s="132"/>
    </row>
    <row r="14" spans="2:7" ht="15.75" x14ac:dyDescent="0.25">
      <c r="B14" s="170"/>
      <c r="C14" s="132"/>
      <c r="D14" s="132"/>
      <c r="E14" s="132"/>
      <c r="F14" s="132"/>
      <c r="G14" s="132"/>
    </row>
    <row r="15" spans="2:7" ht="15.75" x14ac:dyDescent="0.25">
      <c r="B15" s="170"/>
      <c r="C15" s="132"/>
      <c r="D15" s="132"/>
      <c r="E15" s="132"/>
      <c r="F15" s="132"/>
      <c r="G15" s="132"/>
    </row>
    <row r="16" spans="2:7" ht="15.75" x14ac:dyDescent="0.25">
      <c r="B16" s="170"/>
      <c r="C16" s="132"/>
      <c r="D16" s="132"/>
      <c r="E16" s="132"/>
      <c r="F16" s="132"/>
      <c r="G16" s="131"/>
    </row>
    <row r="17" spans="2:7" ht="15.75" x14ac:dyDescent="0.25">
      <c r="B17" s="170"/>
      <c r="C17" s="132"/>
      <c r="D17" s="132"/>
      <c r="E17" s="132"/>
      <c r="F17" s="132"/>
      <c r="G17" s="132"/>
    </row>
    <row r="18" spans="2:7" ht="15.75" x14ac:dyDescent="0.25">
      <c r="B18" s="170"/>
      <c r="C18" s="132"/>
      <c r="D18" s="132"/>
      <c r="E18" s="132"/>
      <c r="F18" s="132"/>
      <c r="G18" s="132"/>
    </row>
    <row r="19" spans="2:7" ht="15.75" x14ac:dyDescent="0.25">
      <c r="B19" s="170"/>
      <c r="C19" s="132"/>
      <c r="D19" s="132"/>
      <c r="E19" s="132"/>
      <c r="F19" s="132"/>
      <c r="G19" s="132"/>
    </row>
    <row r="20" spans="2:7" ht="15.75" x14ac:dyDescent="0.25">
      <c r="B20" s="170"/>
      <c r="C20" s="132"/>
      <c r="D20" s="132"/>
      <c r="E20" s="132"/>
      <c r="F20" s="132"/>
      <c r="G20" s="132"/>
    </row>
    <row r="21" spans="2:7" ht="15.75" x14ac:dyDescent="0.25">
      <c r="B21" s="170"/>
      <c r="C21" s="132"/>
      <c r="D21" s="132"/>
      <c r="E21" s="132"/>
      <c r="F21" s="132"/>
      <c r="G21" s="131"/>
    </row>
    <row r="22" spans="2:7" ht="15.75" x14ac:dyDescent="0.25">
      <c r="B22" s="170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76"/>
      <c r="D27" s="476"/>
      <c r="E27" s="169"/>
      <c r="F27" s="169"/>
      <c r="G27" s="11"/>
    </row>
    <row r="28" spans="2:7" x14ac:dyDescent="0.25">
      <c r="C28" s="477"/>
      <c r="D28" s="477"/>
      <c r="E28" s="5"/>
      <c r="F28" s="6"/>
      <c r="G28" s="7"/>
    </row>
    <row r="29" spans="2:7" x14ac:dyDescent="0.25">
      <c r="C29" s="478"/>
      <c r="D29" s="478"/>
      <c r="E29" s="8"/>
      <c r="F29" s="8"/>
      <c r="G29" s="171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129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130</v>
      </c>
      <c r="H3" s="93">
        <f>'BOM 42D CARRIER REAR_AY3016'!AI3</f>
        <v>0</v>
      </c>
      <c r="I3" s="5" t="s">
        <v>131</v>
      </c>
      <c r="J3" s="5" t="s">
        <v>132</v>
      </c>
    </row>
    <row r="4" spans="2:11" ht="30.75" thickBot="1" x14ac:dyDescent="0.3">
      <c r="B4" s="94"/>
      <c r="C4" s="94" t="s">
        <v>133</v>
      </c>
      <c r="D4" s="94" t="s">
        <v>134</v>
      </c>
      <c r="E4" s="94" t="s">
        <v>135</v>
      </c>
      <c r="F4" s="94" t="s">
        <v>136</v>
      </c>
      <c r="G4" s="94" t="s">
        <v>137</v>
      </c>
      <c r="H4" s="94" t="s">
        <v>138</v>
      </c>
      <c r="I4" s="94" t="s">
        <v>139</v>
      </c>
      <c r="J4" s="94" t="s">
        <v>140</v>
      </c>
    </row>
    <row r="5" spans="2:11" ht="15.75" thickBot="1" x14ac:dyDescent="0.3">
      <c r="B5" s="95" t="s">
        <v>141</v>
      </c>
      <c r="C5" s="95" t="s">
        <v>142</v>
      </c>
      <c r="D5" s="96" t="s">
        <v>143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156</v>
      </c>
      <c r="D6" s="102" t="s">
        <v>143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144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145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79" t="s">
        <v>146</v>
      </c>
      <c r="H9" s="483"/>
      <c r="I9" s="480"/>
      <c r="J9" s="108">
        <f>H3*250</f>
        <v>0</v>
      </c>
      <c r="K9" t="s">
        <v>147</v>
      </c>
    </row>
    <row r="10" spans="2:11" x14ac:dyDescent="0.25">
      <c r="B10" s="479" t="s">
        <v>148</v>
      </c>
      <c r="C10" s="480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79" t="s">
        <v>149</v>
      </c>
      <c r="C11" s="480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1" t="s">
        <v>150</v>
      </c>
      <c r="C12" s="482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129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130</v>
      </c>
      <c r="H18" s="93">
        <f>H3</f>
        <v>0</v>
      </c>
      <c r="I18" s="93"/>
      <c r="J18" s="5" t="s">
        <v>131</v>
      </c>
      <c r="K18" s="5" t="s">
        <v>132</v>
      </c>
    </row>
    <row r="19" spans="2:12" ht="30" x14ac:dyDescent="0.25">
      <c r="B19" s="94"/>
      <c r="C19" s="94" t="s">
        <v>133</v>
      </c>
      <c r="D19" s="94" t="s">
        <v>134</v>
      </c>
      <c r="E19" s="94" t="s">
        <v>135</v>
      </c>
      <c r="F19" s="94" t="s">
        <v>136</v>
      </c>
      <c r="G19" s="94" t="s">
        <v>137</v>
      </c>
      <c r="H19" s="94" t="s">
        <v>138</v>
      </c>
      <c r="I19" s="94" t="s">
        <v>157</v>
      </c>
      <c r="J19" s="94" t="s">
        <v>139</v>
      </c>
      <c r="K19" s="94" t="s">
        <v>140</v>
      </c>
    </row>
    <row r="20" spans="2:12" x14ac:dyDescent="0.25">
      <c r="B20" s="9" t="s">
        <v>141</v>
      </c>
      <c r="C20" s="9" t="s">
        <v>142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156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144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145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146</v>
      </c>
      <c r="H24" s="124"/>
      <c r="I24" s="124"/>
      <c r="J24" s="125"/>
      <c r="K24" s="108">
        <f>H18*250</f>
        <v>0</v>
      </c>
      <c r="L24" t="s">
        <v>147</v>
      </c>
    </row>
    <row r="25" spans="2:12" x14ac:dyDescent="0.25">
      <c r="B25" s="479" t="s">
        <v>148</v>
      </c>
      <c r="C25" s="480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79" t="s">
        <v>149</v>
      </c>
      <c r="C26" s="480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1" t="s">
        <v>150</v>
      </c>
      <c r="C27" s="482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Customer Data </vt:lpstr>
      <vt:lpstr>Quote Buggy Parts </vt:lpstr>
      <vt:lpstr>Summary</vt:lpstr>
      <vt:lpstr>BOM 42D CARRIER REAR_AY3016</vt:lpstr>
      <vt:lpstr>Sheet1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2025-05-30T13:51:59Z</dcterms:modified>
</cp:coreProperties>
</file>