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1-RFQ Working\NABORS_CANRIG\Phase 2 RFQ package PC4100\Phase 2 RFQ package PC4100\AY30013_09062024075252\"/>
    </mc:Choice>
  </mc:AlternateContent>
  <xr:revisionPtr revIDLastSave="0" documentId="13_ncr:1_{AAD9DE81-F55D-4A09-A8DB-C3A7E34ABDC1}" xr6:coauthVersionLast="47" xr6:coauthVersionMax="47" xr10:uidLastSave="{00000000-0000-0000-0000-000000000000}"/>
  <bookViews>
    <workbookView xWindow="-120" yWindow="-120" windowWidth="20730" windowHeight="11040" tabRatio="847" activeTab="3" xr2:uid="{8FC367B8-883A-4562-9EE8-CB14321E8156}"/>
  </bookViews>
  <sheets>
    <sheet name="Customer Data " sheetId="10" r:id="rId1"/>
    <sheet name="Quote Buggy Parts " sheetId="18" state="hidden" r:id="rId2"/>
    <sheet name="Summary" sheetId="7" state="hidden" r:id="rId3"/>
    <sheet name="BOM R2D CatWalk" sheetId="1" r:id="rId4"/>
    <sheet name="RM Details" sheetId="13" state="hidden" r:id="rId5"/>
    <sheet name="Welding Details" sheetId="4" state="hidden" r:id="rId6"/>
    <sheet name="Paint Details" sheetId="9" state="hidden" r:id="rId7"/>
  </sheets>
  <externalReferences>
    <externalReference r:id="rId8"/>
  </externalReferences>
  <definedNames>
    <definedName name="_xlnm._FilterDatabase" localSheetId="3" hidden="1">'BOM R2D CatWalk'!$A$2:$AK$57</definedName>
    <definedName name="a" localSheetId="6">#REF!</definedName>
    <definedName name="a" localSheetId="1">#REF!</definedName>
    <definedName name="a" localSheetId="2">'[1]BOM '!#REF!</definedName>
    <definedName name="a">#REF!</definedName>
    <definedName name="a_1" localSheetId="1">#REF!</definedName>
    <definedName name="a_1" localSheetId="2">#REF!</definedName>
    <definedName name="a_1">#REF!</definedName>
    <definedName name="b" localSheetId="1">#REF!</definedName>
    <definedName name="b" localSheetId="2">#REF!</definedName>
    <definedName name="b">#REF!</definedName>
    <definedName name="_xlnm.Print_Area" localSheetId="2">Summary!$A$1:$G$35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1" i="1" l="1"/>
  <c r="L50" i="1"/>
  <c r="M50" i="1" s="1"/>
  <c r="L49" i="1"/>
  <c r="M49" i="1" s="1"/>
  <c r="L48" i="1"/>
  <c r="U48" i="1"/>
  <c r="L46" i="1"/>
  <c r="L44" i="1"/>
  <c r="U43" i="1"/>
  <c r="L43" i="1"/>
  <c r="L42" i="1"/>
  <c r="L41" i="1"/>
  <c r="U42" i="1"/>
  <c r="U41" i="1"/>
  <c r="L39" i="1"/>
  <c r="U39" i="1"/>
  <c r="M35" i="1"/>
  <c r="M34" i="1"/>
  <c r="L34" i="1"/>
  <c r="L35" i="1"/>
  <c r="J35" i="1"/>
  <c r="J34" i="1"/>
  <c r="L27" i="1"/>
  <c r="L16" i="1"/>
  <c r="L15" i="1"/>
  <c r="L13" i="1"/>
  <c r="B48" i="7"/>
  <c r="D48" i="7" s="1"/>
  <c r="B47" i="7"/>
  <c r="D47" i="7" s="1"/>
  <c r="C51" i="7"/>
  <c r="D51" i="7"/>
  <c r="D76" i="13"/>
  <c r="E45" i="18" l="1"/>
  <c r="B49" i="7"/>
  <c r="D49" i="7" s="1"/>
  <c r="D50" i="7" s="1"/>
  <c r="D3" i="18"/>
  <c r="D36" i="18"/>
  <c r="D31" i="18"/>
  <c r="D52" i="7" l="1"/>
  <c r="D53" i="7" s="1"/>
  <c r="E46" i="18" l="1"/>
  <c r="E47" i="18" l="1"/>
  <c r="B31" i="7"/>
  <c r="B3" i="7" l="1"/>
  <c r="B2" i="7"/>
  <c r="E44" i="13"/>
  <c r="E33" i="13"/>
  <c r="E21" i="13"/>
  <c r="E11" i="13"/>
  <c r="E2" i="13"/>
  <c r="E36" i="13"/>
  <c r="E13" i="13"/>
  <c r="F35" i="13"/>
  <c r="F4" i="13"/>
  <c r="E35" i="13"/>
  <c r="E4" i="13"/>
  <c r="F48" i="13"/>
  <c r="F24" i="13"/>
  <c r="E5" i="13"/>
  <c r="F47" i="13"/>
  <c r="E24" i="13"/>
  <c r="F5" i="13"/>
  <c r="F46" i="13"/>
  <c r="F23" i="13"/>
  <c r="E48" i="13"/>
  <c r="E23" i="13"/>
  <c r="E47" i="13"/>
  <c r="F25" i="13"/>
  <c r="E25" i="13"/>
  <c r="F37" i="13"/>
  <c r="E14" i="13"/>
  <c r="E37" i="13"/>
  <c r="F14" i="13"/>
  <c r="F36" i="13"/>
  <c r="F13" i="13"/>
  <c r="E46" i="13"/>
  <c r="N7" i="7" l="1"/>
  <c r="F8" i="7" s="1"/>
  <c r="N6" i="7"/>
  <c r="D8" i="7" s="1"/>
  <c r="M7" i="7"/>
  <c r="F9" i="7" s="1"/>
  <c r="M6" i="7"/>
  <c r="D9" i="7" s="1"/>
  <c r="K21" i="9" l="1"/>
  <c r="E21" i="9"/>
  <c r="G21" i="9" s="1"/>
  <c r="E20" i="9"/>
  <c r="G20" i="9" s="1"/>
  <c r="E6" i="9" l="1"/>
  <c r="G6" i="9" s="1"/>
  <c r="E5" i="9"/>
  <c r="G5" i="9" s="1"/>
  <c r="F31" i="7" l="1"/>
  <c r="F27" i="7"/>
  <c r="G9" i="7"/>
  <c r="D6" i="18" s="1"/>
  <c r="E14" i="18" l="1"/>
  <c r="E15" i="18"/>
  <c r="F32" i="7"/>
  <c r="H32" i="7" s="1"/>
  <c r="B26" i="7"/>
  <c r="F26" i="7" s="1"/>
  <c r="H26" i="7" s="1"/>
  <c r="H27" i="7"/>
  <c r="H31" i="7"/>
  <c r="F28" i="7"/>
  <c r="H28" i="7" s="1"/>
  <c r="F10" i="7"/>
  <c r="F13" i="7" s="1"/>
  <c r="D10" i="7"/>
  <c r="D13" i="7" s="1"/>
  <c r="F17" i="7" l="1"/>
  <c r="B14" i="7" l="1"/>
  <c r="F18" i="7" s="1"/>
  <c r="G8" i="7"/>
  <c r="G11" i="7"/>
  <c r="D5" i="18" l="1"/>
  <c r="D10" i="18" s="1"/>
  <c r="G13" i="7"/>
  <c r="G10" i="7"/>
  <c r="G14" i="7" l="1"/>
  <c r="E7" i="18"/>
  <c r="E9" i="18" s="1"/>
  <c r="J3" i="1"/>
  <c r="J57" i="1" l="1"/>
  <c r="M57" i="1" s="1"/>
  <c r="J45" i="1"/>
  <c r="M45" i="1" s="1"/>
  <c r="J31" i="1"/>
  <c r="M31" i="1" s="1"/>
  <c r="J44" i="1"/>
  <c r="M44" i="1" s="1"/>
  <c r="J17" i="1"/>
  <c r="J40" i="1"/>
  <c r="M40" i="1" s="1"/>
  <c r="J39" i="1"/>
  <c r="M39" i="1" s="1"/>
  <c r="J49" i="1"/>
  <c r="J47" i="1"/>
  <c r="M47" i="1" s="1"/>
  <c r="J32" i="1"/>
  <c r="J56" i="1"/>
  <c r="M56" i="1" s="1"/>
  <c r="J38" i="1"/>
  <c r="J36" i="1"/>
  <c r="M36" i="1" s="1"/>
  <c r="J46" i="1"/>
  <c r="M46" i="1" s="1"/>
  <c r="J55" i="1"/>
  <c r="M55" i="1" s="1"/>
  <c r="J43" i="1"/>
  <c r="J4" i="1"/>
  <c r="M4" i="1" s="1"/>
  <c r="J42" i="1"/>
  <c r="M42" i="1" s="1"/>
  <c r="J53" i="1"/>
  <c r="M53" i="1" s="1"/>
  <c r="J41" i="1"/>
  <c r="M41" i="1" s="1"/>
  <c r="J52" i="1"/>
  <c r="M52" i="1" s="1"/>
  <c r="J51" i="1"/>
  <c r="M51" i="1" s="1"/>
  <c r="J50" i="1"/>
  <c r="J37" i="1"/>
  <c r="M37" i="1" s="1"/>
  <c r="J48" i="1"/>
  <c r="J33" i="1"/>
  <c r="M33" i="1" s="1"/>
  <c r="J54" i="1"/>
  <c r="M54" i="1" s="1"/>
  <c r="AE3" i="1"/>
  <c r="F3" i="7"/>
  <c r="M3" i="1"/>
  <c r="M17" i="1" l="1"/>
  <c r="J26" i="1"/>
  <c r="M26" i="1" s="1"/>
  <c r="J25" i="1"/>
  <c r="M25" i="1" s="1"/>
  <c r="J24" i="1"/>
  <c r="M24" i="1" s="1"/>
  <c r="J23" i="1"/>
  <c r="M23" i="1" s="1"/>
  <c r="J22" i="1"/>
  <c r="M22" i="1" s="1"/>
  <c r="J21" i="1"/>
  <c r="M21" i="1" s="1"/>
  <c r="J20" i="1"/>
  <c r="M20" i="1" s="1"/>
  <c r="J19" i="1"/>
  <c r="M19" i="1" s="1"/>
  <c r="J30" i="1"/>
  <c r="M30" i="1" s="1"/>
  <c r="J18" i="1"/>
  <c r="M18" i="1" s="1"/>
  <c r="J29" i="1"/>
  <c r="M29" i="1" s="1"/>
  <c r="J28" i="1"/>
  <c r="M28" i="1" s="1"/>
  <c r="J27" i="1"/>
  <c r="M27" i="1" s="1"/>
  <c r="M32" i="1"/>
  <c r="M38" i="1"/>
  <c r="M43" i="1"/>
  <c r="M48" i="1"/>
  <c r="J12" i="1"/>
  <c r="M12" i="1" s="1"/>
  <c r="J11" i="1"/>
  <c r="M11" i="1" s="1"/>
  <c r="J10" i="1"/>
  <c r="M10" i="1" s="1"/>
  <c r="J9" i="1"/>
  <c r="M9" i="1" s="1"/>
  <c r="J8" i="1"/>
  <c r="M8" i="1" s="1"/>
  <c r="J7" i="1"/>
  <c r="M7" i="1" s="1"/>
  <c r="J6" i="1"/>
  <c r="M6" i="1" s="1"/>
  <c r="J5" i="1"/>
  <c r="M5" i="1" s="1"/>
  <c r="J16" i="1"/>
  <c r="M16" i="1" s="1"/>
  <c r="J15" i="1"/>
  <c r="M15" i="1" s="1"/>
  <c r="J14" i="1"/>
  <c r="M14" i="1" s="1"/>
  <c r="J13" i="1"/>
  <c r="M13" i="1" s="1"/>
  <c r="C4" i="7"/>
  <c r="AH3" i="1"/>
  <c r="AB3" i="1"/>
  <c r="B24" i="7"/>
  <c r="B25" i="7" s="1"/>
  <c r="F29" i="7"/>
  <c r="H29" i="7" s="1"/>
  <c r="Y3" i="1" l="1"/>
  <c r="W3" i="1"/>
  <c r="AA3" i="1"/>
  <c r="B22" i="7" s="1"/>
  <c r="F22" i="7" s="1"/>
  <c r="H22" i="7" s="1"/>
  <c r="B30" i="7"/>
  <c r="F24" i="7"/>
  <c r="H24" i="7" s="1"/>
  <c r="F25" i="7"/>
  <c r="H25" i="7" s="1"/>
  <c r="X3" i="1"/>
  <c r="U3" i="1"/>
  <c r="H3" i="9"/>
  <c r="B21" i="7" l="1"/>
  <c r="F21" i="7" s="1"/>
  <c r="H21" i="7" s="1"/>
  <c r="B23" i="7"/>
  <c r="F23" i="7" s="1"/>
  <c r="H23" i="7" s="1"/>
  <c r="H18" i="9"/>
  <c r="K24" i="9" s="1"/>
  <c r="H20" i="9"/>
  <c r="I20" i="9" s="1"/>
  <c r="K20" i="9" s="1"/>
  <c r="H21" i="9"/>
  <c r="J9" i="9"/>
  <c r="H5" i="9"/>
  <c r="H6" i="9"/>
  <c r="J6" i="9" s="1"/>
  <c r="H22" i="9" l="1"/>
  <c r="I22" i="9" s="1"/>
  <c r="K22" i="9" s="1"/>
  <c r="J5" i="9"/>
  <c r="H7" i="9"/>
  <c r="J7" i="9" s="1"/>
  <c r="H8" i="9" l="1"/>
  <c r="H23" i="9"/>
  <c r="K23" i="9"/>
  <c r="K25" i="9" s="1"/>
  <c r="K26" i="9" s="1"/>
  <c r="K27" i="9" s="1"/>
  <c r="L27" i="9" s="1"/>
  <c r="J8" i="9"/>
  <c r="J10" i="9" s="1"/>
  <c r="J11" i="9" s="1"/>
  <c r="J12" i="9" s="1"/>
  <c r="K12" i="9" s="1"/>
  <c r="F30" i="7" s="1"/>
  <c r="F33" i="7" s="1"/>
  <c r="E13" i="18" s="1"/>
  <c r="E17" i="18" s="1"/>
  <c r="H30" i="7" l="1"/>
  <c r="H33" i="7" l="1"/>
  <c r="F34" i="7"/>
  <c r="F35" i="7" s="1"/>
  <c r="H35" i="7" s="1"/>
  <c r="F36" i="7" l="1"/>
  <c r="E36" i="18" s="1"/>
  <c r="H36" i="7" l="1"/>
  <c r="I36" i="7"/>
  <c r="E27" i="18"/>
  <c r="E25" i="18"/>
  <c r="E26" i="18"/>
  <c r="E21" i="18"/>
  <c r="E51" i="18"/>
  <c r="E48" i="18"/>
  <c r="E50" i="18"/>
  <c r="E49" i="18"/>
  <c r="E32" i="18"/>
  <c r="E34" i="18"/>
  <c r="E35" i="18"/>
  <c r="E37" i="18"/>
  <c r="E20" i="18"/>
  <c r="E22" i="18"/>
  <c r="E28" i="18"/>
  <c r="E31" i="18"/>
  <c r="E38" i="18"/>
</calcChain>
</file>

<file path=xl/sharedStrings.xml><?xml version="1.0" encoding="utf-8"?>
<sst xmlns="http://schemas.openxmlformats.org/spreadsheetml/2006/main" count="712" uniqueCount="390">
  <si>
    <t>S.No</t>
  </si>
  <si>
    <t>Level</t>
  </si>
  <si>
    <t>L1</t>
  </si>
  <si>
    <t>L2</t>
  </si>
  <si>
    <t>L3</t>
  </si>
  <si>
    <t>Drawing
No.</t>
  </si>
  <si>
    <t>Rev</t>
  </si>
  <si>
    <t xml:space="preserve">Description </t>
  </si>
  <si>
    <t>Qty.</t>
  </si>
  <si>
    <t>Total 
Qty.</t>
  </si>
  <si>
    <t>Net Wt.
LBS</t>
  </si>
  <si>
    <t>Net Weight 
(Kg)</t>
  </si>
  <si>
    <t>Total Weight 
(Kg)</t>
  </si>
  <si>
    <t>Type</t>
  </si>
  <si>
    <t>DRG.
Material</t>
  </si>
  <si>
    <t>Alt. Material</t>
  </si>
  <si>
    <t>IS Thk
(Inch)</t>
  </si>
  <si>
    <t>IS Thk
(mm)</t>
  </si>
  <si>
    <t xml:space="preserve">Width </t>
  </si>
  <si>
    <t>Length</t>
  </si>
  <si>
    <t xml:space="preserve">Paint </t>
  </si>
  <si>
    <t>Plate</t>
  </si>
  <si>
    <t>A</t>
  </si>
  <si>
    <t>QTY</t>
  </si>
  <si>
    <t>Dia 65</t>
  </si>
  <si>
    <t>Gross Wt 
(kg)</t>
  </si>
  <si>
    <t>Cutting 
Perimeter</t>
  </si>
  <si>
    <t xml:space="preserve">Cutting 
Time </t>
  </si>
  <si>
    <t xml:space="preserve">Cutting Cost </t>
  </si>
  <si>
    <t xml:space="preserve">No. of 
bends </t>
  </si>
  <si>
    <t>Bending
 Details</t>
  </si>
  <si>
    <t>Machining
Time (min)</t>
  </si>
  <si>
    <t>Machining 
Cost</t>
  </si>
  <si>
    <t>Other 
Process</t>
  </si>
  <si>
    <t>Other process
Cost</t>
  </si>
  <si>
    <t>Welding
 Length (M)</t>
  </si>
  <si>
    <t>Remarks</t>
  </si>
  <si>
    <t>Assy No.</t>
  </si>
  <si>
    <t>Item No.</t>
  </si>
  <si>
    <t>Weld Length</t>
  </si>
  <si>
    <t xml:space="preserve">No of Run </t>
  </si>
  <si>
    <t xml:space="preserve">No of Places </t>
  </si>
  <si>
    <t xml:space="preserve">Total Weld </t>
  </si>
  <si>
    <t>Row Labels</t>
  </si>
  <si>
    <t>Grand Total</t>
  </si>
  <si>
    <t>Sum of Gross Wt 
(kg)</t>
  </si>
  <si>
    <t>Drg. Material</t>
  </si>
  <si>
    <t xml:space="preserve">Material </t>
  </si>
  <si>
    <t>Size (thk)</t>
  </si>
  <si>
    <t>Gross Weight (kg)</t>
  </si>
  <si>
    <t xml:space="preserve">Plate </t>
  </si>
  <si>
    <t>Rod</t>
  </si>
  <si>
    <t>Total</t>
  </si>
  <si>
    <t xml:space="preserve">COSTING SHEET </t>
  </si>
  <si>
    <t>PRODUCT NAME:-</t>
  </si>
  <si>
    <t>RFQ Ref.</t>
  </si>
  <si>
    <t>ITEM DRG NO</t>
  </si>
  <si>
    <t>Total Quantity</t>
  </si>
  <si>
    <t xml:space="preserve">Total Net WT as per Drawing </t>
  </si>
  <si>
    <t>COSTBREAKUP OF COMPONENT (QTY-01 No.)</t>
  </si>
  <si>
    <t>RAW MATERIAL COST</t>
  </si>
  <si>
    <t>SPEC</t>
  </si>
  <si>
    <t>GROSS WT. (KG)</t>
  </si>
  <si>
    <t>NET WT (KG)</t>
  </si>
  <si>
    <t>SCRAP (KG)</t>
  </si>
  <si>
    <t>RM RATE (RS/KG)</t>
  </si>
  <si>
    <t>SCRAP RATE (RS/KG)</t>
  </si>
  <si>
    <t>NET RM COST (RS)</t>
  </si>
  <si>
    <t>TOTAL (RS)</t>
  </si>
  <si>
    <t>BOP COST</t>
  </si>
  <si>
    <t>BOP COST (RS)</t>
  </si>
  <si>
    <t xml:space="preserve">TOTAL BOP </t>
  </si>
  <si>
    <t>TOTAL OF RM + BOP (RS)</t>
  </si>
  <si>
    <t>PROCESS COST</t>
  </si>
  <si>
    <t>RATE</t>
  </si>
  <si>
    <t>TOTAL COST</t>
  </si>
  <si>
    <t>LASER /PLASMA/PIPE -  Cutting (Min.)</t>
  </si>
  <si>
    <t>Machining (Hrs)</t>
  </si>
  <si>
    <t>BENDING BY CNC BENDING (STROKE)</t>
  </si>
  <si>
    <t>MIG WELDING (MTR.)</t>
  </si>
  <si>
    <t>GRINDING/BUFFING &amp; FINISHING (hrs)</t>
  </si>
  <si>
    <t>INSPECTION &amp; TESTING (HRS)</t>
  </si>
  <si>
    <t xml:space="preserve">STRESS RELIEVING </t>
  </si>
  <si>
    <t>As Actual, If required</t>
  </si>
  <si>
    <t xml:space="preserve">Shot Blasting </t>
  </si>
  <si>
    <t>Hot Dip Galvanization</t>
  </si>
  <si>
    <t>PAINTING (including material &amp; Labor)</t>
  </si>
  <si>
    <t>TOTAL RM+BOP+PC</t>
  </si>
  <si>
    <t>Min.</t>
  </si>
  <si>
    <t xml:space="preserve">NOTES:- </t>
  </si>
  <si>
    <t>OTHER COST</t>
  </si>
  <si>
    <t>Stress relieveing NOT FOUND ON PRINTS, IF REQUIRED</t>
  </si>
  <si>
    <t>As Actual</t>
  </si>
  <si>
    <t>RECURRING COST</t>
  </si>
  <si>
    <t>A.</t>
  </si>
  <si>
    <t>RM Cost</t>
  </si>
  <si>
    <t>Weight in Kg.</t>
  </si>
  <si>
    <t>Price in INR</t>
  </si>
  <si>
    <t>i.</t>
  </si>
  <si>
    <t>RM Gross Weight</t>
  </si>
  <si>
    <t>ii.</t>
  </si>
  <si>
    <t>RM Net Weight</t>
  </si>
  <si>
    <t>iii.</t>
  </si>
  <si>
    <t>iv.</t>
  </si>
  <si>
    <t>Fastener and BOP</t>
  </si>
  <si>
    <t>TOTAL RM COST</t>
  </si>
  <si>
    <t>B.</t>
  </si>
  <si>
    <t>Process Cost</t>
  </si>
  <si>
    <t>Assy Cost</t>
  </si>
  <si>
    <t>Fabrication / Process Cost</t>
  </si>
  <si>
    <t>Paint</t>
  </si>
  <si>
    <t>Inspection and Testing</t>
  </si>
  <si>
    <t>v.</t>
  </si>
  <si>
    <t>TOTAL BASIC COST</t>
  </si>
  <si>
    <t>C.</t>
  </si>
  <si>
    <t>Fixed Cost</t>
  </si>
  <si>
    <t>i</t>
  </si>
  <si>
    <t>ICC Cost</t>
  </si>
  <si>
    <t>ii</t>
  </si>
  <si>
    <t>Rejection</t>
  </si>
  <si>
    <t>Sub Total</t>
  </si>
  <si>
    <t>D.</t>
  </si>
  <si>
    <t>Variable Cost</t>
  </si>
  <si>
    <t xml:space="preserve">Contingency / Warranty </t>
  </si>
  <si>
    <t>Overheads</t>
  </si>
  <si>
    <t xml:space="preserve">Contribution / Profit </t>
  </si>
  <si>
    <t>Total Price</t>
  </si>
  <si>
    <t>NON-RECURRING  COST</t>
  </si>
  <si>
    <t>ENGINEERING CHARGES</t>
  </si>
  <si>
    <t>DEVELOPMENT OF JIG AND FIXTURES (01 time)</t>
  </si>
  <si>
    <t>Surface Area
SQM</t>
  </si>
  <si>
    <t>Akzonobel</t>
  </si>
  <si>
    <t>Total Area</t>
  </si>
  <si>
    <t>SQM</t>
  </si>
  <si>
    <t xml:space="preserve">As per drawing </t>
  </si>
  <si>
    <t>Paint Details</t>
  </si>
  <si>
    <t>DFT</t>
  </si>
  <si>
    <t>Th Coverage
(Area m2)</t>
  </si>
  <si>
    <t>Wastage factor</t>
  </si>
  <si>
    <t>Actual Coverage 
(Area m2)</t>
  </si>
  <si>
    <t>Req Paint 
(Litre)</t>
  </si>
  <si>
    <t>Rate of paint</t>
  </si>
  <si>
    <t>Amount</t>
  </si>
  <si>
    <t xml:space="preserve">Primer </t>
  </si>
  <si>
    <t xml:space="preserve">Interzinc 42 </t>
  </si>
  <si>
    <t>50-75</t>
  </si>
  <si>
    <t xml:space="preserve">Thinner </t>
  </si>
  <si>
    <t xml:space="preserve">Total </t>
  </si>
  <si>
    <t>Paint Applying Cost (Labour and Consuables)</t>
  </si>
  <si>
    <t>`@250/SQM</t>
  </si>
  <si>
    <t xml:space="preserve">Total Paint Cost </t>
  </si>
  <si>
    <t>Extra paint touch up cost (5%)</t>
  </si>
  <si>
    <t>Total cost</t>
  </si>
  <si>
    <t>Stamping Cost (HRS)</t>
  </si>
  <si>
    <t xml:space="preserve">Tacking Fixture main Frame </t>
  </si>
  <si>
    <t>Fixture Details</t>
  </si>
  <si>
    <t>OH + Contingency</t>
  </si>
  <si>
    <t xml:space="preserve">Total Product Cost Without Profit </t>
  </si>
  <si>
    <t>Interthane 990 white</t>
  </si>
  <si>
    <t>Minimum Qty</t>
  </si>
  <si>
    <t>DT34962</t>
  </si>
  <si>
    <t>DT34961</t>
  </si>
  <si>
    <t>DT14062</t>
  </si>
  <si>
    <t>DT14077</t>
  </si>
  <si>
    <t>DT14647</t>
  </si>
  <si>
    <t>ASTM A514/Q690</t>
  </si>
  <si>
    <t>ASTM A36/ Q235</t>
  </si>
  <si>
    <t>Assembly</t>
  </si>
  <si>
    <t>AISI 4140 HTSR</t>
  </si>
  <si>
    <t>ASTM A514 GR B</t>
  </si>
  <si>
    <t>AISI 4130</t>
  </si>
  <si>
    <t>IS 2062 
E250 A/BO/BR</t>
  </si>
  <si>
    <t>ASTM A514</t>
  </si>
  <si>
    <t>ASTM 
A514 GR B</t>
  </si>
  <si>
    <t>1.7218 (25CrMo4)</t>
  </si>
  <si>
    <t>42CrMo4 / EN 19</t>
  </si>
  <si>
    <t>Column Labels</t>
  </si>
  <si>
    <t>Total Sum of Total Weight 
(Kg)</t>
  </si>
  <si>
    <t>Total Sum of Gross Wt 
(kg)</t>
  </si>
  <si>
    <t>Sum of Total Weight 
(Kg)</t>
  </si>
  <si>
    <t>Net Wet(kg)</t>
  </si>
  <si>
    <t>RM Details Assy. No</t>
  </si>
  <si>
    <t>Dia 90</t>
  </si>
  <si>
    <t>Laser part</t>
  </si>
  <si>
    <t>No paint Detail Found</t>
  </si>
  <si>
    <t>No BOP found in the Drawing Details</t>
  </si>
  <si>
    <t>FE cost</t>
  </si>
  <si>
    <t>ITEM-1</t>
  </si>
  <si>
    <t>Assy. No</t>
  </si>
  <si>
    <t>Raw Material Cost</t>
  </si>
  <si>
    <t xml:space="preserve">Packaging </t>
  </si>
  <si>
    <t>F</t>
  </si>
  <si>
    <t xml:space="preserve">Transportation </t>
  </si>
  <si>
    <t xml:space="preserve">EX Works </t>
  </si>
  <si>
    <t>Total Price for X Parts</t>
  </si>
  <si>
    <t xml:space="preserve">Total Cost Each Part </t>
  </si>
  <si>
    <t>Rate Per Gross Wt kg</t>
  </si>
  <si>
    <t>Rate Per Net Wt kg</t>
  </si>
  <si>
    <t>Internal Cal. Cost Per X parts</t>
  </si>
  <si>
    <t xml:space="preserve">Margin </t>
  </si>
  <si>
    <t>Margin %</t>
  </si>
  <si>
    <t>NRC Cost Without 20% Margin</t>
  </si>
  <si>
    <t>Canrig Scope</t>
  </si>
  <si>
    <t>No detail in Drg.</t>
  </si>
  <si>
    <t>TOTAL PROCESS COST OF PC</t>
  </si>
  <si>
    <t>(All)</t>
  </si>
  <si>
    <t>Size (mm)</t>
  </si>
  <si>
    <t xml:space="preserve">Material Grade </t>
  </si>
  <si>
    <t>Total Weight
 Req. kg</t>
  </si>
  <si>
    <t>IS 2062 E250 BR</t>
  </si>
  <si>
    <t xml:space="preserve">Rate </t>
  </si>
  <si>
    <t>Cost</t>
  </si>
  <si>
    <t xml:space="preserve">Testing Templates </t>
  </si>
  <si>
    <t>Development and Engg</t>
  </si>
  <si>
    <t>Approx Wt /Days</t>
  </si>
  <si>
    <t xml:space="preserve">Total  Cost </t>
  </si>
  <si>
    <t>NRC COST BREAKUP</t>
  </si>
  <si>
    <t>FE COST</t>
  </si>
  <si>
    <t>SUB TOTAL</t>
  </si>
  <si>
    <t>Part ID</t>
  </si>
  <si>
    <t>Description</t>
  </si>
  <si>
    <t>Usage</t>
  </si>
  <si>
    <t>AY30013</t>
  </si>
  <si>
    <t>WELDMENT, PC4100 R2D SLAVE SKID, PC4100</t>
  </si>
  <si>
    <t>AY30017</t>
  </si>
  <si>
    <t>WELDMENT, FALSE FLOOR, PC4100</t>
  </si>
  <si>
    <t>AY30018</t>
  </si>
  <si>
    <t>WELDMENT, HINGED FLOOR, PC4100</t>
  </si>
  <si>
    <t>AY30027</t>
  </si>
  <si>
    <t>AY30062</t>
  </si>
  <si>
    <t>WELDMENT, SAFETY BAR, PC4100</t>
  </si>
  <si>
    <t>AY30084</t>
  </si>
  <si>
    <t>HAND RAIL, WELDMENT, 42" CATWALK, PC4100</t>
  </si>
  <si>
    <t>AY30107</t>
  </si>
  <si>
    <t>WELDMENT,SKATE BODY, REVERSE VEE,PC4100</t>
  </si>
  <si>
    <t>AY30130</t>
  </si>
  <si>
    <t>WELDMENT, PC4100, 42' CATWALK, RAMP B</t>
  </si>
  <si>
    <t>AY30133</t>
  </si>
  <si>
    <t>WELDMENT, RAMP RAIL, PC4100</t>
  </si>
  <si>
    <t>AY30134</t>
  </si>
  <si>
    <t>WLDMNT, RAMP, SHEAVE SUB B, PC4100</t>
  </si>
  <si>
    <t>AY30144</t>
  </si>
  <si>
    <t>WELDMENT, 30FT LIFT ARM, PC4100</t>
  </si>
  <si>
    <t>AY30150</t>
  </si>
  <si>
    <t>WELDMENT, SPEAR FRAME, PC4100</t>
  </si>
  <si>
    <t>AY30160</t>
  </si>
  <si>
    <t>WELDMENT, 42D CARRIER REAR, PC4100</t>
  </si>
  <si>
    <t>AY50135</t>
  </si>
  <si>
    <t>KIT, LABELS, SAFETY, ENG/ARA, PC4000</t>
  </si>
  <si>
    <t>AY51606</t>
  </si>
  <si>
    <t>KIT, SHIPPING BRKTS, LONG,PC4000</t>
  </si>
  <si>
    <t>AY30011</t>
  </si>
  <si>
    <t>WELDMENT, R2D CATWALK, LEV 1, PC4100</t>
  </si>
  <si>
    <t>WELDMENT, CATWALK ODS BEAM, R2D, PC4100</t>
  </si>
  <si>
    <t>SEE BOM</t>
  </si>
  <si>
    <t>AY30010</t>
  </si>
  <si>
    <t>WELDMENT, CATWALK DS BEAM, R2D, PC4100</t>
  </si>
  <si>
    <t>AY30009</t>
  </si>
  <si>
    <t>PLATE, ROLL BAR END CAP, PC4100</t>
  </si>
  <si>
    <t>A572 Gr. 50</t>
  </si>
  <si>
    <t>DT34313</t>
  </si>
  <si>
    <t>PLATE, BACK MID STOP RIB, PC4100</t>
  </si>
  <si>
    <t>DT34402</t>
  </si>
  <si>
    <t>PIPE, CABLE ROLL, PC4100</t>
  </si>
  <si>
    <t>A.S.T.M. A106 GR.B</t>
  </si>
  <si>
    <t>DT34403</t>
  </si>
  <si>
    <t>A992 / A572</t>
  </si>
  <si>
    <t>DT34404</t>
  </si>
  <si>
    <t>CARRIER RAIL BOTTOM STIFFNER, DS, PC4100</t>
  </si>
  <si>
    <t>A36/S275JR</t>
  </si>
  <si>
    <t>DT34405</t>
  </si>
  <si>
    <t>CARRIER RAIL BOTTOM STIFFNER, ODS, PC4100</t>
  </si>
  <si>
    <t>DT34406</t>
  </si>
  <si>
    <t>CHANNEL, UPN200x2198 LG</t>
  </si>
  <si>
    <t>-</t>
  </si>
  <si>
    <t>PLATE, BOTTOM PLATE, JUNK BOX, PC4100</t>
  </si>
  <si>
    <t>ASTM A572 Gr. 50 / A516 Gr.70 / S355JR</t>
  </si>
  <si>
    <t>DT34390</t>
  </si>
  <si>
    <t>CHANNEL, UPN80X1143 LG</t>
  </si>
  <si>
    <t>CHANNEL, UPN80.000X4623.000 LG</t>
  </si>
  <si>
    <t>UPN80x4623</t>
  </si>
  <si>
    <t>BAR, FLAT, 45.000 X 6.000 X 329.406 LG</t>
  </si>
  <si>
    <t>A36/S275JR/SA 516 GR.70</t>
  </si>
  <si>
    <t>FB45X6X329</t>
  </si>
  <si>
    <t>PI 6" SCH XS X 2388mm</t>
  </si>
  <si>
    <t>G40.21-44W</t>
  </si>
  <si>
    <t>BAR, FLAT, 45.000 X 6.000 X 280.194 LG</t>
  </si>
  <si>
    <t>FB45X6X280</t>
  </si>
  <si>
    <t>PLATE, FRONT LIP, JUNK BOX, PC4100</t>
  </si>
  <si>
    <t>DT34389</t>
  </si>
  <si>
    <t>CHANNEL, UPN80.000 LG</t>
  </si>
  <si>
    <t>UPN80X1651</t>
  </si>
  <si>
    <t>BAR, FLAT, 80.000 X 6.000 X 4634.000 LG</t>
  </si>
  <si>
    <t>FB80X6X4634</t>
  </si>
  <si>
    <t>BAR, FLAT, 80.000 X 6.000 X 4585.000 LG</t>
  </si>
  <si>
    <t>FB80X6X4585</t>
  </si>
  <si>
    <t>BAR, FLAT, 5 X 38 X 67 LG</t>
  </si>
  <si>
    <t>AY30006.002</t>
  </si>
  <si>
    <t>PLATE, LEFT SIDE WALL, JUNK BOX, PC4100</t>
  </si>
  <si>
    <t>DT34392</t>
  </si>
  <si>
    <t>PLATE, BACK LIP, JUNK BOX, PC4100</t>
  </si>
  <si>
    <t>DT34391</t>
  </si>
  <si>
    <t>PLATE, RIGHT SIDE WALL, JUNK BOX, PC4100</t>
  </si>
  <si>
    <t>DT34388</t>
  </si>
  <si>
    <t>DT34387</t>
  </si>
  <si>
    <t>FLANGE, SCULLY, 3/4" NPT</t>
  </si>
  <si>
    <t>CARBON STEEL</t>
  </si>
  <si>
    <t>M11504</t>
  </si>
  <si>
    <t>PLATE, CROSS CHANNEL GUSSET, PC4100</t>
  </si>
  <si>
    <t>DT34314</t>
  </si>
  <si>
    <t>Main Assy.</t>
  </si>
  <si>
    <t>Sub Assy.</t>
  </si>
  <si>
    <t>REAR ODS BEAM WEB</t>
  </si>
  <si>
    <t>DT34393</t>
  </si>
  <si>
    <t>PLATE, OUTER ODS BEAM TOP FLANGE, R2D, PC4100</t>
  </si>
  <si>
    <t>DT34394</t>
  </si>
  <si>
    <t>PLATE, OUTER BEAM BACK ANGLE CAP, PC4100</t>
  </si>
  <si>
    <t>DT34395</t>
  </si>
  <si>
    <t>PLATE, OUTER FRONT BEAM NOSE CAP, PC4100</t>
  </si>
  <si>
    <t>DT34315</t>
  </si>
  <si>
    <t>PLATE, REAR OUTER BEAM ANGLE CAP, PC4100</t>
  </si>
  <si>
    <t>ASTM A572 Gr. 50 / S355JR</t>
  </si>
  <si>
    <t>DT34396</t>
  </si>
  <si>
    <t>PLATE, ANGLE CAP, PC4100</t>
  </si>
  <si>
    <t>DT34397</t>
  </si>
  <si>
    <t>CATWALK CONNECTION PLATE, PC4100</t>
  </si>
  <si>
    <t>DT34327</t>
  </si>
  <si>
    <t>PLATE, CARRIER CONNECTION PLATE GUSSET, PC4100</t>
  </si>
  <si>
    <t>DT34328</t>
  </si>
  <si>
    <t>PIPE, 33 OD x 21 ID X 51 L</t>
  </si>
  <si>
    <t>ASTM A106 GR.B</t>
  </si>
  <si>
    <t>DT34378</t>
  </si>
  <si>
    <t>REAR CATWALK CONNECTION BLOCK, PC4100</t>
  </si>
  <si>
    <t>DT34398</t>
  </si>
  <si>
    <t>BAR, FLAT, 200 X 20 X 4777 LG</t>
  </si>
  <si>
    <t>BAR, FLAT, 75 x 12 x 381 LG</t>
  </si>
  <si>
    <t>1.1.1</t>
  </si>
  <si>
    <t>1.1.2</t>
  </si>
  <si>
    <t>1.1.3</t>
  </si>
  <si>
    <t>1.1.4</t>
  </si>
  <si>
    <t>1.1.5</t>
  </si>
  <si>
    <t>1.1.6</t>
  </si>
  <si>
    <t>1.1.7</t>
  </si>
  <si>
    <t>1.1.8</t>
  </si>
  <si>
    <t>1.1.9</t>
  </si>
  <si>
    <t>1.1.10</t>
  </si>
  <si>
    <t>1.1.11</t>
  </si>
  <si>
    <t>1.1.12</t>
  </si>
  <si>
    <t>Dia 33 x 6 thk</t>
  </si>
  <si>
    <t>REAR DS BEAM WEB, R2D, PC4100</t>
  </si>
  <si>
    <t>DT34400</t>
  </si>
  <si>
    <t>PLATE, OUTER BEAM D5 TOP FLANGE, R2D, PC4100</t>
  </si>
  <si>
    <t>DT34401</t>
  </si>
  <si>
    <t>PIPE, 1/2" SCH 40 x 1035 LG</t>
  </si>
  <si>
    <t>UNISTRUT, 41.3 x 22.2 x 457 LG</t>
  </si>
  <si>
    <t>G40.21-44W / A572 G50</t>
  </si>
  <si>
    <t>PLATE, SAFETY BAR HOLDER, PC4100</t>
  </si>
  <si>
    <t>DT34399</t>
  </si>
  <si>
    <t>1.2.1</t>
  </si>
  <si>
    <t>1.5.1</t>
  </si>
  <si>
    <t>1.2.2</t>
  </si>
  <si>
    <t>1.2.3</t>
  </si>
  <si>
    <t>1.2.4</t>
  </si>
  <si>
    <t>1.2.5</t>
  </si>
  <si>
    <t>1.2.6</t>
  </si>
  <si>
    <t>1.2.7</t>
  </si>
  <si>
    <t>1.2.8</t>
  </si>
  <si>
    <t>1.2.9</t>
  </si>
  <si>
    <t>1.2.10</t>
  </si>
  <si>
    <t>1.2.11</t>
  </si>
  <si>
    <t>1.2.12</t>
  </si>
  <si>
    <t>1.2.13</t>
  </si>
  <si>
    <t>Pipe</t>
  </si>
  <si>
    <t xml:space="preserve">Dia </t>
  </si>
  <si>
    <t>BOP 
Unistruct</t>
  </si>
  <si>
    <t>1.5.2</t>
  </si>
  <si>
    <t>PIPE, 4SCH80 X 254 LG</t>
  </si>
  <si>
    <t>PLATE, 86 X 86X 6</t>
  </si>
  <si>
    <t>Channel</t>
  </si>
  <si>
    <t>Dia 102x8thk</t>
  </si>
  <si>
    <t>Beam</t>
  </si>
  <si>
    <t>W-BEAM 600 X 220</t>
  </si>
  <si>
    <t>W-BEAM 600 X 220 X 4572 LG</t>
  </si>
  <si>
    <t>UPN80 X 45</t>
  </si>
  <si>
    <t>UPN 200x75</t>
  </si>
  <si>
    <t>R6</t>
  </si>
  <si>
    <t>CHANNEL, UPN80.000X 4672.000 LG</t>
  </si>
  <si>
    <t xml:space="preserve">Die Bending </t>
  </si>
  <si>
    <t>BOP</t>
  </si>
  <si>
    <t>BOM R2D Catwalk AY30011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</si>
</sst>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0.000"/>
    <numFmt numFmtId="165" formatCode="0.0"/>
    <numFmt numFmtId="166" formatCode="_ * #,##0_ ;_ * \-#,##0_ ;_ * &quot;-&quot;??_ ;_ @_ "/>
    <numFmt numFmtId="167" formatCode="0.0%"/>
  </numFmts>
  <fonts count="3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i/>
      <sz val="10"/>
      <color theme="8" tint="-0.249977111117893"/>
      <name val="Arial"/>
      <family val="2"/>
    </font>
    <font>
      <b/>
      <sz val="10"/>
      <color rgb="FF0000FF"/>
      <name val="Arial"/>
      <family val="2"/>
    </font>
    <font>
      <b/>
      <i/>
      <sz val="10"/>
      <color rgb="FF3333FF"/>
      <name val="Arial"/>
      <family val="2"/>
    </font>
    <font>
      <b/>
      <sz val="10"/>
      <color rgb="FFFF0000"/>
      <name val="Arial"/>
      <family val="2"/>
    </font>
    <font>
      <b/>
      <i/>
      <sz val="8"/>
      <name val="Arial"/>
      <family val="2"/>
    </font>
    <font>
      <b/>
      <sz val="10"/>
      <color rgb="FF3333FF"/>
      <name val="Arial"/>
      <family val="2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Calibri"/>
      <family val="2"/>
    </font>
    <font>
      <b/>
      <sz val="12"/>
      <color theme="1"/>
      <name val="Calibri"/>
      <family val="2"/>
    </font>
    <font>
      <b/>
      <sz val="12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sz val="12"/>
      <color rgb="FFFF0000"/>
      <name val="Calibri"/>
      <family val="2"/>
    </font>
    <font>
      <sz val="10"/>
      <color theme="1"/>
      <name val="Calibri"/>
      <family val="2"/>
    </font>
    <font>
      <b/>
      <sz val="12"/>
      <color theme="0"/>
      <name val="Aptos Narrow"/>
      <family val="2"/>
      <scheme val="minor"/>
    </font>
    <font>
      <sz val="12"/>
      <color theme="1"/>
      <name val="Calibri"/>
    </font>
    <font>
      <sz val="14"/>
      <color theme="1"/>
      <name val="Calibri"/>
      <family val="2"/>
    </font>
    <font>
      <b/>
      <sz val="11"/>
      <name val="Arial"/>
      <family val="2"/>
    </font>
    <font>
      <sz val="10"/>
      <name val="Calibri"/>
      <family val="2"/>
    </font>
  </fonts>
  <fills count="2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34"/>
      </patternFill>
    </fill>
    <fill>
      <patternFill patternType="solid">
        <fgColor indexed="51"/>
        <bgColor indexed="13"/>
      </patternFill>
    </fill>
    <fill>
      <patternFill patternType="solid">
        <fgColor theme="4" tint="0.79998168889431442"/>
        <bgColor indexed="26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9"/>
        <bgColor indexed="8"/>
      </patternFill>
    </fill>
    <fill>
      <patternFill patternType="solid">
        <fgColor indexed="44"/>
        <bgColor indexed="31"/>
      </patternFill>
    </fill>
    <fill>
      <patternFill patternType="solid">
        <fgColor rgb="FFFFFF00"/>
        <bgColor indexed="2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4F4F8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indexed="3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</fills>
  <borders count="7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8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495">
    <xf numFmtId="0" fontId="0" fillId="0" borderId="0" xfId="0"/>
    <xf numFmtId="0" fontId="2" fillId="3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left"/>
    </xf>
    <xf numFmtId="0" fontId="0" fillId="0" borderId="14" xfId="0" applyBorder="1"/>
    <xf numFmtId="9" fontId="0" fillId="0" borderId="14" xfId="0" applyNumberFormat="1" applyBorder="1"/>
    <xf numFmtId="2" fontId="0" fillId="0" borderId="14" xfId="0" applyNumberFormat="1" applyBorder="1" applyAlignment="1">
      <alignment horizontal="center" vertical="center"/>
    </xf>
    <xf numFmtId="0" fontId="3" fillId="0" borderId="14" xfId="0" applyFont="1" applyBorder="1"/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3" xfId="0" applyBorder="1" applyAlignment="1">
      <alignment horizontal="center" vertical="center"/>
    </xf>
    <xf numFmtId="2" fontId="0" fillId="0" borderId="0" xfId="0" applyNumberFormat="1"/>
    <xf numFmtId="0" fontId="7" fillId="0" borderId="0" xfId="3" applyFont="1" applyAlignment="1">
      <alignment horizontal="left" vertical="center" wrapText="1"/>
    </xf>
    <xf numFmtId="0" fontId="5" fillId="0" borderId="0" xfId="3"/>
    <xf numFmtId="0" fontId="5" fillId="0" borderId="0" xfId="3" applyAlignment="1">
      <alignment horizontal="left" vertical="center"/>
    </xf>
    <xf numFmtId="0" fontId="7" fillId="0" borderId="23" xfId="3" applyFont="1" applyBorder="1" applyAlignment="1">
      <alignment horizontal="left" vertical="center" wrapText="1"/>
    </xf>
    <xf numFmtId="0" fontId="7" fillId="0" borderId="14" xfId="3" applyFont="1" applyBorder="1" applyAlignment="1">
      <alignment vertical="center" wrapText="1"/>
    </xf>
    <xf numFmtId="0" fontId="5" fillId="0" borderId="0" xfId="3" applyAlignment="1">
      <alignment horizontal="left"/>
    </xf>
    <xf numFmtId="0" fontId="7" fillId="0" borderId="27" xfId="1" applyNumberFormat="1" applyFont="1" applyBorder="1" applyAlignment="1">
      <alignment horizontal="center" vertical="center" wrapText="1"/>
    </xf>
    <xf numFmtId="0" fontId="7" fillId="0" borderId="14" xfId="3" applyFont="1" applyBorder="1" applyAlignment="1">
      <alignment horizontal="left" vertical="center" wrapText="1"/>
    </xf>
    <xf numFmtId="166" fontId="7" fillId="0" borderId="27" xfId="1" applyNumberFormat="1" applyFont="1" applyBorder="1" applyAlignment="1">
      <alignment horizontal="center" vertical="center" wrapText="1"/>
    </xf>
    <xf numFmtId="1" fontId="8" fillId="0" borderId="0" xfId="3" applyNumberFormat="1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1" fontId="7" fillId="9" borderId="2" xfId="3" applyNumberFormat="1" applyFont="1" applyFill="1" applyBorder="1" applyAlignment="1">
      <alignment horizontal="left" vertical="center" wrapText="1"/>
    </xf>
    <xf numFmtId="1" fontId="7" fillId="10" borderId="31" xfId="3" applyNumberFormat="1" applyFont="1" applyFill="1" applyBorder="1" applyAlignment="1">
      <alignment horizontal="center" vertical="center" wrapText="1"/>
    </xf>
    <xf numFmtId="1" fontId="7" fillId="10" borderId="4" xfId="3" applyNumberFormat="1" applyFont="1" applyFill="1" applyBorder="1" applyAlignment="1">
      <alignment horizontal="center" vertical="center" wrapText="1"/>
    </xf>
    <xf numFmtId="1" fontId="7" fillId="11" borderId="32" xfId="3" applyNumberFormat="1" applyFont="1" applyFill="1" applyBorder="1" applyAlignment="1">
      <alignment horizontal="left" vertical="center" wrapText="1"/>
    </xf>
    <xf numFmtId="2" fontId="5" fillId="0" borderId="20" xfId="3" applyNumberFormat="1" applyBorder="1" applyAlignment="1">
      <alignment horizontal="center" vertical="center"/>
    </xf>
    <xf numFmtId="2" fontId="5" fillId="0" borderId="21" xfId="3" applyNumberFormat="1" applyBorder="1" applyAlignment="1">
      <alignment horizontal="center" vertical="center"/>
    </xf>
    <xf numFmtId="2" fontId="5" fillId="0" borderId="22" xfId="3" applyNumberFormat="1" applyBorder="1" applyAlignment="1">
      <alignment horizontal="center" vertical="center"/>
    </xf>
    <xf numFmtId="1" fontId="5" fillId="0" borderId="33" xfId="3" applyNumberFormat="1" applyBorder="1" applyAlignment="1">
      <alignment horizontal="left" vertical="center" wrapText="1"/>
    </xf>
    <xf numFmtId="2" fontId="5" fillId="0" borderId="14" xfId="3" applyNumberFormat="1" applyBorder="1" applyAlignment="1">
      <alignment horizontal="center" vertical="center"/>
    </xf>
    <xf numFmtId="1" fontId="7" fillId="11" borderId="33" xfId="3" applyNumberFormat="1" applyFont="1" applyFill="1" applyBorder="1" applyAlignment="1">
      <alignment horizontal="left" vertical="center" wrapText="1"/>
    </xf>
    <xf numFmtId="2" fontId="5" fillId="11" borderId="14" xfId="3" applyNumberFormat="1" applyFill="1" applyBorder="1" applyAlignment="1">
      <alignment horizontal="center" vertical="center" wrapText="1"/>
    </xf>
    <xf numFmtId="10" fontId="8" fillId="0" borderId="0" xfId="2" applyNumberFormat="1" applyFont="1" applyAlignment="1">
      <alignment horizontal="left" vertical="center"/>
    </xf>
    <xf numFmtId="0" fontId="3" fillId="0" borderId="0" xfId="0" applyFont="1" applyAlignment="1">
      <alignment vertical="center"/>
    </xf>
    <xf numFmtId="1" fontId="7" fillId="0" borderId="33" xfId="3" applyNumberFormat="1" applyFont="1" applyBorder="1" applyAlignment="1">
      <alignment horizontal="left" vertical="center" wrapText="1"/>
    </xf>
    <xf numFmtId="165" fontId="7" fillId="0" borderId="23" xfId="3" applyNumberFormat="1" applyFont="1" applyBorder="1" applyAlignment="1">
      <alignment horizontal="center" vertical="center" wrapText="1"/>
    </xf>
    <xf numFmtId="165" fontId="7" fillId="0" borderId="14" xfId="3" applyNumberFormat="1" applyFont="1" applyBorder="1" applyAlignment="1">
      <alignment horizontal="center" vertical="center" wrapText="1"/>
    </xf>
    <xf numFmtId="1" fontId="5" fillId="0" borderId="0" xfId="3" applyNumberFormat="1"/>
    <xf numFmtId="165" fontId="5" fillId="11" borderId="23" xfId="3" applyNumberFormat="1" applyFill="1" applyBorder="1" applyAlignment="1">
      <alignment horizontal="center" vertical="center" wrapText="1"/>
    </xf>
    <xf numFmtId="165" fontId="5" fillId="11" borderId="14" xfId="3" applyNumberFormat="1" applyFill="1" applyBorder="1" applyAlignment="1">
      <alignment horizontal="center" vertical="center" wrapText="1"/>
    </xf>
    <xf numFmtId="1" fontId="7" fillId="11" borderId="35" xfId="3" applyNumberFormat="1" applyFont="1" applyFill="1" applyBorder="1" applyAlignment="1">
      <alignment horizontal="left" vertical="center" wrapText="1"/>
    </xf>
    <xf numFmtId="2" fontId="5" fillId="12" borderId="36" xfId="3" applyNumberFormat="1" applyFill="1" applyBorder="1" applyAlignment="1">
      <alignment horizontal="center" vertical="center" wrapText="1"/>
    </xf>
    <xf numFmtId="2" fontId="5" fillId="12" borderId="37" xfId="3" applyNumberFormat="1" applyFill="1" applyBorder="1" applyAlignment="1">
      <alignment horizontal="center" vertical="center" wrapText="1"/>
    </xf>
    <xf numFmtId="1" fontId="8" fillId="0" borderId="0" xfId="1" applyNumberFormat="1" applyFont="1" applyAlignment="1">
      <alignment horizontal="left" vertical="center" wrapText="1"/>
    </xf>
    <xf numFmtId="1" fontId="7" fillId="11" borderId="15" xfId="3" applyNumberFormat="1" applyFont="1" applyFill="1" applyBorder="1" applyAlignment="1">
      <alignment horizontal="left" vertical="center" wrapText="1"/>
    </xf>
    <xf numFmtId="2" fontId="9" fillId="0" borderId="0" xfId="3" applyNumberFormat="1" applyFont="1" applyAlignment="1">
      <alignment horizontal="left"/>
    </xf>
    <xf numFmtId="1" fontId="7" fillId="11" borderId="23" xfId="3" applyNumberFormat="1" applyFont="1" applyFill="1" applyBorder="1" applyAlignment="1">
      <alignment horizontal="left" vertical="center" wrapText="1"/>
    </xf>
    <xf numFmtId="1" fontId="10" fillId="11" borderId="14" xfId="3" applyNumberFormat="1" applyFont="1" applyFill="1" applyBorder="1" applyAlignment="1">
      <alignment horizontal="center" vertical="center" wrapText="1"/>
    </xf>
    <xf numFmtId="1" fontId="10" fillId="0" borderId="14" xfId="3" applyNumberFormat="1" applyFont="1" applyBorder="1" applyAlignment="1">
      <alignment horizontal="center" vertical="center" wrapText="1"/>
    </xf>
    <xf numFmtId="166" fontId="7" fillId="0" borderId="27" xfId="1" applyNumberFormat="1" applyFont="1" applyBorder="1" applyAlignment="1">
      <alignment vertical="center" wrapText="1"/>
    </xf>
    <xf numFmtId="0" fontId="5" fillId="0" borderId="0" xfId="3" applyAlignment="1">
      <alignment horizontal="center" vertical="center"/>
    </xf>
    <xf numFmtId="166" fontId="7" fillId="11" borderId="27" xfId="1" applyNumberFormat="1" applyFont="1" applyFill="1" applyBorder="1" applyAlignment="1">
      <alignment horizontal="left" vertical="center" wrapText="1"/>
    </xf>
    <xf numFmtId="166" fontId="7" fillId="11" borderId="40" xfId="1" applyNumberFormat="1" applyFont="1" applyFill="1" applyBorder="1" applyAlignment="1">
      <alignment horizontal="left" vertical="center" wrapText="1"/>
    </xf>
    <xf numFmtId="1" fontId="7" fillId="11" borderId="45" xfId="3" applyNumberFormat="1" applyFont="1" applyFill="1" applyBorder="1" applyAlignment="1">
      <alignment horizontal="left" vertical="center" wrapText="1"/>
    </xf>
    <xf numFmtId="1" fontId="7" fillId="11" borderId="46" xfId="3" applyNumberFormat="1" applyFont="1" applyFill="1" applyBorder="1" applyAlignment="1">
      <alignment horizontal="left" vertical="center" wrapText="1"/>
    </xf>
    <xf numFmtId="1" fontId="7" fillId="0" borderId="46" xfId="3" applyNumberFormat="1" applyFont="1" applyBorder="1" applyAlignment="1">
      <alignment horizontal="left" vertical="center" wrapText="1"/>
    </xf>
    <xf numFmtId="1" fontId="7" fillId="0" borderId="47" xfId="3" applyNumberFormat="1" applyFont="1" applyBorder="1" applyAlignment="1">
      <alignment horizontal="left" vertical="center" wrapText="1"/>
    </xf>
    <xf numFmtId="166" fontId="7" fillId="11" borderId="48" xfId="1" applyNumberFormat="1" applyFont="1" applyFill="1" applyBorder="1" applyAlignment="1">
      <alignment horizontal="left" vertical="center" wrapText="1"/>
    </xf>
    <xf numFmtId="1" fontId="7" fillId="11" borderId="49" xfId="3" applyNumberFormat="1" applyFont="1" applyFill="1" applyBorder="1" applyAlignment="1">
      <alignment horizontal="left" vertical="center" wrapText="1"/>
    </xf>
    <xf numFmtId="2" fontId="7" fillId="11" borderId="14" xfId="3" applyNumberFormat="1" applyFont="1" applyFill="1" applyBorder="1" applyAlignment="1">
      <alignment horizontal="left" vertical="center" wrapText="1"/>
    </xf>
    <xf numFmtId="2" fontId="7" fillId="0" borderId="14" xfId="3" applyNumberFormat="1" applyFont="1" applyBorder="1" applyAlignment="1">
      <alignment horizontal="left" vertical="center" wrapText="1"/>
    </xf>
    <xf numFmtId="2" fontId="7" fillId="0" borderId="24" xfId="3" applyNumberFormat="1" applyFont="1" applyBorder="1" applyAlignment="1">
      <alignment horizontal="left" vertical="center" wrapText="1"/>
    </xf>
    <xf numFmtId="2" fontId="8" fillId="0" borderId="0" xfId="2" applyNumberFormat="1" applyFont="1" applyAlignment="1">
      <alignment horizontal="left" vertical="center" wrapText="1"/>
    </xf>
    <xf numFmtId="1" fontId="12" fillId="14" borderId="49" xfId="3" applyNumberFormat="1" applyFont="1" applyFill="1" applyBorder="1" applyAlignment="1">
      <alignment horizontal="left" vertical="center" wrapText="1"/>
    </xf>
    <xf numFmtId="2" fontId="12" fillId="14" borderId="14" xfId="3" applyNumberFormat="1" applyFont="1" applyFill="1" applyBorder="1" applyAlignment="1">
      <alignment horizontal="left" vertical="center" wrapText="1"/>
    </xf>
    <xf numFmtId="2" fontId="12" fillId="6" borderId="14" xfId="3" applyNumberFormat="1" applyFont="1" applyFill="1" applyBorder="1" applyAlignment="1">
      <alignment horizontal="left" vertical="center" wrapText="1"/>
    </xf>
    <xf numFmtId="2" fontId="12" fillId="6" borderId="24" xfId="3" applyNumberFormat="1" applyFont="1" applyFill="1" applyBorder="1" applyAlignment="1">
      <alignment horizontal="left" vertical="center" wrapText="1"/>
    </xf>
    <xf numFmtId="166" fontId="12" fillId="14" borderId="27" xfId="1" applyNumberFormat="1" applyFont="1" applyFill="1" applyBorder="1" applyAlignment="1">
      <alignment horizontal="left" vertical="center" wrapText="1"/>
    </xf>
    <xf numFmtId="166" fontId="7" fillId="0" borderId="27" xfId="1" applyNumberFormat="1" applyFont="1" applyFill="1" applyBorder="1" applyAlignment="1">
      <alignment horizontal="left" vertical="center" wrapText="1"/>
    </xf>
    <xf numFmtId="1" fontId="13" fillId="0" borderId="0" xfId="3" applyNumberFormat="1" applyFont="1" applyAlignment="1">
      <alignment horizontal="left" vertical="center" wrapText="1"/>
    </xf>
    <xf numFmtId="1" fontId="7" fillId="11" borderId="50" xfId="3" applyNumberFormat="1" applyFont="1" applyFill="1" applyBorder="1" applyAlignment="1">
      <alignment horizontal="left" vertical="center" wrapText="1"/>
    </xf>
    <xf numFmtId="1" fontId="7" fillId="0" borderId="50" xfId="3" applyNumberFormat="1" applyFont="1" applyBorder="1" applyAlignment="1">
      <alignment horizontal="left" vertical="center" wrapText="1"/>
    </xf>
    <xf numFmtId="1" fontId="7" fillId="0" borderId="51" xfId="3" applyNumberFormat="1" applyFont="1" applyBorder="1" applyAlignment="1">
      <alignment horizontal="left" vertical="center" wrapText="1"/>
    </xf>
    <xf numFmtId="166" fontId="7" fillId="11" borderId="52" xfId="1" applyNumberFormat="1" applyFont="1" applyFill="1" applyBorder="1" applyAlignment="1">
      <alignment horizontal="left" vertical="center" wrapText="1"/>
    </xf>
    <xf numFmtId="9" fontId="8" fillId="0" borderId="0" xfId="2" applyFont="1" applyAlignment="1">
      <alignment horizontal="left" vertical="center" wrapText="1"/>
    </xf>
    <xf numFmtId="43" fontId="5" fillId="0" borderId="0" xfId="3" applyNumberFormat="1"/>
    <xf numFmtId="166" fontId="5" fillId="0" borderId="0" xfId="1" applyNumberFormat="1" applyFont="1"/>
    <xf numFmtId="166" fontId="5" fillId="6" borderId="22" xfId="1" applyNumberFormat="1" applyFont="1" applyFill="1" applyBorder="1" applyAlignment="1">
      <alignment horizontal="center" vertical="center"/>
    </xf>
    <xf numFmtId="166" fontId="5" fillId="0" borderId="27" xfId="1" applyNumberFormat="1" applyFont="1" applyBorder="1"/>
    <xf numFmtId="2" fontId="5" fillId="0" borderId="64" xfId="3" applyNumberFormat="1" applyBorder="1" applyAlignment="1">
      <alignment horizontal="center" vertical="center"/>
    </xf>
    <xf numFmtId="2" fontId="5" fillId="0" borderId="27" xfId="3" applyNumberFormat="1" applyBorder="1" applyAlignment="1">
      <alignment horizontal="center" vertical="center"/>
    </xf>
    <xf numFmtId="2" fontId="5" fillId="11" borderId="27" xfId="3" applyNumberFormat="1" applyFill="1" applyBorder="1" applyAlignment="1">
      <alignment horizontal="center" vertical="center" wrapText="1"/>
    </xf>
    <xf numFmtId="165" fontId="7" fillId="0" borderId="27" xfId="3" applyNumberFormat="1" applyFont="1" applyBorder="1" applyAlignment="1">
      <alignment horizontal="center" vertical="center" wrapText="1"/>
    </xf>
    <xf numFmtId="165" fontId="5" fillId="11" borderId="27" xfId="3" applyNumberFormat="1" applyFill="1" applyBorder="1" applyAlignment="1">
      <alignment horizontal="center" vertical="center" wrapText="1"/>
    </xf>
    <xf numFmtId="2" fontId="5" fillId="12" borderId="40" xfId="3" applyNumberFormat="1" applyFill="1" applyBorder="1" applyAlignment="1">
      <alignment horizontal="center" vertical="center" wrapText="1"/>
    </xf>
    <xf numFmtId="2" fontId="5" fillId="0" borderId="23" xfId="3" applyNumberFormat="1" applyBorder="1" applyAlignment="1">
      <alignment horizontal="center" vertical="center"/>
    </xf>
    <xf numFmtId="2" fontId="5" fillId="11" borderId="23" xfId="3" applyNumberFormat="1" applyFill="1" applyBorder="1" applyAlignment="1">
      <alignment horizontal="center" vertical="center" wrapText="1"/>
    </xf>
    <xf numFmtId="2" fontId="13" fillId="0" borderId="0" xfId="2" applyNumberFormat="1" applyFont="1" applyAlignment="1">
      <alignment horizontal="left" vertical="center" wrapText="1"/>
    </xf>
    <xf numFmtId="0" fontId="7" fillId="6" borderId="14" xfId="0" applyFont="1" applyFill="1" applyBorder="1" applyAlignment="1">
      <alignment horizontal="center" wrapText="1"/>
    </xf>
    <xf numFmtId="0" fontId="0" fillId="0" borderId="25" xfId="0" applyBorder="1" applyAlignment="1">
      <alignment horizontal="center"/>
    </xf>
    <xf numFmtId="165" fontId="0" fillId="0" borderId="14" xfId="0" applyNumberFormat="1" applyBorder="1"/>
    <xf numFmtId="0" fontId="3" fillId="0" borderId="29" xfId="0" applyFont="1" applyBorder="1" applyAlignment="1">
      <alignment horizontal="center" vertical="center" wrapText="1"/>
    </xf>
    <xf numFmtId="0" fontId="0" fillId="0" borderId="21" xfId="0" applyBorder="1" applyAlignment="1">
      <alignment horizontal="center"/>
    </xf>
    <xf numFmtId="165" fontId="5" fillId="0" borderId="21" xfId="0" applyNumberFormat="1" applyFont="1" applyBorder="1" applyAlignment="1">
      <alignment horizontal="center" vertical="center" wrapText="1"/>
    </xf>
    <xf numFmtId="9" fontId="0" fillId="0" borderId="21" xfId="0" applyNumberFormat="1" applyBorder="1" applyAlignment="1">
      <alignment horizontal="center" vertical="center" wrapText="1"/>
    </xf>
    <xf numFmtId="2" fontId="0" fillId="0" borderId="21" xfId="0" applyNumberFormat="1" applyBorder="1" applyAlignment="1">
      <alignment horizontal="center" vertical="center" wrapText="1"/>
    </xf>
    <xf numFmtId="0" fontId="0" fillId="6" borderId="37" xfId="0" applyFill="1" applyBorder="1"/>
    <xf numFmtId="1" fontId="0" fillId="0" borderId="22" xfId="0" applyNumberFormat="1" applyBorder="1"/>
    <xf numFmtId="0" fontId="0" fillId="0" borderId="37" xfId="0" applyBorder="1" applyAlignment="1">
      <alignment horizontal="center"/>
    </xf>
    <xf numFmtId="2" fontId="0" fillId="0" borderId="37" xfId="0" applyNumberFormat="1" applyBorder="1" applyAlignment="1">
      <alignment horizontal="center" vertical="center" wrapText="1"/>
    </xf>
    <xf numFmtId="9" fontId="0" fillId="0" borderId="37" xfId="0" applyNumberFormat="1" applyBorder="1" applyAlignment="1">
      <alignment horizontal="center" vertical="center" wrapText="1"/>
    </xf>
    <xf numFmtId="1" fontId="0" fillId="0" borderId="40" xfId="0" applyNumberFormat="1" applyBorder="1"/>
    <xf numFmtId="2" fontId="0" fillId="0" borderId="14" xfId="0" applyNumberFormat="1" applyBorder="1" applyAlignment="1">
      <alignment horizontal="center" vertical="center" wrapText="1"/>
    </xf>
    <xf numFmtId="9" fontId="0" fillId="0" borderId="14" xfId="0" applyNumberFormat="1" applyBorder="1" applyAlignment="1">
      <alignment horizontal="center" vertical="center" wrapText="1"/>
    </xf>
    <xf numFmtId="0" fontId="0" fillId="6" borderId="14" xfId="0" applyFill="1" applyBorder="1"/>
    <xf numFmtId="1" fontId="0" fillId="0" borderId="14" xfId="0" applyNumberFormat="1" applyBorder="1"/>
    <xf numFmtId="0" fontId="19" fillId="0" borderId="14" xfId="0" applyFont="1" applyBorder="1" applyAlignment="1">
      <alignment horizontal="left"/>
    </xf>
    <xf numFmtId="0" fontId="19" fillId="0" borderId="14" xfId="0" applyFont="1" applyBorder="1" applyAlignment="1">
      <alignment horizontal="center"/>
    </xf>
    <xf numFmtId="0" fontId="19" fillId="0" borderId="14" xfId="0" applyFont="1" applyBorder="1"/>
    <xf numFmtId="2" fontId="19" fillId="0" borderId="14" xfId="0" applyNumberFormat="1" applyFont="1" applyBorder="1"/>
    <xf numFmtId="1" fontId="19" fillId="20" borderId="14" xfId="0" applyNumberFormat="1" applyFont="1" applyFill="1" applyBorder="1"/>
    <xf numFmtId="0" fontId="19" fillId="19" borderId="14" xfId="0" applyFont="1" applyFill="1" applyBorder="1"/>
    <xf numFmtId="1" fontId="19" fillId="19" borderId="14" xfId="0" applyNumberFormat="1" applyFont="1" applyFill="1" applyBorder="1"/>
    <xf numFmtId="0" fontId="16" fillId="0" borderId="14" xfId="0" applyFont="1" applyBorder="1" applyAlignment="1">
      <alignment horizontal="center" vertical="center"/>
    </xf>
    <xf numFmtId="43" fontId="16" fillId="0" borderId="14" xfId="0" applyNumberFormat="1" applyFont="1" applyBorder="1" applyAlignment="1">
      <alignment horizontal="center" vertical="center"/>
    </xf>
    <xf numFmtId="1" fontId="7" fillId="21" borderId="65" xfId="3" applyNumberFormat="1" applyFont="1" applyFill="1" applyBorder="1" applyAlignment="1">
      <alignment horizontal="left" vertical="center" wrapText="1"/>
    </xf>
    <xf numFmtId="1" fontId="7" fillId="11" borderId="14" xfId="3" applyNumberFormat="1" applyFont="1" applyFill="1" applyBorder="1" applyAlignment="1">
      <alignment vertical="center" wrapText="1"/>
    </xf>
    <xf numFmtId="0" fontId="0" fillId="0" borderId="25" xfId="0" applyBorder="1" applyAlignment="1">
      <alignment horizontal="center"/>
    </xf>
    <xf numFmtId="165" fontId="5" fillId="0" borderId="14" xfId="4" applyNumberFormat="1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 wrapText="1"/>
    </xf>
    <xf numFmtId="0" fontId="0" fillId="0" borderId="24" xfId="0" applyBorder="1" applyAlignment="1"/>
    <xf numFmtId="0" fontId="0" fillId="0" borderId="53" xfId="0" applyBorder="1" applyAlignment="1"/>
    <xf numFmtId="0" fontId="0" fillId="0" borderId="25" xfId="0" applyBorder="1" applyAlignment="1"/>
    <xf numFmtId="0" fontId="7" fillId="6" borderId="25" xfId="0" applyFont="1" applyFill="1" applyBorder="1" applyAlignment="1">
      <alignment horizontal="center" wrapText="1"/>
    </xf>
    <xf numFmtId="1" fontId="11" fillId="0" borderId="39" xfId="3" applyNumberFormat="1" applyFont="1" applyBorder="1" applyAlignment="1">
      <alignment horizontal="left" vertical="center" wrapText="1"/>
    </xf>
    <xf numFmtId="166" fontId="7" fillId="0" borderId="26" xfId="1" applyNumberFormat="1" applyFont="1" applyBorder="1" applyAlignment="1">
      <alignment horizontal="center" vertical="center" wrapText="1"/>
    </xf>
    <xf numFmtId="2" fontId="7" fillId="0" borderId="24" xfId="3" applyNumberFormat="1" applyFont="1" applyBorder="1" applyAlignment="1">
      <alignment horizontal="center" vertical="center" wrapText="1"/>
    </xf>
    <xf numFmtId="1" fontId="7" fillId="11" borderId="14" xfId="3" applyNumberFormat="1" applyFont="1" applyFill="1" applyBorder="1" applyAlignment="1">
      <alignment horizontal="left" vertical="center" wrapText="1"/>
    </xf>
    <xf numFmtId="0" fontId="3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21" fillId="2" borderId="5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 wrapText="1"/>
    </xf>
    <xf numFmtId="0" fontId="21" fillId="3" borderId="9" xfId="0" applyFont="1" applyFill="1" applyBorder="1" applyAlignment="1">
      <alignment horizontal="center" vertical="center" wrapText="1"/>
    </xf>
    <xf numFmtId="0" fontId="21" fillId="3" borderId="10" xfId="0" applyFont="1" applyFill="1" applyBorder="1" applyAlignment="1">
      <alignment horizontal="center" vertical="center" wrapText="1"/>
    </xf>
    <xf numFmtId="0" fontId="21" fillId="3" borderId="11" xfId="0" applyFont="1" applyFill="1" applyBorder="1" applyAlignment="1">
      <alignment horizontal="center" vertical="center" wrapText="1"/>
    </xf>
    <xf numFmtId="0" fontId="21" fillId="3" borderId="17" xfId="0" applyFont="1" applyFill="1" applyBorder="1" applyAlignment="1">
      <alignment horizontal="center" vertical="center" wrapText="1"/>
    </xf>
    <xf numFmtId="0" fontId="19" fillId="3" borderId="8" xfId="0" applyFont="1" applyFill="1" applyBorder="1" applyAlignment="1">
      <alignment horizontal="center" vertical="center" wrapText="1"/>
    </xf>
    <xf numFmtId="0" fontId="21" fillId="3" borderId="12" xfId="0" applyFont="1" applyFill="1" applyBorder="1" applyAlignment="1">
      <alignment horizontal="center" vertical="center" wrapText="1"/>
    </xf>
    <xf numFmtId="0" fontId="22" fillId="5" borderId="14" xfId="0" applyFont="1" applyFill="1" applyBorder="1" applyAlignment="1">
      <alignment horizontal="center" vertical="center"/>
    </xf>
    <xf numFmtId="0" fontId="22" fillId="5" borderId="14" xfId="0" applyFont="1" applyFill="1" applyBorder="1" applyAlignment="1">
      <alignment horizontal="left" vertical="center" wrapText="1"/>
    </xf>
    <xf numFmtId="0" fontId="22" fillId="5" borderId="13" xfId="0" applyFont="1" applyFill="1" applyBorder="1" applyAlignment="1">
      <alignment horizontal="center" vertical="center"/>
    </xf>
    <xf numFmtId="2" fontId="22" fillId="5" borderId="14" xfId="0" applyNumberFormat="1" applyFont="1" applyFill="1" applyBorder="1" applyAlignment="1">
      <alignment horizontal="center" vertical="center"/>
    </xf>
    <xf numFmtId="0" fontId="21" fillId="5" borderId="14" xfId="0" applyFont="1" applyFill="1" applyBorder="1" applyAlignment="1">
      <alignment horizontal="center" vertical="center"/>
    </xf>
    <xf numFmtId="9" fontId="22" fillId="5" borderId="14" xfId="2" applyFont="1" applyFill="1" applyBorder="1" applyAlignment="1">
      <alignment horizontal="center" vertical="center"/>
    </xf>
    <xf numFmtId="0" fontId="22" fillId="5" borderId="14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4" fillId="0" borderId="14" xfId="0" applyFont="1" applyFill="1" applyBorder="1" applyAlignment="1">
      <alignment horizontal="center" vertical="center"/>
    </xf>
    <xf numFmtId="0" fontId="24" fillId="0" borderId="14" xfId="0" applyFont="1" applyFill="1" applyBorder="1" applyAlignment="1">
      <alignment horizontal="left" vertical="center" wrapText="1"/>
    </xf>
    <xf numFmtId="0" fontId="24" fillId="0" borderId="13" xfId="0" applyFont="1" applyFill="1" applyBorder="1" applyAlignment="1">
      <alignment horizontal="center" vertical="center"/>
    </xf>
    <xf numFmtId="2" fontId="24" fillId="0" borderId="14" xfId="0" applyNumberFormat="1" applyFont="1" applyFill="1" applyBorder="1" applyAlignment="1">
      <alignment horizontal="center" vertical="center"/>
    </xf>
    <xf numFmtId="2" fontId="24" fillId="0" borderId="13" xfId="0" applyNumberFormat="1" applyFont="1" applyFill="1" applyBorder="1" applyAlignment="1">
      <alignment horizontal="center" vertical="center" wrapText="1"/>
    </xf>
    <xf numFmtId="2" fontId="23" fillId="0" borderId="14" xfId="0" applyNumberFormat="1" applyFont="1" applyFill="1" applyBorder="1" applyAlignment="1">
      <alignment horizontal="center" vertical="center"/>
    </xf>
    <xf numFmtId="0" fontId="24" fillId="0" borderId="14" xfId="0" applyFont="1" applyFill="1" applyBorder="1" applyAlignment="1">
      <alignment horizontal="center" vertical="center" wrapText="1"/>
    </xf>
    <xf numFmtId="0" fontId="24" fillId="0" borderId="0" xfId="0" applyFont="1" applyFill="1" applyAlignment="1">
      <alignment horizontal="center" vertical="center"/>
    </xf>
    <xf numFmtId="2" fontId="24" fillId="0" borderId="14" xfId="0" applyNumberFormat="1" applyFont="1" applyFill="1" applyBorder="1" applyAlignment="1">
      <alignment horizontal="center" vertical="center" wrapText="1"/>
    </xf>
    <xf numFmtId="2" fontId="24" fillId="0" borderId="0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2" fontId="22" fillId="4" borderId="13" xfId="0" applyNumberFormat="1" applyFont="1" applyFill="1" applyBorder="1" applyAlignment="1">
      <alignment horizontal="center" vertical="center" wrapText="1"/>
    </xf>
    <xf numFmtId="0" fontId="24" fillId="5" borderId="14" xfId="0" applyFont="1" applyFill="1" applyBorder="1" applyAlignment="1">
      <alignment horizontal="center" vertical="center"/>
    </xf>
    <xf numFmtId="0" fontId="25" fillId="0" borderId="14" xfId="0" applyFont="1" applyFill="1" applyBorder="1" applyAlignment="1">
      <alignment horizontal="center" vertical="center"/>
    </xf>
    <xf numFmtId="1" fontId="24" fillId="0" borderId="14" xfId="0" applyNumberFormat="1" applyFont="1" applyFill="1" applyBorder="1" applyAlignment="1">
      <alignment horizontal="center" vertical="center"/>
    </xf>
    <xf numFmtId="0" fontId="5" fillId="0" borderId="53" xfId="3" applyBorder="1" applyAlignment="1">
      <alignment horizontal="left" vertical="center"/>
    </xf>
    <xf numFmtId="0" fontId="2" fillId="5" borderId="14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164" fontId="21" fillId="2" borderId="8" xfId="0" applyNumberFormat="1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9" fontId="21" fillId="2" borderId="8" xfId="0" applyNumberFormat="1" applyFont="1" applyFill="1" applyBorder="1" applyAlignment="1">
      <alignment horizontal="center" vertical="center"/>
    </xf>
    <xf numFmtId="9" fontId="19" fillId="2" borderId="8" xfId="0" applyNumberFormat="1" applyFont="1" applyFill="1" applyBorder="1" applyAlignment="1">
      <alignment horizontal="center" vertical="center"/>
    </xf>
    <xf numFmtId="2" fontId="19" fillId="2" borderId="8" xfId="0" applyNumberFormat="1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9" fontId="21" fillId="2" borderId="12" xfId="0" applyNumberFormat="1" applyFont="1" applyFill="1" applyBorder="1" applyAlignment="1">
      <alignment horizontal="center" vertical="center"/>
    </xf>
    <xf numFmtId="2" fontId="24" fillId="0" borderId="0" xfId="0" applyNumberFormat="1" applyFont="1" applyFill="1" applyAlignment="1">
      <alignment horizontal="center" vertical="center"/>
    </xf>
    <xf numFmtId="0" fontId="0" fillId="0" borderId="13" xfId="0" applyBorder="1"/>
    <xf numFmtId="0" fontId="20" fillId="0" borderId="14" xfId="0" applyFont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0" fontId="21" fillId="2" borderId="15" xfId="0" applyFont="1" applyFill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 wrapText="1"/>
    </xf>
    <xf numFmtId="2" fontId="23" fillId="0" borderId="14" xfId="0" applyNumberFormat="1" applyFont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3" fillId="0" borderId="14" xfId="0" pivotButton="1" applyFont="1" applyBorder="1" applyAlignment="1">
      <alignment vertical="center"/>
    </xf>
    <xf numFmtId="0" fontId="23" fillId="0" borderId="14" xfId="0" applyFont="1" applyBorder="1" applyAlignment="1">
      <alignment vertical="center"/>
    </xf>
    <xf numFmtId="0" fontId="21" fillId="22" borderId="8" xfId="0" applyFont="1" applyFill="1" applyBorder="1" applyAlignment="1">
      <alignment vertical="center"/>
    </xf>
    <xf numFmtId="0" fontId="21" fillId="0" borderId="19" xfId="0" applyFont="1" applyBorder="1" applyAlignment="1">
      <alignment vertical="center"/>
    </xf>
    <xf numFmtId="0" fontId="23" fillId="0" borderId="0" xfId="0" applyFont="1" applyBorder="1" applyAlignment="1">
      <alignment vertical="center" wrapText="1"/>
    </xf>
    <xf numFmtId="0" fontId="23" fillId="0" borderId="14" xfId="0" applyFont="1" applyBorder="1" applyAlignment="1">
      <alignment vertical="center" wrapText="1"/>
    </xf>
    <xf numFmtId="0" fontId="23" fillId="0" borderId="14" xfId="0" pivotButton="1" applyFont="1" applyBorder="1" applyAlignment="1">
      <alignment vertical="center" wrapText="1"/>
    </xf>
    <xf numFmtId="0" fontId="23" fillId="0" borderId="0" xfId="0" applyFont="1" applyAlignment="1">
      <alignment vertical="center" wrapText="1"/>
    </xf>
    <xf numFmtId="2" fontId="23" fillId="0" borderId="0" xfId="0" applyNumberFormat="1" applyFont="1" applyBorder="1" applyAlignment="1">
      <alignment vertical="center"/>
    </xf>
    <xf numFmtId="0" fontId="23" fillId="0" borderId="14" xfId="0" applyFont="1" applyBorder="1" applyAlignment="1">
      <alignment horizontal="left" vertical="center"/>
    </xf>
    <xf numFmtId="2" fontId="23" fillId="0" borderId="14" xfId="0" applyNumberFormat="1" applyFont="1" applyBorder="1" applyAlignment="1">
      <alignment vertical="center"/>
    </xf>
    <xf numFmtId="164" fontId="23" fillId="0" borderId="0" xfId="0" applyNumberFormat="1" applyFont="1" applyBorder="1" applyAlignment="1">
      <alignment vertical="center"/>
    </xf>
    <xf numFmtId="164" fontId="23" fillId="0" borderId="14" xfId="0" applyNumberFormat="1" applyFont="1" applyBorder="1" applyAlignment="1">
      <alignment vertical="center"/>
    </xf>
    <xf numFmtId="0" fontId="23" fillId="0" borderId="14" xfId="0" applyFont="1" applyBorder="1" applyAlignment="1">
      <alignment horizontal="left" vertical="center" wrapText="1"/>
    </xf>
    <xf numFmtId="2" fontId="23" fillId="0" borderId="14" xfId="0" applyNumberFormat="1" applyFont="1" applyBorder="1" applyAlignment="1">
      <alignment vertical="center" wrapText="1"/>
    </xf>
    <xf numFmtId="2" fontId="5" fillId="0" borderId="25" xfId="3" applyNumberFormat="1" applyBorder="1" applyAlignment="1">
      <alignment horizontal="center" vertical="center"/>
    </xf>
    <xf numFmtId="2" fontId="5" fillId="11" borderId="25" xfId="3" applyNumberFormat="1" applyFill="1" applyBorder="1" applyAlignment="1">
      <alignment horizontal="center" vertical="center" wrapText="1"/>
    </xf>
    <xf numFmtId="165" fontId="7" fillId="0" borderId="25" xfId="3" applyNumberFormat="1" applyFont="1" applyBorder="1" applyAlignment="1">
      <alignment horizontal="center" vertical="center" wrapText="1"/>
    </xf>
    <xf numFmtId="165" fontId="5" fillId="11" borderId="25" xfId="3" applyNumberFormat="1" applyFill="1" applyBorder="1" applyAlignment="1">
      <alignment horizontal="center" vertical="center" wrapText="1"/>
    </xf>
    <xf numFmtId="2" fontId="5" fillId="12" borderId="70" xfId="3" applyNumberFormat="1" applyFill="1" applyBorder="1" applyAlignment="1">
      <alignment horizontal="center" vertical="center" wrapText="1"/>
    </xf>
    <xf numFmtId="0" fontId="7" fillId="0" borderId="24" xfId="3" applyFont="1" applyBorder="1" applyAlignment="1">
      <alignment horizontal="left" vertical="center" wrapText="1"/>
    </xf>
    <xf numFmtId="2" fontId="5" fillId="0" borderId="58" xfId="3" applyNumberFormat="1" applyBorder="1" applyAlignment="1">
      <alignment horizontal="center" vertical="center"/>
    </xf>
    <xf numFmtId="2" fontId="5" fillId="0" borderId="24" xfId="3" applyNumberFormat="1" applyBorder="1" applyAlignment="1">
      <alignment horizontal="center" vertical="center"/>
    </xf>
    <xf numFmtId="2" fontId="5" fillId="11" borderId="24" xfId="3" applyNumberFormat="1" applyFill="1" applyBorder="1" applyAlignment="1">
      <alignment horizontal="center" vertical="center" wrapText="1"/>
    </xf>
    <xf numFmtId="165" fontId="7" fillId="0" borderId="24" xfId="3" applyNumberFormat="1" applyFont="1" applyBorder="1" applyAlignment="1">
      <alignment horizontal="center" vertical="center" wrapText="1"/>
    </xf>
    <xf numFmtId="165" fontId="5" fillId="11" borderId="24" xfId="3" applyNumberFormat="1" applyFill="1" applyBorder="1" applyAlignment="1">
      <alignment horizontal="center" vertical="center" wrapText="1"/>
    </xf>
    <xf numFmtId="2" fontId="5" fillId="12" borderId="72" xfId="3" applyNumberFormat="1" applyFill="1" applyBorder="1" applyAlignment="1">
      <alignment horizontal="center" vertical="center" wrapText="1"/>
    </xf>
    <xf numFmtId="1" fontId="10" fillId="0" borderId="24" xfId="3" applyNumberFormat="1" applyFont="1" applyBorder="1" applyAlignment="1">
      <alignment horizontal="center" vertical="center" wrapText="1"/>
    </xf>
    <xf numFmtId="1" fontId="7" fillId="11" borderId="24" xfId="3" applyNumberFormat="1" applyFont="1" applyFill="1" applyBorder="1" applyAlignment="1">
      <alignment horizontal="left" vertical="center" wrapText="1"/>
    </xf>
    <xf numFmtId="1" fontId="7" fillId="11" borderId="72" xfId="3" applyNumberFormat="1" applyFont="1" applyFill="1" applyBorder="1" applyAlignment="1">
      <alignment horizontal="left" vertical="center" wrapText="1"/>
    </xf>
    <xf numFmtId="0" fontId="5" fillId="0" borderId="58" xfId="3" applyBorder="1" applyAlignment="1">
      <alignment horizontal="left" vertical="center"/>
    </xf>
    <xf numFmtId="166" fontId="7" fillId="21" borderId="48" xfId="1" applyNumberFormat="1" applyFont="1" applyFill="1" applyBorder="1" applyAlignment="1">
      <alignment horizontal="left" vertical="center" wrapText="1"/>
    </xf>
    <xf numFmtId="166" fontId="7" fillId="11" borderId="14" xfId="1" applyNumberFormat="1" applyFont="1" applyFill="1" applyBorder="1" applyAlignment="1">
      <alignment horizontal="left" vertical="center" wrapText="1"/>
    </xf>
    <xf numFmtId="9" fontId="7" fillId="11" borderId="14" xfId="2" applyFont="1" applyFill="1" applyBorder="1" applyAlignment="1">
      <alignment horizontal="left" vertical="center" wrapText="1"/>
    </xf>
    <xf numFmtId="0" fontId="16" fillId="0" borderId="0" xfId="5" applyFont="1"/>
    <xf numFmtId="0" fontId="27" fillId="23" borderId="20" xfId="5" applyFont="1" applyFill="1" applyBorder="1" applyAlignment="1">
      <alignment horizontal="center" vertical="center" wrapText="1"/>
    </xf>
    <xf numFmtId="0" fontId="27" fillId="23" borderId="22" xfId="5" applyFont="1" applyFill="1" applyBorder="1" applyAlignment="1">
      <alignment horizontal="center" vertical="center" wrapText="1"/>
    </xf>
    <xf numFmtId="0" fontId="27" fillId="23" borderId="23" xfId="5" applyFont="1" applyFill="1" applyBorder="1" applyAlignment="1">
      <alignment horizontal="center" vertical="center" wrapText="1"/>
    </xf>
    <xf numFmtId="0" fontId="27" fillId="23" borderId="27" xfId="5" applyFont="1" applyFill="1" applyBorder="1" applyAlignment="1">
      <alignment horizontal="center" vertical="center" wrapText="1"/>
    </xf>
    <xf numFmtId="0" fontId="17" fillId="17" borderId="34" xfId="5" applyFont="1" applyFill="1" applyBorder="1" applyAlignment="1">
      <alignment horizontal="center" vertical="center"/>
    </xf>
    <xf numFmtId="0" fontId="17" fillId="17" borderId="13" xfId="5" applyFont="1" applyFill="1" applyBorder="1" applyAlignment="1">
      <alignment horizontal="left" vertical="center" wrapText="1"/>
    </xf>
    <xf numFmtId="0" fontId="16" fillId="17" borderId="54" xfId="5" applyFont="1" applyFill="1" applyBorder="1" applyAlignment="1">
      <alignment horizontal="center" vertical="center"/>
    </xf>
    <xf numFmtId="2" fontId="17" fillId="17" borderId="38" xfId="5" applyNumberFormat="1" applyFont="1" applyFill="1" applyBorder="1" applyAlignment="1">
      <alignment horizontal="center" vertical="center"/>
    </xf>
    <xf numFmtId="0" fontId="18" fillId="0" borderId="23" xfId="5" applyFont="1" applyBorder="1" applyAlignment="1">
      <alignment horizontal="center" vertical="center"/>
    </xf>
    <xf numFmtId="0" fontId="18" fillId="0" borderId="14" xfId="5" applyFont="1" applyBorder="1" applyAlignment="1">
      <alignment vertical="center" wrapText="1"/>
    </xf>
    <xf numFmtId="0" fontId="18" fillId="0" borderId="24" xfId="5" applyFont="1" applyBorder="1" applyAlignment="1">
      <alignment horizontal="center" vertical="center" wrapText="1"/>
    </xf>
    <xf numFmtId="43" fontId="18" fillId="0" borderId="23" xfId="5" applyNumberFormat="1" applyFont="1" applyBorder="1" applyAlignment="1">
      <alignment horizontal="center" vertical="center" wrapText="1"/>
    </xf>
    <xf numFmtId="43" fontId="16" fillId="0" borderId="27" xfId="6" applyFont="1" applyBorder="1" applyAlignment="1">
      <alignment horizontal="center" vertical="center"/>
    </xf>
    <xf numFmtId="9" fontId="17" fillId="0" borderId="24" xfId="5" applyNumberFormat="1" applyFont="1" applyBorder="1" applyAlignment="1">
      <alignment horizontal="center" vertical="center"/>
    </xf>
    <xf numFmtId="0" fontId="16" fillId="0" borderId="34" xfId="5" applyFont="1" applyBorder="1" applyAlignment="1">
      <alignment horizontal="center" vertical="center"/>
    </xf>
    <xf numFmtId="0" fontId="18" fillId="0" borderId="13" xfId="5" applyFont="1" applyBorder="1" applyAlignment="1">
      <alignment vertical="center" wrapText="1"/>
    </xf>
    <xf numFmtId="0" fontId="18" fillId="0" borderId="54" xfId="5" applyFont="1" applyBorder="1" applyAlignment="1">
      <alignment horizontal="center" vertical="center" wrapText="1"/>
    </xf>
    <xf numFmtId="9" fontId="16" fillId="0" borderId="34" xfId="7" applyFont="1" applyBorder="1" applyAlignment="1">
      <alignment horizontal="center" vertical="center"/>
    </xf>
    <xf numFmtId="166" fontId="16" fillId="0" borderId="38" xfId="6" applyNumberFormat="1" applyFont="1" applyBorder="1" applyAlignment="1">
      <alignment horizontal="center" vertical="center"/>
    </xf>
    <xf numFmtId="1" fontId="16" fillId="0" borderId="75" xfId="5" applyNumberFormat="1" applyFont="1" applyBorder="1" applyAlignment="1">
      <alignment horizontal="center" vertical="center"/>
    </xf>
    <xf numFmtId="43" fontId="18" fillId="0" borderId="27" xfId="6" applyFont="1" applyBorder="1" applyAlignment="1">
      <alignment horizontal="center" vertical="center"/>
    </xf>
    <xf numFmtId="0" fontId="16" fillId="0" borderId="7" xfId="5" applyFont="1" applyBorder="1" applyAlignment="1">
      <alignment vertical="center"/>
    </xf>
    <xf numFmtId="0" fontId="17" fillId="0" borderId="8" xfId="5" applyFont="1" applyBorder="1" applyAlignment="1">
      <alignment vertical="center"/>
    </xf>
    <xf numFmtId="0" fontId="18" fillId="0" borderId="17" xfId="5" applyFont="1" applyBorder="1" applyAlignment="1">
      <alignment horizontal="center" vertical="center"/>
    </xf>
    <xf numFmtId="0" fontId="18" fillId="0" borderId="7" xfId="5" applyFont="1" applyBorder="1" applyAlignment="1">
      <alignment horizontal="center" vertical="center"/>
    </xf>
    <xf numFmtId="166" fontId="17" fillId="0" borderId="12" xfId="6" applyNumberFormat="1" applyFont="1" applyBorder="1" applyAlignment="1">
      <alignment horizontal="center" vertical="center"/>
    </xf>
    <xf numFmtId="0" fontId="16" fillId="0" borderId="55" xfId="5" applyFont="1" applyBorder="1" applyAlignment="1">
      <alignment vertical="center"/>
    </xf>
    <xf numFmtId="0" fontId="17" fillId="0" borderId="56" xfId="5" applyFont="1" applyBorder="1" applyAlignment="1">
      <alignment vertical="center"/>
    </xf>
    <xf numFmtId="0" fontId="18" fillId="0" borderId="69" xfId="5" applyFont="1" applyBorder="1" applyAlignment="1">
      <alignment horizontal="center" vertical="center"/>
    </xf>
    <xf numFmtId="9" fontId="18" fillId="0" borderId="55" xfId="7" applyFont="1" applyBorder="1" applyAlignment="1">
      <alignment horizontal="center" vertical="center"/>
    </xf>
    <xf numFmtId="43" fontId="17" fillId="0" borderId="57" xfId="6" applyFont="1" applyBorder="1" applyAlignment="1">
      <alignment horizontal="center" vertical="center"/>
    </xf>
    <xf numFmtId="0" fontId="17" fillId="18" borderId="20" xfId="5" applyFont="1" applyFill="1" applyBorder="1" applyAlignment="1">
      <alignment horizontal="center" vertical="center"/>
    </xf>
    <xf numFmtId="0" fontId="17" fillId="18" borderId="58" xfId="5" applyFont="1" applyFill="1" applyBorder="1" applyAlignment="1">
      <alignment vertical="center"/>
    </xf>
    <xf numFmtId="0" fontId="17" fillId="18" borderId="59" xfId="5" applyFont="1" applyFill="1" applyBorder="1" applyAlignment="1">
      <alignment vertical="center"/>
    </xf>
    <xf numFmtId="0" fontId="17" fillId="18" borderId="32" xfId="5" applyFont="1" applyFill="1" applyBorder="1" applyAlignment="1">
      <alignment horizontal="center" vertical="center"/>
    </xf>
    <xf numFmtId="0" fontId="17" fillId="18" borderId="60" xfId="5" applyFont="1" applyFill="1" applyBorder="1" applyAlignment="1">
      <alignment horizontal="center" vertical="center"/>
    </xf>
    <xf numFmtId="0" fontId="18" fillId="0" borderId="14" xfId="5" applyFont="1" applyBorder="1" applyAlignment="1">
      <alignment vertical="center"/>
    </xf>
    <xf numFmtId="43" fontId="18" fillId="0" borderId="24" xfId="6" applyFont="1" applyBorder="1" applyAlignment="1">
      <alignment horizontal="center" vertical="center"/>
    </xf>
    <xf numFmtId="166" fontId="18" fillId="0" borderId="27" xfId="6" applyNumberFormat="1" applyFont="1" applyBorder="1" applyAlignment="1">
      <alignment horizontal="center" vertical="center"/>
    </xf>
    <xf numFmtId="0" fontId="16" fillId="0" borderId="23" xfId="5" applyFont="1" applyBorder="1" applyAlignment="1">
      <alignment horizontal="center" vertical="center"/>
    </xf>
    <xf numFmtId="0" fontId="17" fillId="0" borderId="61" xfId="5" applyFont="1" applyBorder="1" applyAlignment="1">
      <alignment horizontal="center" vertical="center"/>
    </xf>
    <xf numFmtId="0" fontId="17" fillId="0" borderId="62" xfId="5" applyFont="1" applyBorder="1" applyAlignment="1">
      <alignment vertical="center"/>
    </xf>
    <xf numFmtId="0" fontId="18" fillId="0" borderId="67" xfId="5" applyFont="1" applyBorder="1" applyAlignment="1">
      <alignment horizontal="center" vertical="center"/>
    </xf>
    <xf numFmtId="0" fontId="18" fillId="0" borderId="61" xfId="5" applyFont="1" applyBorder="1" applyAlignment="1">
      <alignment horizontal="center" vertical="center"/>
    </xf>
    <xf numFmtId="43" fontId="17" fillId="0" borderId="63" xfId="6" applyFont="1" applyBorder="1" applyAlignment="1">
      <alignment horizontal="center" vertical="center"/>
    </xf>
    <xf numFmtId="0" fontId="17" fillId="0" borderId="55" xfId="5" applyFont="1" applyBorder="1" applyAlignment="1">
      <alignment horizontal="center" vertical="center"/>
    </xf>
    <xf numFmtId="0" fontId="18" fillId="0" borderId="55" xfId="5" applyFont="1" applyBorder="1" applyAlignment="1">
      <alignment horizontal="center" vertical="center"/>
    </xf>
    <xf numFmtId="0" fontId="19" fillId="24" borderId="20" xfId="5" applyFont="1" applyFill="1" applyBorder="1" applyAlignment="1">
      <alignment horizontal="center" vertical="center"/>
    </xf>
    <xf numFmtId="1" fontId="17" fillId="25" borderId="21" xfId="3" applyNumberFormat="1" applyFont="1" applyFill="1" applyBorder="1" applyAlignment="1">
      <alignment vertical="center" wrapText="1"/>
    </xf>
    <xf numFmtId="1" fontId="17" fillId="25" borderId="58" xfId="3" applyNumberFormat="1" applyFont="1" applyFill="1" applyBorder="1" applyAlignment="1">
      <alignment vertical="center" wrapText="1"/>
    </xf>
    <xf numFmtId="1" fontId="17" fillId="25" borderId="20" xfId="3" applyNumberFormat="1" applyFont="1" applyFill="1" applyBorder="1" applyAlignment="1">
      <alignment horizontal="center" vertical="center" wrapText="1"/>
    </xf>
    <xf numFmtId="1" fontId="17" fillId="25" borderId="22" xfId="3" applyNumberFormat="1" applyFont="1" applyFill="1" applyBorder="1" applyAlignment="1">
      <alignment horizontal="center" vertical="center" wrapText="1"/>
    </xf>
    <xf numFmtId="10" fontId="18" fillId="0" borderId="24" xfId="5" applyNumberFormat="1" applyFont="1" applyBorder="1" applyAlignment="1">
      <alignment horizontal="center" vertical="center" wrapText="1"/>
    </xf>
    <xf numFmtId="0" fontId="18" fillId="0" borderId="23" xfId="5" applyFont="1" applyBorder="1" applyAlignment="1">
      <alignment horizontal="center" vertical="center" wrapText="1"/>
    </xf>
    <xf numFmtId="166" fontId="18" fillId="11" borderId="27" xfId="6" applyNumberFormat="1" applyFont="1" applyFill="1" applyBorder="1" applyAlignment="1">
      <alignment horizontal="center" vertical="center" wrapText="1"/>
    </xf>
    <xf numFmtId="0" fontId="17" fillId="0" borderId="8" xfId="5" applyFont="1" applyBorder="1" applyAlignment="1">
      <alignment vertical="center" wrapText="1"/>
    </xf>
    <xf numFmtId="0" fontId="18" fillId="0" borderId="17" xfId="5" applyFont="1" applyBorder="1" applyAlignment="1">
      <alignment horizontal="center" vertical="center" wrapText="1"/>
    </xf>
    <xf numFmtId="0" fontId="18" fillId="0" borderId="7" xfId="5" applyFont="1" applyBorder="1" applyAlignment="1">
      <alignment horizontal="center" vertical="center" wrapText="1"/>
    </xf>
    <xf numFmtId="166" fontId="17" fillId="11" borderId="12" xfId="6" applyNumberFormat="1" applyFont="1" applyFill="1" applyBorder="1" applyAlignment="1">
      <alignment horizontal="center" vertical="center" wrapText="1"/>
    </xf>
    <xf numFmtId="0" fontId="17" fillId="0" borderId="55" xfId="5" applyFont="1" applyBorder="1" applyAlignment="1">
      <alignment vertical="center"/>
    </xf>
    <xf numFmtId="0" fontId="17" fillId="0" borderId="69" xfId="5" applyFont="1" applyBorder="1" applyAlignment="1">
      <alignment vertical="center"/>
    </xf>
    <xf numFmtId="0" fontId="17" fillId="0" borderId="57" xfId="5" applyFont="1" applyBorder="1" applyAlignment="1">
      <alignment horizontal="center" vertical="center"/>
    </xf>
    <xf numFmtId="0" fontId="17" fillId="10" borderId="20" xfId="5" applyFont="1" applyFill="1" applyBorder="1" applyAlignment="1">
      <alignment horizontal="center" vertical="center"/>
    </xf>
    <xf numFmtId="0" fontId="17" fillId="10" borderId="58" xfId="5" applyFont="1" applyFill="1" applyBorder="1" applyAlignment="1">
      <alignment vertical="center"/>
    </xf>
    <xf numFmtId="0" fontId="17" fillId="10" borderId="59" xfId="5" applyFont="1" applyFill="1" applyBorder="1" applyAlignment="1">
      <alignment vertical="center"/>
    </xf>
    <xf numFmtId="0" fontId="17" fillId="10" borderId="32" xfId="5" applyFont="1" applyFill="1" applyBorder="1" applyAlignment="1">
      <alignment horizontal="center" vertical="center"/>
    </xf>
    <xf numFmtId="0" fontId="17" fillId="10" borderId="60" xfId="5" applyFont="1" applyFill="1" applyBorder="1" applyAlignment="1">
      <alignment horizontal="center" vertical="center"/>
    </xf>
    <xf numFmtId="10" fontId="18" fillId="0" borderId="24" xfId="5" applyNumberFormat="1" applyFont="1" applyBorder="1" applyAlignment="1">
      <alignment horizontal="center" vertical="center"/>
    </xf>
    <xf numFmtId="10" fontId="18" fillId="0" borderId="23" xfId="5" applyNumberFormat="1" applyFont="1" applyBorder="1" applyAlignment="1">
      <alignment horizontal="center" vertical="center"/>
    </xf>
    <xf numFmtId="0" fontId="18" fillId="0" borderId="29" xfId="5" applyFont="1" applyBorder="1" applyAlignment="1">
      <alignment vertical="center"/>
    </xf>
    <xf numFmtId="10" fontId="18" fillId="0" borderId="71" xfId="5" applyNumberFormat="1" applyFont="1" applyBorder="1" applyAlignment="1">
      <alignment horizontal="center" vertical="center"/>
    </xf>
    <xf numFmtId="10" fontId="18" fillId="0" borderId="28" xfId="5" applyNumberFormat="1" applyFont="1" applyBorder="1" applyAlignment="1">
      <alignment horizontal="center" vertical="center"/>
    </xf>
    <xf numFmtId="0" fontId="17" fillId="0" borderId="7" xfId="5" applyFont="1" applyBorder="1" applyAlignment="1">
      <alignment horizontal="center" vertical="center"/>
    </xf>
    <xf numFmtId="43" fontId="18" fillId="0" borderId="17" xfId="5" applyNumberFormat="1" applyFont="1" applyBorder="1" applyAlignment="1">
      <alignment horizontal="center" vertical="center"/>
    </xf>
    <xf numFmtId="0" fontId="17" fillId="0" borderId="13" xfId="5" applyFont="1" applyBorder="1" applyAlignment="1">
      <alignment horizontal="center" vertical="center"/>
    </xf>
    <xf numFmtId="0" fontId="17" fillId="0" borderId="13" xfId="5" applyFont="1" applyBorder="1" applyAlignment="1">
      <alignment vertical="center"/>
    </xf>
    <xf numFmtId="0" fontId="18" fillId="0" borderId="54" xfId="5" applyFont="1" applyBorder="1" applyAlignment="1">
      <alignment horizontal="center" vertical="center"/>
    </xf>
    <xf numFmtId="0" fontId="18" fillId="0" borderId="34" xfId="5" applyFont="1" applyBorder="1" applyAlignment="1">
      <alignment horizontal="center" vertical="center"/>
    </xf>
    <xf numFmtId="166" fontId="17" fillId="0" borderId="38" xfId="6" applyNumberFormat="1" applyFont="1" applyBorder="1" applyAlignment="1">
      <alignment horizontal="center" vertical="center"/>
    </xf>
    <xf numFmtId="0" fontId="17" fillId="0" borderId="29" xfId="5" applyFont="1" applyBorder="1" applyAlignment="1">
      <alignment horizontal="center" vertical="center"/>
    </xf>
    <xf numFmtId="0" fontId="17" fillId="0" borderId="29" xfId="5" applyFont="1" applyBorder="1" applyAlignment="1">
      <alignment vertical="center"/>
    </xf>
    <xf numFmtId="0" fontId="18" fillId="0" borderId="71" xfId="5" applyFont="1" applyBorder="1" applyAlignment="1">
      <alignment horizontal="center" vertical="center"/>
    </xf>
    <xf numFmtId="0" fontId="18" fillId="0" borderId="28" xfId="5" applyFont="1" applyBorder="1" applyAlignment="1">
      <alignment horizontal="center" vertical="center"/>
    </xf>
    <xf numFmtId="43" fontId="18" fillId="0" borderId="30" xfId="6" applyFont="1" applyBorder="1" applyAlignment="1">
      <alignment horizontal="center" vertical="center"/>
    </xf>
    <xf numFmtId="0" fontId="17" fillId="5" borderId="7" xfId="5" applyFont="1" applyFill="1" applyBorder="1" applyAlignment="1">
      <alignment horizontal="center" vertical="center"/>
    </xf>
    <xf numFmtId="0" fontId="17" fillId="5" borderId="8" xfId="5" applyFont="1" applyFill="1" applyBorder="1" applyAlignment="1">
      <alignment vertical="center"/>
    </xf>
    <xf numFmtId="0" fontId="18" fillId="5" borderId="17" xfId="5" applyFont="1" applyFill="1" applyBorder="1" applyAlignment="1">
      <alignment horizontal="center" vertical="center"/>
    </xf>
    <xf numFmtId="166" fontId="17" fillId="5" borderId="12" xfId="6" applyNumberFormat="1" applyFont="1" applyFill="1" applyBorder="1" applyAlignment="1">
      <alignment horizontal="center" vertical="center"/>
    </xf>
    <xf numFmtId="0" fontId="17" fillId="24" borderId="7" xfId="5" applyFont="1" applyFill="1" applyBorder="1" applyAlignment="1">
      <alignment horizontal="center" vertical="center"/>
    </xf>
    <xf numFmtId="0" fontId="17" fillId="24" borderId="8" xfId="5" applyFont="1" applyFill="1" applyBorder="1" applyAlignment="1">
      <alignment vertical="center"/>
    </xf>
    <xf numFmtId="0" fontId="18" fillId="24" borderId="17" xfId="5" applyFont="1" applyFill="1" applyBorder="1" applyAlignment="1">
      <alignment horizontal="center" vertical="center"/>
    </xf>
    <xf numFmtId="0" fontId="18" fillId="24" borderId="7" xfId="5" applyFont="1" applyFill="1" applyBorder="1" applyAlignment="1">
      <alignment horizontal="center" vertical="center"/>
    </xf>
    <xf numFmtId="43" fontId="17" fillId="24" borderId="12" xfId="6" applyFont="1" applyFill="1" applyBorder="1" applyAlignment="1">
      <alignment horizontal="center" vertical="center"/>
    </xf>
    <xf numFmtId="0" fontId="17" fillId="0" borderId="0" xfId="5" applyFont="1" applyAlignment="1">
      <alignment horizontal="center" vertical="center"/>
    </xf>
    <xf numFmtId="0" fontId="17" fillId="0" borderId="0" xfId="5" applyFont="1" applyAlignment="1">
      <alignment vertical="center"/>
    </xf>
    <xf numFmtId="43" fontId="18" fillId="0" borderId="0" xfId="6" applyFont="1" applyBorder="1" applyAlignment="1">
      <alignment horizontal="center" vertical="center"/>
    </xf>
    <xf numFmtId="0" fontId="19" fillId="0" borderId="0" xfId="5" applyFont="1" applyAlignment="1">
      <alignment horizontal="center" vertical="center"/>
    </xf>
    <xf numFmtId="43" fontId="17" fillId="0" borderId="0" xfId="6" applyFont="1" applyBorder="1" applyAlignment="1">
      <alignment horizontal="center" vertical="center"/>
    </xf>
    <xf numFmtId="0" fontId="18" fillId="0" borderId="20" xfId="5" applyFont="1" applyBorder="1" applyAlignment="1">
      <alignment horizontal="center" vertical="center"/>
    </xf>
    <xf numFmtId="43" fontId="18" fillId="0" borderId="21" xfId="6" applyFont="1" applyBorder="1" applyAlignment="1">
      <alignment horizontal="left" vertical="center"/>
    </xf>
    <xf numFmtId="0" fontId="16" fillId="0" borderId="21" xfId="5" applyFont="1" applyBorder="1" applyAlignment="1">
      <alignment horizontal="center"/>
    </xf>
    <xf numFmtId="0" fontId="16" fillId="0" borderId="21" xfId="5" applyFont="1" applyBorder="1" applyAlignment="1">
      <alignment horizontal="center" vertical="center"/>
    </xf>
    <xf numFmtId="43" fontId="18" fillId="0" borderId="21" xfId="6" applyFont="1" applyBorder="1" applyAlignment="1">
      <alignment horizontal="center" vertical="center"/>
    </xf>
    <xf numFmtId="0" fontId="18" fillId="0" borderId="36" xfId="5" applyFont="1" applyBorder="1" applyAlignment="1">
      <alignment horizontal="center" vertical="center"/>
    </xf>
    <xf numFmtId="43" fontId="18" fillId="0" borderId="37" xfId="6" applyFont="1" applyFill="1" applyBorder="1" applyAlignment="1">
      <alignment horizontal="left" vertical="center"/>
    </xf>
    <xf numFmtId="0" fontId="16" fillId="0" borderId="37" xfId="5" applyFont="1" applyBorder="1" applyAlignment="1">
      <alignment horizontal="center"/>
    </xf>
    <xf numFmtId="0" fontId="16" fillId="0" borderId="37" xfId="5" applyFont="1" applyBorder="1" applyAlignment="1">
      <alignment horizontal="center" vertical="center"/>
    </xf>
    <xf numFmtId="43" fontId="18" fillId="0" borderId="37" xfId="6" applyFont="1" applyFill="1" applyBorder="1" applyAlignment="1">
      <alignment horizontal="center" vertical="center"/>
    </xf>
    <xf numFmtId="0" fontId="19" fillId="0" borderId="13" xfId="5" applyFont="1" applyBorder="1" applyAlignment="1">
      <alignment horizontal="center" vertical="center"/>
    </xf>
    <xf numFmtId="43" fontId="17" fillId="0" borderId="13" xfId="6" applyFont="1" applyBorder="1" applyAlignment="1">
      <alignment horizontal="center" vertical="center"/>
    </xf>
    <xf numFmtId="0" fontId="18" fillId="0" borderId="21" xfId="5" applyFont="1" applyBorder="1" applyAlignment="1">
      <alignment horizontal="left" vertical="center"/>
    </xf>
    <xf numFmtId="0" fontId="18" fillId="0" borderId="14" xfId="5" applyFont="1" applyBorder="1" applyAlignment="1">
      <alignment horizontal="left" vertical="center"/>
    </xf>
    <xf numFmtId="43" fontId="18" fillId="0" borderId="14" xfId="6" applyFont="1" applyBorder="1" applyAlignment="1">
      <alignment horizontal="center" vertical="center"/>
    </xf>
    <xf numFmtId="0" fontId="16" fillId="0" borderId="14" xfId="5" applyFont="1" applyBorder="1" applyAlignment="1">
      <alignment horizontal="center" vertical="center"/>
    </xf>
    <xf numFmtId="0" fontId="17" fillId="0" borderId="36" xfId="5" applyFont="1" applyBorder="1" applyAlignment="1">
      <alignment horizontal="center" vertical="center"/>
    </xf>
    <xf numFmtId="0" fontId="17" fillId="0" borderId="37" xfId="5" applyFont="1" applyBorder="1" applyAlignment="1">
      <alignment horizontal="left" vertical="center"/>
    </xf>
    <xf numFmtId="43" fontId="18" fillId="0" borderId="37" xfId="6" applyFont="1" applyBorder="1" applyAlignment="1">
      <alignment horizontal="center" vertical="center"/>
    </xf>
    <xf numFmtId="0" fontId="19" fillId="0" borderId="37" xfId="5" applyFont="1" applyBorder="1" applyAlignment="1">
      <alignment horizontal="center" vertical="center"/>
    </xf>
    <xf numFmtId="167" fontId="17" fillId="0" borderId="37" xfId="2" applyNumberFormat="1" applyFont="1" applyBorder="1" applyAlignment="1">
      <alignment horizontal="center" vertical="center"/>
    </xf>
    <xf numFmtId="1" fontId="17" fillId="0" borderId="0" xfId="6" applyNumberFormat="1" applyFont="1" applyBorder="1" applyAlignment="1">
      <alignment horizontal="center" vertical="center"/>
    </xf>
    <xf numFmtId="0" fontId="17" fillId="26" borderId="14" xfId="5" applyFont="1" applyFill="1" applyBorder="1" applyAlignment="1">
      <alignment horizontal="center" vertical="center"/>
    </xf>
    <xf numFmtId="0" fontId="17" fillId="26" borderId="14" xfId="5" applyFont="1" applyFill="1" applyBorder="1" applyAlignment="1">
      <alignment vertical="center"/>
    </xf>
    <xf numFmtId="0" fontId="17" fillId="26" borderId="24" xfId="5" applyFont="1" applyFill="1" applyBorder="1" applyAlignment="1">
      <alignment vertical="center"/>
    </xf>
    <xf numFmtId="0" fontId="17" fillId="26" borderId="34" xfId="5" applyFont="1" applyFill="1" applyBorder="1" applyAlignment="1">
      <alignment horizontal="center" vertical="center"/>
    </xf>
    <xf numFmtId="165" fontId="17" fillId="26" borderId="38" xfId="7" applyNumberFormat="1" applyFont="1" applyFill="1" applyBorder="1" applyAlignment="1">
      <alignment horizontal="center" vertical="center"/>
    </xf>
    <xf numFmtId="0" fontId="17" fillId="26" borderId="14" xfId="5" applyFont="1" applyFill="1" applyBorder="1" applyAlignment="1">
      <alignment vertical="center" wrapText="1"/>
    </xf>
    <xf numFmtId="0" fontId="19" fillId="0" borderId="15" xfId="5" applyFont="1" applyBorder="1"/>
    <xf numFmtId="0" fontId="19" fillId="0" borderId="16" xfId="5" applyFont="1" applyBorder="1" applyAlignment="1">
      <alignment horizontal="center"/>
    </xf>
    <xf numFmtId="0" fontId="17" fillId="0" borderId="20" xfId="5" applyFont="1" applyBorder="1" applyAlignment="1">
      <alignment horizontal="center" vertical="center"/>
    </xf>
    <xf numFmtId="0" fontId="16" fillId="0" borderId="21" xfId="5" applyFont="1" applyBorder="1"/>
    <xf numFmtId="0" fontId="4" fillId="0" borderId="0" xfId="5" applyAlignment="1">
      <alignment vertical="center" wrapText="1"/>
    </xf>
    <xf numFmtId="0" fontId="4" fillId="0" borderId="0" xfId="5" applyAlignment="1">
      <alignment horizontal="center" vertical="center" wrapText="1"/>
    </xf>
    <xf numFmtId="3" fontId="4" fillId="0" borderId="0" xfId="5" applyNumberFormat="1" applyAlignment="1">
      <alignment horizontal="center" vertical="center" wrapText="1"/>
    </xf>
    <xf numFmtId="0" fontId="16" fillId="0" borderId="0" xfId="5" applyFont="1" applyAlignment="1">
      <alignment horizontal="center" vertical="center"/>
    </xf>
    <xf numFmtId="0" fontId="16" fillId="0" borderId="0" xfId="5" applyFont="1" applyAlignment="1">
      <alignment horizontal="center"/>
    </xf>
    <xf numFmtId="3" fontId="16" fillId="0" borderId="0" xfId="5" applyNumberFormat="1" applyFont="1" applyAlignment="1">
      <alignment horizontal="center" vertical="center"/>
    </xf>
    <xf numFmtId="9" fontId="16" fillId="0" borderId="0" xfId="7" applyFont="1"/>
    <xf numFmtId="0" fontId="5" fillId="0" borderId="76" xfId="3" applyBorder="1" applyAlignment="1">
      <alignment horizontal="left" vertical="center"/>
    </xf>
    <xf numFmtId="166" fontId="14" fillId="0" borderId="40" xfId="1" applyNumberFormat="1" applyFont="1" applyBorder="1" applyAlignment="1">
      <alignment horizontal="center" vertical="center" wrapText="1"/>
    </xf>
    <xf numFmtId="0" fontId="28" fillId="0" borderId="14" xfId="0" pivotButton="1" applyFont="1" applyBorder="1" applyAlignment="1">
      <alignment vertical="center"/>
    </xf>
    <xf numFmtId="0" fontId="28" fillId="0" borderId="14" xfId="0" applyFont="1" applyBorder="1" applyAlignment="1">
      <alignment vertical="center"/>
    </xf>
    <xf numFmtId="0" fontId="28" fillId="0" borderId="14" xfId="0" applyFont="1" applyBorder="1" applyAlignment="1">
      <alignment vertical="center" wrapText="1"/>
    </xf>
    <xf numFmtId="0" fontId="28" fillId="0" borderId="14" xfId="0" pivotButton="1" applyFont="1" applyBorder="1" applyAlignment="1">
      <alignment vertical="center" wrapText="1"/>
    </xf>
    <xf numFmtId="0" fontId="28" fillId="0" borderId="14" xfId="0" applyFont="1" applyBorder="1" applyAlignment="1">
      <alignment horizontal="left" vertical="center" wrapText="1"/>
    </xf>
    <xf numFmtId="2" fontId="28" fillId="0" borderId="14" xfId="0" applyNumberFormat="1" applyFont="1" applyBorder="1" applyAlignment="1">
      <alignment vertical="center" wrapText="1"/>
    </xf>
    <xf numFmtId="0" fontId="28" fillId="0" borderId="14" xfId="0" applyFont="1" applyBorder="1" applyAlignment="1">
      <alignment horizontal="left" vertical="center"/>
    </xf>
    <xf numFmtId="2" fontId="28" fillId="0" borderId="14" xfId="0" applyNumberFormat="1" applyFont="1" applyBorder="1" applyAlignment="1">
      <alignment vertical="center"/>
    </xf>
    <xf numFmtId="164" fontId="28" fillId="0" borderId="14" xfId="0" applyNumberFormat="1" applyFont="1" applyBorder="1" applyAlignment="1">
      <alignment vertical="center"/>
    </xf>
    <xf numFmtId="2" fontId="29" fillId="0" borderId="14" xfId="0" applyNumberFormat="1" applyFont="1" applyBorder="1" applyAlignment="1">
      <alignment horizontal="center" vertical="center"/>
    </xf>
    <xf numFmtId="0" fontId="29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 wrapText="1"/>
    </xf>
    <xf numFmtId="166" fontId="7" fillId="0" borderId="0" xfId="1" applyNumberFormat="1" applyFont="1"/>
    <xf numFmtId="0" fontId="7" fillId="0" borderId="0" xfId="3" applyFont="1" applyAlignment="1">
      <alignment horizontal="left"/>
    </xf>
    <xf numFmtId="0" fontId="7" fillId="0" borderId="0" xfId="3" applyFont="1"/>
    <xf numFmtId="0" fontId="7" fillId="0" borderId="0" xfId="3" applyFont="1" applyAlignment="1">
      <alignment horizontal="center" vertical="center"/>
    </xf>
    <xf numFmtId="0" fontId="17" fillId="26" borderId="0" xfId="5" applyFont="1" applyFill="1" applyBorder="1" applyAlignment="1">
      <alignment horizontal="center" vertical="center"/>
    </xf>
    <xf numFmtId="0" fontId="17" fillId="26" borderId="0" xfId="5" applyFont="1" applyFill="1" applyBorder="1" applyAlignment="1">
      <alignment vertical="center"/>
    </xf>
    <xf numFmtId="0" fontId="17" fillId="26" borderId="55" xfId="5" applyFont="1" applyFill="1" applyBorder="1" applyAlignment="1">
      <alignment horizontal="center" vertical="center"/>
    </xf>
    <xf numFmtId="165" fontId="17" fillId="26" borderId="57" xfId="7" applyNumberFormat="1" applyFont="1" applyFill="1" applyBorder="1" applyAlignment="1">
      <alignment horizontal="center" vertical="center"/>
    </xf>
    <xf numFmtId="0" fontId="17" fillId="26" borderId="29" xfId="5" applyFont="1" applyFill="1" applyBorder="1" applyAlignment="1">
      <alignment vertical="center" wrapText="1"/>
    </xf>
    <xf numFmtId="0" fontId="19" fillId="0" borderId="61" xfId="5" applyFont="1" applyBorder="1" applyAlignment="1">
      <alignment horizontal="center" vertical="center"/>
    </xf>
    <xf numFmtId="43" fontId="19" fillId="0" borderId="63" xfId="5" applyNumberFormat="1" applyFont="1" applyBorder="1" applyAlignment="1">
      <alignment horizontal="center" vertical="center"/>
    </xf>
    <xf numFmtId="0" fontId="18" fillId="0" borderId="14" xfId="5" applyFont="1" applyFill="1" applyBorder="1" applyAlignment="1">
      <alignment vertical="center"/>
    </xf>
    <xf numFmtId="10" fontId="18" fillId="0" borderId="24" xfId="5" applyNumberFormat="1" applyFont="1" applyFill="1" applyBorder="1" applyAlignment="1">
      <alignment horizontal="center" vertical="center"/>
    </xf>
    <xf numFmtId="0" fontId="17" fillId="26" borderId="20" xfId="5" applyFont="1" applyFill="1" applyBorder="1" applyAlignment="1">
      <alignment horizontal="center" vertical="center"/>
    </xf>
    <xf numFmtId="165" fontId="17" fillId="26" borderId="22" xfId="7" applyNumberFormat="1" applyFont="1" applyFill="1" applyBorder="1" applyAlignment="1">
      <alignment horizontal="center" vertical="center"/>
    </xf>
    <xf numFmtId="0" fontId="17" fillId="0" borderId="23" xfId="5" applyFont="1" applyFill="1" applyBorder="1" applyAlignment="1">
      <alignment horizontal="center" vertical="center"/>
    </xf>
    <xf numFmtId="43" fontId="16" fillId="0" borderId="27" xfId="0" applyNumberFormat="1" applyFont="1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6" fillId="0" borderId="29" xfId="0" applyFont="1" applyBorder="1" applyAlignment="1">
      <alignment horizontal="center" vertical="center"/>
    </xf>
    <xf numFmtId="43" fontId="16" fillId="0" borderId="30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43" fontId="19" fillId="0" borderId="8" xfId="0" applyNumberFormat="1" applyFont="1" applyBorder="1" applyAlignment="1">
      <alignment horizontal="center" vertical="center"/>
    </xf>
    <xf numFmtId="43" fontId="19" fillId="0" borderId="12" xfId="0" applyNumberFormat="1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9" fontId="16" fillId="0" borderId="29" xfId="0" applyNumberFormat="1" applyFont="1" applyBorder="1" applyAlignment="1">
      <alignment horizontal="center" vertical="center"/>
    </xf>
    <xf numFmtId="0" fontId="19" fillId="26" borderId="14" xfId="0" applyFont="1" applyFill="1" applyBorder="1" applyAlignment="1">
      <alignment horizontal="center" vertical="center"/>
    </xf>
    <xf numFmtId="43" fontId="19" fillId="26" borderId="14" xfId="0" applyNumberFormat="1" applyFont="1" applyFill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43" fontId="16" fillId="0" borderId="21" xfId="0" applyNumberFormat="1" applyFont="1" applyBorder="1" applyAlignment="1">
      <alignment horizontal="center" vertical="center"/>
    </xf>
    <xf numFmtId="43" fontId="16" fillId="0" borderId="22" xfId="0" applyNumberFormat="1" applyFont="1" applyBorder="1" applyAlignment="1">
      <alignment horizontal="center" vertical="center"/>
    </xf>
    <xf numFmtId="0" fontId="3" fillId="26" borderId="23" xfId="0" applyFont="1" applyFill="1" applyBorder="1" applyAlignment="1">
      <alignment horizontal="center" vertical="center" wrapText="1"/>
    </xf>
    <xf numFmtId="43" fontId="19" fillId="26" borderId="27" xfId="0" applyNumberFormat="1" applyFont="1" applyFill="1" applyBorder="1" applyAlignment="1">
      <alignment horizontal="center" vertical="center"/>
    </xf>
    <xf numFmtId="43" fontId="5" fillId="0" borderId="0" xfId="3" applyNumberFormat="1" applyAlignment="1">
      <alignment horizontal="center" vertical="center"/>
    </xf>
    <xf numFmtId="43" fontId="7" fillId="0" borderId="0" xfId="3" applyNumberFormat="1" applyFont="1" applyAlignment="1">
      <alignment horizontal="center" vertical="center"/>
    </xf>
    <xf numFmtId="0" fontId="21" fillId="2" borderId="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1" fillId="0" borderId="14" xfId="0" applyFont="1" applyFill="1" applyBorder="1" applyAlignment="1">
      <alignment horizontal="center" vertical="center" wrapText="1"/>
    </xf>
    <xf numFmtId="0" fontId="24" fillId="28" borderId="14" xfId="0" applyFont="1" applyFill="1" applyBorder="1" applyAlignment="1">
      <alignment horizontal="center" vertical="center"/>
    </xf>
    <xf numFmtId="0" fontId="19" fillId="16" borderId="71" xfId="5" applyFont="1" applyFill="1" applyBorder="1" applyAlignment="1">
      <alignment horizontal="center" vertical="center" wrapText="1"/>
    </xf>
    <xf numFmtId="0" fontId="19" fillId="16" borderId="74" xfId="5" applyFont="1" applyFill="1" applyBorder="1" applyAlignment="1">
      <alignment horizontal="center" vertical="center" wrapText="1"/>
    </xf>
    <xf numFmtId="0" fontId="19" fillId="16" borderId="54" xfId="5" applyFont="1" applyFill="1" applyBorder="1" applyAlignment="1">
      <alignment horizontal="center" vertical="center" wrapText="1"/>
    </xf>
    <xf numFmtId="0" fontId="19" fillId="16" borderId="68" xfId="5" applyFont="1" applyFill="1" applyBorder="1" applyAlignment="1">
      <alignment horizontal="center" vertical="center" wrapText="1"/>
    </xf>
    <xf numFmtId="0" fontId="17" fillId="19" borderId="2" xfId="5" applyFont="1" applyFill="1" applyBorder="1" applyAlignment="1">
      <alignment horizontal="center" vertical="center"/>
    </xf>
    <xf numFmtId="0" fontId="17" fillId="19" borderId="3" xfId="5" applyFont="1" applyFill="1" applyBorder="1" applyAlignment="1">
      <alignment horizontal="center" vertical="center"/>
    </xf>
    <xf numFmtId="0" fontId="15" fillId="27" borderId="17" xfId="5" applyFont="1" applyFill="1" applyBorder="1" applyAlignment="1">
      <alignment horizontal="center" vertical="center"/>
    </xf>
    <xf numFmtId="0" fontId="15" fillId="27" borderId="19" xfId="5" applyFont="1" applyFill="1" applyBorder="1" applyAlignment="1">
      <alignment horizontal="center" vertical="center"/>
    </xf>
    <xf numFmtId="0" fontId="15" fillId="15" borderId="32" xfId="5" applyFont="1" applyFill="1" applyBorder="1" applyAlignment="1">
      <alignment horizontal="center" wrapText="1"/>
    </xf>
    <xf numFmtId="0" fontId="15" fillId="15" borderId="59" xfId="5" applyFont="1" applyFill="1" applyBorder="1" applyAlignment="1">
      <alignment horizontal="center" wrapText="1"/>
    </xf>
    <xf numFmtId="0" fontId="15" fillId="15" borderId="64" xfId="5" applyFont="1" applyFill="1" applyBorder="1" applyAlignment="1">
      <alignment horizontal="center" wrapText="1"/>
    </xf>
    <xf numFmtId="0" fontId="30" fillId="0" borderId="2" xfId="3" applyFont="1" applyBorder="1" applyAlignment="1">
      <alignment horizontal="center" vertical="center"/>
    </xf>
    <xf numFmtId="0" fontId="30" fillId="0" borderId="3" xfId="3" applyFont="1" applyBorder="1" applyAlignment="1">
      <alignment horizontal="center" vertical="center"/>
    </xf>
    <xf numFmtId="0" fontId="30" fillId="0" borderId="5" xfId="3" applyFont="1" applyBorder="1" applyAlignment="1">
      <alignment horizontal="center" vertical="center"/>
    </xf>
    <xf numFmtId="1" fontId="7" fillId="21" borderId="66" xfId="3" applyNumberFormat="1" applyFont="1" applyFill="1" applyBorder="1" applyAlignment="1">
      <alignment horizontal="left" vertical="center" wrapText="1"/>
    </xf>
    <xf numFmtId="1" fontId="7" fillId="21" borderId="65" xfId="3" applyNumberFormat="1" applyFont="1" applyFill="1" applyBorder="1" applyAlignment="1">
      <alignment horizontal="left" vertical="center" wrapText="1"/>
    </xf>
    <xf numFmtId="1" fontId="7" fillId="21" borderId="73" xfId="3" applyNumberFormat="1" applyFont="1" applyFill="1" applyBorder="1" applyAlignment="1">
      <alignment horizontal="left" vertical="center" wrapText="1"/>
    </xf>
    <xf numFmtId="0" fontId="6" fillId="0" borderId="20" xfId="3" applyFont="1" applyBorder="1" applyAlignment="1">
      <alignment horizontal="center" vertical="center" wrapText="1"/>
    </xf>
    <xf numFmtId="0" fontId="6" fillId="0" borderId="21" xfId="3" applyFont="1" applyBorder="1" applyAlignment="1">
      <alignment horizontal="center" vertical="center" wrapText="1"/>
    </xf>
    <xf numFmtId="0" fontId="6" fillId="0" borderId="58" xfId="3" applyFont="1" applyBorder="1" applyAlignment="1">
      <alignment horizontal="center" vertical="center" wrapText="1"/>
    </xf>
    <xf numFmtId="0" fontId="6" fillId="0" borderId="22" xfId="3" applyFont="1" applyBorder="1" applyAlignment="1">
      <alignment horizontal="center" vertical="center" wrapText="1"/>
    </xf>
    <xf numFmtId="0" fontId="7" fillId="0" borderId="24" xfId="3" applyFont="1" applyBorder="1" applyAlignment="1">
      <alignment horizontal="center" vertical="center" wrapText="1"/>
    </xf>
    <xf numFmtId="0" fontId="7" fillId="0" borderId="25" xfId="3" applyFont="1" applyBorder="1" applyAlignment="1">
      <alignment horizontal="center" vertical="center" wrapText="1"/>
    </xf>
    <xf numFmtId="1" fontId="7" fillId="11" borderId="23" xfId="3" applyNumberFormat="1" applyFont="1" applyFill="1" applyBorder="1" applyAlignment="1">
      <alignment horizontal="left" vertical="center" wrapText="1"/>
    </xf>
    <xf numFmtId="1" fontId="7" fillId="11" borderId="14" xfId="3" applyNumberFormat="1" applyFont="1" applyFill="1" applyBorder="1" applyAlignment="1">
      <alignment horizontal="left" vertical="center" wrapText="1"/>
    </xf>
    <xf numFmtId="1" fontId="7" fillId="11" borderId="36" xfId="3" applyNumberFormat="1" applyFont="1" applyFill="1" applyBorder="1" applyAlignment="1">
      <alignment horizontal="left" vertical="center" wrapText="1"/>
    </xf>
    <xf numFmtId="1" fontId="7" fillId="11" borderId="37" xfId="3" applyNumberFormat="1" applyFont="1" applyFill="1" applyBorder="1" applyAlignment="1">
      <alignment horizontal="left" vertical="center" wrapText="1"/>
    </xf>
    <xf numFmtId="1" fontId="7" fillId="13" borderId="41" xfId="3" applyNumberFormat="1" applyFont="1" applyFill="1" applyBorder="1" applyAlignment="1">
      <alignment horizontal="left" vertical="center" wrapText="1"/>
    </xf>
    <xf numFmtId="1" fontId="7" fillId="13" borderId="42" xfId="3" applyNumberFormat="1" applyFont="1" applyFill="1" applyBorder="1" applyAlignment="1">
      <alignment horizontal="left" vertical="center" wrapText="1"/>
    </xf>
    <xf numFmtId="1" fontId="7" fillId="13" borderId="43" xfId="3" applyNumberFormat="1" applyFont="1" applyFill="1" applyBorder="1" applyAlignment="1">
      <alignment horizontal="left" vertical="center" wrapText="1"/>
    </xf>
    <xf numFmtId="1" fontId="7" fillId="13" borderId="44" xfId="3" applyNumberFormat="1" applyFont="1" applyFill="1" applyBorder="1" applyAlignment="1">
      <alignment horizontal="left" vertical="center" wrapText="1"/>
    </xf>
    <xf numFmtId="0" fontId="5" fillId="0" borderId="20" xfId="3" applyBorder="1" applyAlignment="1">
      <alignment horizontal="left" vertical="center"/>
    </xf>
    <xf numFmtId="0" fontId="5" fillId="0" borderId="21" xfId="3" applyBorder="1" applyAlignment="1">
      <alignment horizontal="left" vertical="center"/>
    </xf>
    <xf numFmtId="0" fontId="5" fillId="0" borderId="33" xfId="3" applyBorder="1" applyAlignment="1">
      <alignment horizontal="left" vertical="center"/>
    </xf>
    <xf numFmtId="0" fontId="5" fillId="0" borderId="53" xfId="3" applyBorder="1" applyAlignment="1">
      <alignment horizontal="left" vertical="center"/>
    </xf>
    <xf numFmtId="0" fontId="5" fillId="0" borderId="35" xfId="3" applyBorder="1" applyAlignment="1">
      <alignment horizontal="left" vertical="center"/>
    </xf>
    <xf numFmtId="0" fontId="5" fillId="0" borderId="76" xfId="3" applyBorder="1" applyAlignment="1">
      <alignment horizontal="left" vertical="center"/>
    </xf>
    <xf numFmtId="0" fontId="21" fillId="0" borderId="18" xfId="0" applyFont="1" applyBorder="1" applyAlignment="1">
      <alignment horizontal="right" vertical="center"/>
    </xf>
    <xf numFmtId="0" fontId="21" fillId="0" borderId="9" xfId="0" applyFont="1" applyBorder="1" applyAlignment="1">
      <alignment horizontal="right" vertical="center"/>
    </xf>
    <xf numFmtId="1" fontId="8" fillId="7" borderId="28" xfId="3" applyNumberFormat="1" applyFont="1" applyFill="1" applyBorder="1" applyAlignment="1">
      <alignment horizontal="left" vertical="center" wrapText="1"/>
    </xf>
    <xf numFmtId="1" fontId="8" fillId="7" borderId="29" xfId="3" applyNumberFormat="1" applyFont="1" applyFill="1" applyBorder="1" applyAlignment="1">
      <alignment horizontal="left" vertical="center" wrapText="1"/>
    </xf>
    <xf numFmtId="1" fontId="8" fillId="7" borderId="71" xfId="3" applyNumberFormat="1" applyFont="1" applyFill="1" applyBorder="1" applyAlignment="1">
      <alignment horizontal="left" vertical="center" wrapText="1"/>
    </xf>
    <xf numFmtId="1" fontId="8" fillId="7" borderId="30" xfId="3" applyNumberFormat="1" applyFont="1" applyFill="1" applyBorder="1" applyAlignment="1">
      <alignment horizontal="left" vertical="center" wrapText="1"/>
    </xf>
    <xf numFmtId="1" fontId="7" fillId="8" borderId="7" xfId="3" applyNumberFormat="1" applyFont="1" applyFill="1" applyBorder="1" applyAlignment="1">
      <alignment horizontal="left" vertical="center" wrapText="1"/>
    </xf>
    <xf numFmtId="1" fontId="7" fillId="8" borderId="8" xfId="3" applyNumberFormat="1" applyFont="1" applyFill="1" applyBorder="1" applyAlignment="1">
      <alignment horizontal="left" vertical="center" wrapText="1"/>
    </xf>
    <xf numFmtId="1" fontId="7" fillId="8" borderId="17" xfId="3" applyNumberFormat="1" applyFont="1" applyFill="1" applyBorder="1" applyAlignment="1">
      <alignment horizontal="left" vertical="center" wrapText="1"/>
    </xf>
    <xf numFmtId="1" fontId="7" fillId="8" borderId="12" xfId="3" applyNumberFormat="1" applyFont="1" applyFill="1" applyBorder="1" applyAlignment="1">
      <alignment horizontal="left" vertical="center" wrapText="1"/>
    </xf>
    <xf numFmtId="166" fontId="7" fillId="11" borderId="7" xfId="1" applyNumberFormat="1" applyFont="1" applyFill="1" applyBorder="1" applyAlignment="1">
      <alignment horizontal="center" vertical="center" wrapText="1"/>
    </xf>
    <xf numFmtId="166" fontId="7" fillId="11" borderId="11" xfId="1" applyNumberFormat="1" applyFont="1" applyFill="1" applyBorder="1" applyAlignment="1">
      <alignment horizontal="center" vertical="center" wrapText="1"/>
    </xf>
    <xf numFmtId="166" fontId="7" fillId="11" borderId="8" xfId="1" applyNumberFormat="1" applyFont="1" applyFill="1" applyBorder="1" applyAlignment="1">
      <alignment horizontal="center" vertical="center" wrapText="1"/>
    </xf>
    <xf numFmtId="166" fontId="7" fillId="11" borderId="17" xfId="1" applyNumberFormat="1" applyFont="1" applyFill="1" applyBorder="1" applyAlignment="1">
      <alignment horizontal="center" vertical="center" wrapText="1"/>
    </xf>
    <xf numFmtId="166" fontId="7" fillId="11" borderId="12" xfId="1" applyNumberFormat="1" applyFont="1" applyFill="1" applyBorder="1" applyAlignment="1">
      <alignment horizontal="center" vertical="center" wrapText="1"/>
    </xf>
    <xf numFmtId="1" fontId="7" fillId="13" borderId="34" xfId="3" applyNumberFormat="1" applyFont="1" applyFill="1" applyBorder="1" applyAlignment="1">
      <alignment horizontal="left" vertical="center" wrapText="1"/>
    </xf>
    <xf numFmtId="1" fontId="7" fillId="13" borderId="13" xfId="3" applyNumberFormat="1" applyFont="1" applyFill="1" applyBorder="1" applyAlignment="1">
      <alignment horizontal="left" vertical="center" wrapText="1"/>
    </xf>
    <xf numFmtId="1" fontId="7" fillId="13" borderId="54" xfId="3" applyNumberFormat="1" applyFont="1" applyFill="1" applyBorder="1" applyAlignment="1">
      <alignment horizontal="left" vertical="center" wrapText="1"/>
    </xf>
    <xf numFmtId="1" fontId="7" fillId="13" borderId="38" xfId="3" applyNumberFormat="1" applyFont="1" applyFill="1" applyBorder="1" applyAlignment="1">
      <alignment horizontal="left" vertical="center" wrapText="1"/>
    </xf>
    <xf numFmtId="0" fontId="21" fillId="0" borderId="11" xfId="0" applyFont="1" applyBorder="1" applyAlignment="1">
      <alignment horizontal="right" vertical="center"/>
    </xf>
    <xf numFmtId="0" fontId="21" fillId="0" borderId="18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21" fillId="2" borderId="6" xfId="0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19" fillId="19" borderId="24" xfId="0" applyFont="1" applyFill="1" applyBorder="1" applyAlignment="1">
      <alignment horizontal="center"/>
    </xf>
    <xf numFmtId="0" fontId="19" fillId="19" borderId="25" xfId="0" applyFont="1" applyFill="1" applyBorder="1" applyAlignment="1">
      <alignment horizontal="center"/>
    </xf>
    <xf numFmtId="0" fontId="0" fillId="0" borderId="53" xfId="0" applyBorder="1" applyAlignment="1">
      <alignment horizontal="center"/>
    </xf>
  </cellXfs>
  <cellStyles count="9">
    <cellStyle name="Comma" xfId="1" builtinId="3"/>
    <cellStyle name="Comma 2" xfId="6" xr:uid="{57266C89-0C77-4528-9CE9-C42A6EABC939}"/>
    <cellStyle name="Comma 3" xfId="8" xr:uid="{28064B71-8CB1-4C78-ACBC-7C86DD525851}"/>
    <cellStyle name="Normal" xfId="0" builtinId="0"/>
    <cellStyle name="Normal 2 2" xfId="3" xr:uid="{F57D69F6-7224-428B-AC20-FE3C9F48FAB5}"/>
    <cellStyle name="Normal 5" xfId="5" xr:uid="{2A02EBC6-35C8-416E-B10F-E27351A7F190}"/>
    <cellStyle name="Normal 6" xfId="4" xr:uid="{8375D567-7C15-49A6-8195-85D57712A731}"/>
    <cellStyle name="Percent" xfId="2" builtinId="5"/>
    <cellStyle name="Percent 2" xfId="7" xr:uid="{B8185C10-7961-48FA-BE3B-B02D21A8B387}"/>
  </cellStyles>
  <dxfs count="457">
    <dxf>
      <font>
        <color rgb="FF9C0006"/>
      </font>
      <fill>
        <patternFill>
          <bgColor rgb="FFFFC7CE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zetwerkmanufacturing-my.sharepoint.com/Development/ICF%20R%20Tank/COSTING%20OF%20RETENTION%20TAN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M "/>
      <sheetName val="BOM  (2)"/>
      <sheetName val="COSTING SHEET"/>
    </sheetNames>
    <sheetDataSet>
      <sheetData sheetId="0">
        <row r="151">
          <cell r="AC151">
            <v>6.3488525266250004</v>
          </cell>
        </row>
      </sheetData>
      <sheetData sheetId="1" refreshError="1"/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shul Guleria" refreshedDate="45806.658829513886" createdVersion="8" refreshedVersion="8" minRefreshableVersion="3" recordCount="26" xr:uid="{C366736E-9319-40C9-8111-0E4B676BE21A}">
  <cacheSource type="worksheet">
    <worksheetSource ref="B2:U55" sheet="BOM R2D CatWalk"/>
  </cacheSource>
  <cacheFields count="20">
    <cacheField name="Assembly" numFmtId="0">
      <sharedItems containsBlank="1" count="6">
        <m/>
        <s v="DT34962"/>
        <s v="DT34961"/>
        <s v="DT14062"/>
        <s v="DT14077"/>
        <s v="DT14647"/>
      </sharedItems>
    </cacheField>
    <cacheField name="L1" numFmtId="0">
      <sharedItems containsString="0" containsBlank="1" containsNumber="1" containsInteger="1" minValue="1" maxValue="5"/>
    </cacheField>
    <cacheField name="L2" numFmtId="0">
      <sharedItems containsString="0" containsBlank="1" containsNumber="1" minValue="1.1000000000000001" maxValue="5.2"/>
    </cacheField>
    <cacheField name="L3" numFmtId="0">
      <sharedItems containsBlank="1"/>
    </cacheField>
    <cacheField name="Drawing_x000a_No." numFmtId="0">
      <sharedItems containsBlank="1"/>
    </cacheField>
    <cacheField name="Rev" numFmtId="0">
      <sharedItems containsBlank="1" containsMixedTypes="1" containsNumber="1" containsInteger="1" minValue="0" maxValue="0"/>
    </cacheField>
    <cacheField name="Description " numFmtId="0">
      <sharedItems/>
    </cacheField>
    <cacheField name="Qty." numFmtId="0">
      <sharedItems containsSemiMixedTypes="0" containsString="0" containsNumber="1" containsInteger="1" minValue="1" maxValue="5"/>
    </cacheField>
    <cacheField name="Total _x000a_Qty." numFmtId="0">
      <sharedItems containsSemiMixedTypes="0" containsString="0" containsNumber="1" containsInteger="1" minValue="1" maxValue="10"/>
    </cacheField>
    <cacheField name="Net Wt._x000a_LBS" numFmtId="0">
      <sharedItems containsString="0" containsBlank="1" containsNumber="1" minValue="3.8" maxValue="260.7"/>
    </cacheField>
    <cacheField name="Net Weight _x000a_(Kg)" numFmtId="2">
      <sharedItems containsSemiMixedTypes="0" containsString="0" containsNumber="1" minValue="0.20199004559999992" maxValue="118.25351999999999"/>
    </cacheField>
    <cacheField name="Total Weight _x000a_(Kg)" numFmtId="2">
      <sharedItems containsSemiMixedTypes="0" containsString="0" containsNumber="1" minValue="0.45775031030399987" maxValue="225.89279999999999"/>
    </cacheField>
    <cacheField name="Type" numFmtId="0">
      <sharedItems/>
    </cacheField>
    <cacheField name="DRG._x000a_Material" numFmtId="0">
      <sharedItems containsBlank="1"/>
    </cacheField>
    <cacheField name="Alt. Material" numFmtId="0">
      <sharedItems containsBlank="1" count="6">
        <m/>
        <s v="IS 2062 _x000a_E250 A/BO/BR"/>
        <s v="ASTM A514"/>
        <s v="42CrMo4 / EN 19"/>
        <s v="ASTM _x000a_A514 GR B"/>
        <s v="1.7218 (25CrMo4)"/>
      </sharedItems>
    </cacheField>
    <cacheField name="IS Thk_x000a_(Inch)" numFmtId="0">
      <sharedItems containsBlank="1" containsMixedTypes="1" containsNumber="1" minValue="0.25" maxValue="1.25"/>
    </cacheField>
    <cacheField name="IS Thk_x000a_(mm)" numFmtId="0">
      <sharedItems containsBlank="1" containsMixedTypes="1" containsNumber="1" containsInteger="1" minValue="6" maxValue="68" count="9">
        <m/>
        <n v="8"/>
        <n v="20"/>
        <s v="Dia 65"/>
        <n v="6"/>
        <n v="32"/>
        <n v="25"/>
        <s v="Dia 90"/>
        <n v="68" u="1"/>
      </sharedItems>
    </cacheField>
    <cacheField name="Width " numFmtId="0">
      <sharedItems containsString="0" containsBlank="1" containsNumber="1" minValue="51" maxValue="396.5"/>
    </cacheField>
    <cacheField name="Length" numFmtId="0">
      <sharedItems containsString="0" containsBlank="1" containsNumber="1" minValue="67" maxValue="1439"/>
    </cacheField>
    <cacheField name="Gross Wt _x000a_(kg)" numFmtId="2">
      <sharedItems containsString="0" containsBlank="1" containsNumber="1" minValue="0.71932191619199992" maxValue="352.895121083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n v="1"/>
    <m/>
    <m/>
    <s v="DT34962"/>
    <s v="B"/>
    <s v="MOUNT, J-BOX, ODS"/>
    <n v="5"/>
    <n v="5"/>
    <n v="67.400000000000006"/>
    <n v="30.572640000000003"/>
    <n v="152.86320000000001"/>
    <s v="Assembly"/>
    <m/>
    <x v="0"/>
    <m/>
    <x v="0"/>
    <m/>
    <m/>
    <n v="228.15241569999998"/>
  </r>
  <r>
    <x v="1"/>
    <m/>
    <n v="1.1000000000000001"/>
    <m/>
    <m/>
    <m/>
    <s v="PLATE, 5/16 X 14 5/8 X 56 7/16 [8 X 371 X 1440]"/>
    <n v="1"/>
    <n v="5"/>
    <m/>
    <n v="26.893873920000001"/>
    <n v="134.46936959999999"/>
    <s v="Plate"/>
    <s v="ASTM A36/ Q235"/>
    <x v="1"/>
    <n v="0.3125"/>
    <x v="1"/>
    <n v="372"/>
    <n v="1439"/>
    <n v="184.8953832"/>
  </r>
  <r>
    <x v="1"/>
    <m/>
    <n v="1.2"/>
    <m/>
    <m/>
    <m/>
    <s v="PLATE, 5/16 X 7 X 11 LG [8 X 178 X 279]"/>
    <n v="2"/>
    <n v="10"/>
    <m/>
    <n v="2.4125247999999999"/>
    <n v="24.125247999999999"/>
    <s v="Plate"/>
    <s v="ASTM A36/ Q235"/>
    <x v="1"/>
    <n v="0.3125"/>
    <x v="1"/>
    <n v="171.5"/>
    <n v="280"/>
    <n v="33.172215999999999"/>
  </r>
  <r>
    <x v="1"/>
    <m/>
    <n v="1.3"/>
    <m/>
    <s v="DT34960"/>
    <s v="A"/>
    <s v="SPACER, VALVE COVER _x000a_BAR, 3/4 x 2 x 9 1/2 [12 x 51 x 229]"/>
    <n v="1"/>
    <n v="5"/>
    <n v="3.8"/>
    <n v="1.7236799999999999"/>
    <n v="8.6183999999999994"/>
    <s v="Plate"/>
    <s v="ASTM A514/Q690"/>
    <x v="2"/>
    <n v="0.75"/>
    <x v="2"/>
    <n v="51"/>
    <n v="229"/>
    <n v="10.084816499999999"/>
  </r>
  <r>
    <x v="0"/>
    <n v="2"/>
    <m/>
    <m/>
    <s v="DT34961"/>
    <m/>
    <s v="MOUNT, J-BOX, AUX"/>
    <n v="5"/>
    <n v="5"/>
    <n v="74.099999999999994"/>
    <n v="33.611759999999997"/>
    <n v="168.05879999999999"/>
    <s v="Assembly"/>
    <m/>
    <x v="0"/>
    <m/>
    <x v="0"/>
    <m/>
    <m/>
    <n v="254.00612379999995"/>
  </r>
  <r>
    <x v="2"/>
    <m/>
    <n v="2.1"/>
    <m/>
    <m/>
    <m/>
    <s v="PLATE, 5/16 X15 5/8 X 56 7/16 LG [8 X 397 X 1440]"/>
    <n v="1"/>
    <n v="5"/>
    <m/>
    <n v="28.665110239999997"/>
    <n v="143.32555119999998"/>
    <s v="Plate"/>
    <s v="ASTM A36/ Q235"/>
    <x v="1"/>
    <n v="0.3125"/>
    <x v="1"/>
    <n v="396.5"/>
    <n v="1439"/>
    <n v="197.07263289999997"/>
  </r>
  <r>
    <x v="2"/>
    <m/>
    <n v="2.2000000000000002"/>
    <m/>
    <m/>
    <m/>
    <s v="PLATE, 5/16 X 7 X 15 LG [8 X 178 X 381]"/>
    <n v="2"/>
    <n v="10"/>
    <m/>
    <n v="3.40717632"/>
    <n v="34.071763199999999"/>
    <s v="Plate"/>
    <s v="ASTM A36/ Q235"/>
    <x v="1"/>
    <n v="0.3125"/>
    <x v="1"/>
    <n v="178"/>
    <n v="381"/>
    <n v="46.8486744"/>
  </r>
  <r>
    <x v="2"/>
    <m/>
    <n v="2.2999999999999998"/>
    <m/>
    <s v="DT34960"/>
    <s v="A"/>
    <s v="SPACER, VALVE COVER _x000a_BAR, 3/4 x 2 x 9 1/2 [12 x 51 x 229]"/>
    <n v="1"/>
    <n v="5"/>
    <n v="3.8"/>
    <n v="1.7236799999999999"/>
    <n v="8.6183999999999994"/>
    <s v="Plate"/>
    <s v="ASTM A514/Q690"/>
    <x v="2"/>
    <n v="0.75"/>
    <x v="2"/>
    <n v="51"/>
    <n v="229"/>
    <n v="10.084816499999999"/>
  </r>
  <r>
    <x v="0"/>
    <n v="3"/>
    <m/>
    <m/>
    <s v="DT14062"/>
    <m/>
    <s v="MOUNT, CYL, LINK TILT, 500T"/>
    <n v="5"/>
    <n v="5"/>
    <n v="99.6"/>
    <n v="45.178559999999997"/>
    <n v="225.89279999999999"/>
    <s v="Assembly"/>
    <m/>
    <x v="0"/>
    <m/>
    <x v="0"/>
    <m/>
    <m/>
    <n v="352.89512108399998"/>
  </r>
  <r>
    <x v="3"/>
    <m/>
    <n v="3.1"/>
    <m/>
    <m/>
    <m/>
    <s v="PLATE .75 X 15.50 X 17.50 LG [19 X 394 X 445]"/>
    <n v="1"/>
    <n v="5"/>
    <n v="49.676157501599995"/>
    <n v="22.82"/>
    <n v="114.1"/>
    <s v="Plate"/>
    <s v="ASTM A36/ Q235"/>
    <x v="1"/>
    <n v="0.75"/>
    <x v="2"/>
    <n v="394"/>
    <n v="445"/>
    <n v="151.39745500000001"/>
  </r>
  <r>
    <x v="3"/>
    <m/>
    <n v="3.2"/>
    <m/>
    <m/>
    <m/>
    <s v="PLATE .75 X 8 X 11.50 LG [19 X 203 X 292]"/>
    <n v="2"/>
    <n v="10"/>
    <m/>
    <n v="6.5230837279999987"/>
    <n v="65.230837279999989"/>
    <s v="Plate"/>
    <s v="ASTM A36/ Q235"/>
    <x v="1"/>
    <n v="0.75"/>
    <x v="2"/>
    <n v="203.2"/>
    <n v="292.09999999999997"/>
    <n v="102.50560143999999"/>
  </r>
  <r>
    <x v="3"/>
    <m/>
    <n v="3.3"/>
    <m/>
    <s v="DT14059"/>
    <n v="0"/>
    <s v="CYLINDER SUPPORT SHAFT"/>
    <n v="1"/>
    <n v="5"/>
    <n v="30"/>
    <n v="13.608000000000001"/>
    <n v="68.040000000000006"/>
    <s v="Rod/Job Work"/>
    <s v="AISI 4140 HTSR"/>
    <x v="3"/>
    <s v="Dia 2.5"/>
    <x v="3"/>
    <m/>
    <n v="679.44999999999993"/>
    <n v="97.405000000000001"/>
  </r>
  <r>
    <x v="3"/>
    <m/>
    <n v="3.4"/>
    <m/>
    <m/>
    <m/>
    <s v="PLATE .25 X 2.38 X 4.00 LG [6 X 60 X 102]"/>
    <n v="1"/>
    <n v="5"/>
    <m/>
    <n v="0.20199004559999992"/>
    <n v="1.0099502279999997"/>
    <s v="Plate"/>
    <s v="ASTM A36/ Q235"/>
    <x v="1"/>
    <n v="0.25"/>
    <x v="4"/>
    <n v="60.3"/>
    <n v="101.6"/>
    <n v="1.5870646439999996"/>
  </r>
  <r>
    <x v="0"/>
    <n v="4"/>
    <m/>
    <m/>
    <s v="DT14077"/>
    <s v="B"/>
    <s v="MOUNT, CYL, LINK TILT"/>
    <n v="2"/>
    <n v="2"/>
    <n v="105"/>
    <n v="47.628"/>
    <n v="95.256"/>
    <s v="Assembly"/>
    <m/>
    <x v="0"/>
    <m/>
    <x v="0"/>
    <m/>
    <m/>
    <n v="147.11846773219199"/>
  </r>
  <r>
    <x v="4"/>
    <m/>
    <n v="4.0999999999999996"/>
    <m/>
    <m/>
    <m/>
    <s v="PLATE, 3/4, 15.50 x 19.50 LG."/>
    <n v="1"/>
    <n v="2"/>
    <n v="52.216124412151984"/>
    <n v="25.15"/>
    <n v="50.3"/>
    <s v="Plate"/>
    <s v="ASTM A36"/>
    <x v="1"/>
    <n v="0.75"/>
    <x v="2"/>
    <n v="393.7"/>
    <n v="495.29999999999995"/>
    <n v="67.352865293999997"/>
  </r>
  <r>
    <x v="4"/>
    <m/>
    <n v="4.2"/>
    <m/>
    <m/>
    <m/>
    <s v="PLATE, 3/4, 7.25 x 11.50 LG"/>
    <n v="2"/>
    <n v="4"/>
    <m/>
    <n v="5.911544628499998"/>
    <n v="23.646178513999992"/>
    <s v="Plate"/>
    <s v="ASTM A36"/>
    <x v="1"/>
    <n v="0.75"/>
    <x v="2"/>
    <n v="184.14999999999998"/>
    <n v="292.09999999999997"/>
    <n v="37.158280521999991"/>
  </r>
  <r>
    <x v="4"/>
    <m/>
    <n v="4.3"/>
    <m/>
    <s v="DT14078"/>
    <m/>
    <s v="CYLINDER SUPPORT SHAFT"/>
    <n v="1"/>
    <n v="2"/>
    <n v="33.1"/>
    <n v="15.01416"/>
    <n v="30.028320000000001"/>
    <s v="Rod/Job Work"/>
    <s v="AISI 4140 HTSR"/>
    <x v="3"/>
    <s v="Dia 2.5"/>
    <x v="3"/>
    <m/>
    <n v="731"/>
    <n v="41.887999999999998"/>
  </r>
  <r>
    <x v="4"/>
    <m/>
    <n v="4.4000000000000004"/>
    <m/>
    <m/>
    <m/>
    <s v="PLATE, 1/4, 2.69 X 4.00 LG"/>
    <n v="1"/>
    <n v="2"/>
    <m/>
    <n v="0.22887515515199994"/>
    <n v="0.45775031030399987"/>
    <s v="Plate"/>
    <s v="ASTM A36"/>
    <x v="1"/>
    <n v="0.25"/>
    <x v="4"/>
    <n v="68.325999999999993"/>
    <n v="101.6"/>
    <n v="0.71932191619199992"/>
  </r>
  <r>
    <x v="0"/>
    <n v="5"/>
    <m/>
    <m/>
    <s v="DT14647"/>
    <s v="G"/>
    <s v="FRAME, WELDED, MACHINING, BUW"/>
    <n v="1"/>
    <n v="1"/>
    <n v="260.7"/>
    <n v="118.25351999999999"/>
    <n v="118.25351999999999"/>
    <s v="Assembly"/>
    <m/>
    <x v="0"/>
    <m/>
    <x v="0"/>
    <m/>
    <m/>
    <n v="150.84380602499999"/>
  </r>
  <r>
    <x v="0"/>
    <m/>
    <n v="5.0999999999999996"/>
    <m/>
    <s v="DT14647-1"/>
    <s v="D"/>
    <s v="FRAME, WELDED, FAB, BUW"/>
    <n v="1"/>
    <n v="1"/>
    <n v="260.7"/>
    <n v="118.25351999999999"/>
    <n v="118.25351999999999"/>
    <s v="Weldmet Drg."/>
    <m/>
    <x v="0"/>
    <m/>
    <x v="0"/>
    <m/>
    <m/>
    <m/>
  </r>
  <r>
    <x v="5"/>
    <m/>
    <m/>
    <s v="5.1.1"/>
    <m/>
    <m/>
    <s v="PLATE 1 1/4 X 10 5/8 X 26 5/8 LG [32 X 270 X 676]"/>
    <n v="2"/>
    <n v="2"/>
    <m/>
    <n v="43.556572799999991"/>
    <n v="87.113145599999982"/>
    <s v="Plate"/>
    <s v="ASTM A514 GR B"/>
    <x v="4"/>
    <n v="1.25"/>
    <x v="5"/>
    <n v="270"/>
    <n v="676"/>
    <n v="100.86785279999999"/>
  </r>
  <r>
    <x v="5"/>
    <m/>
    <m/>
    <s v="5.1.2"/>
    <m/>
    <m/>
    <s v="PLATE 1 X 9 9/16 X 5 1/8 LG [25 X 243 X 130]"/>
    <n v="2"/>
    <n v="2"/>
    <m/>
    <n v="4.6496531250000004"/>
    <n v="9.2993062500000008"/>
    <s v="Plate"/>
    <s v="ASTM A514 GR B"/>
    <x v="4"/>
    <n v="1"/>
    <x v="6"/>
    <n v="130"/>
    <n v="243"/>
    <n v="13.638982500000001"/>
  </r>
  <r>
    <x v="5"/>
    <m/>
    <m/>
    <s v="5.1.3"/>
    <m/>
    <m/>
    <s v="PLATE 1 X 2 7/8 X 9 9/16 LG [25 X 243 X 73]"/>
    <n v="1"/>
    <n v="1"/>
    <m/>
    <n v="3.1331508749999997"/>
    <n v="3.1331508749999997"/>
    <s v="Plate"/>
    <s v="ASTM A514 GR B"/>
    <x v="4"/>
    <n v="1"/>
    <x v="6"/>
    <n v="73"/>
    <n v="243"/>
    <n v="3.8294066249999998"/>
  </r>
  <r>
    <x v="5"/>
    <m/>
    <m/>
    <s v="5.1.4"/>
    <m/>
    <m/>
    <s v="PLATE 1 X 9 9/16 X 6 7/16 LG [25 X 243 X 164]"/>
    <n v="1"/>
    <n v="1"/>
    <m/>
    <n v="5.474668499999999"/>
    <n v="5.474668499999999"/>
    <s v="Plate"/>
    <s v="ASTM A514 GR B"/>
    <x v="4"/>
    <n v="1"/>
    <x v="6"/>
    <n v="164"/>
    <n v="243"/>
    <n v="8.6030505000000002"/>
  </r>
  <r>
    <x v="5"/>
    <m/>
    <m/>
    <s v="5.1.5"/>
    <m/>
    <m/>
    <s v="PLATE 1 1/4 X 9 5/16 X 12 LG [32 X 236 X 305]"/>
    <n v="1"/>
    <n v="1"/>
    <m/>
    <n v="18.081375999999999"/>
    <n v="18.081375999999999"/>
    <s v="Plate"/>
    <s v="ASTM A514 GR B"/>
    <x v="4"/>
    <n v="1.25"/>
    <x v="5"/>
    <n v="236"/>
    <n v="305"/>
    <n v="19.889513600000001"/>
  </r>
  <r>
    <x v="5"/>
    <m/>
    <n v="5.2"/>
    <m/>
    <m/>
    <m/>
    <s v="BAR, ROUND, 3-1/2 O.D. x 2-5/8 LG [67]"/>
    <n v="1"/>
    <n v="1"/>
    <m/>
    <n v="3.3"/>
    <n v="3.3"/>
    <s v="ROD /Plate"/>
    <s v="AISI 4130"/>
    <x v="5"/>
    <m/>
    <x v="7"/>
    <m/>
    <n v="67"/>
    <n v="4.015000000000000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99652C-EE4F-4838-AB44-F1855EC803F5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5:N41" firstHeaderRow="1" firstDataRow="3" firstDataCol="1" rowPageCount="1" colPageCount="1"/>
  <pivotFields count="20">
    <pivotField axis="axisPage" multipleItemSelectionAllowed="1" showAll="0">
      <items count="7">
        <item h="1" x="3"/>
        <item x="4"/>
        <item h="1" x="5"/>
        <item h="1" x="2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h="1" x="7"/>
        <item t="default"/>
      </items>
    </pivotField>
    <pivotField showAll="0"/>
    <pivotField showAll="0"/>
    <pivotField dataField="1" showAll="0"/>
  </pivotFields>
  <rowFields count="1">
    <field x="16"/>
  </rowFields>
  <rowItems count="4">
    <i>
      <x/>
    </i>
    <i>
      <x v="2"/>
    </i>
    <i>
      <x v="6"/>
    </i>
    <i t="grand">
      <x/>
    </i>
  </rowItems>
  <colFields count="2">
    <field x="14"/>
    <field x="-2"/>
  </colFields>
  <colItems count="6">
    <i>
      <x v="1"/>
      <x/>
    </i>
    <i r="1" i="1">
      <x v="1"/>
    </i>
    <i>
      <x v="4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76">
      <pivotArea collapsedLevelsAreSubtotals="1" fieldPosition="0">
        <references count="1">
          <reference field="16" count="1">
            <x v="0"/>
          </reference>
        </references>
      </pivotArea>
    </format>
    <format dxfId="75">
      <pivotArea type="origin" dataOnly="0" labelOnly="1" outline="0" fieldPosition="0"/>
    </format>
    <format dxfId="74">
      <pivotArea field="14" type="button" dataOnly="0" labelOnly="1" outline="0" axis="axisCol" fieldPosition="0"/>
    </format>
    <format dxfId="73">
      <pivotArea field="-2" type="button" dataOnly="0" labelOnly="1" outline="0" axis="axisCol" fieldPosition="1"/>
    </format>
    <format dxfId="72">
      <pivotArea type="topRight" dataOnly="0" labelOnly="1" outline="0" fieldPosition="0"/>
    </format>
    <format dxfId="71">
      <pivotArea field="16" type="button" dataOnly="0" labelOnly="1" outline="0" axis="axisRow" fieldPosition="0"/>
    </format>
    <format dxfId="70">
      <pivotArea dataOnly="0" labelOnly="1" fieldPosition="0">
        <references count="1">
          <reference field="16" count="1">
            <x v="0"/>
          </reference>
        </references>
      </pivotArea>
    </format>
    <format dxfId="69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68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67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6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6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6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6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6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61">
      <pivotArea collapsedLevelsAreSubtotals="1" fieldPosition="0">
        <references count="1">
          <reference field="16" count="0"/>
        </references>
      </pivotArea>
    </format>
    <format dxfId="60">
      <pivotArea grandRow="1" outline="0" collapsedLevelsAreSubtotals="1" fieldPosition="0"/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type="origin" dataOnly="0" labelOnly="1" outline="0" fieldPosition="0"/>
    </format>
    <format dxfId="56">
      <pivotArea field="14" type="button" dataOnly="0" labelOnly="1" outline="0" axis="axisCol" fieldPosition="0"/>
    </format>
    <format dxfId="55">
      <pivotArea field="-2" type="button" dataOnly="0" labelOnly="1" outline="0" axis="axisCol" fieldPosition="1"/>
    </format>
    <format dxfId="54">
      <pivotArea type="topRight" dataOnly="0" labelOnly="1" outline="0" fieldPosition="0"/>
    </format>
    <format dxfId="53">
      <pivotArea field="16" type="button" dataOnly="0" labelOnly="1" outline="0" axis="axisRow" fieldPosition="0"/>
    </format>
    <format dxfId="52">
      <pivotArea dataOnly="0" labelOnly="1" fieldPosition="0">
        <references count="1">
          <reference field="16" count="0"/>
        </references>
      </pivotArea>
    </format>
    <format dxfId="51">
      <pivotArea dataOnly="0" labelOnly="1" grandRow="1" outline="0" fieldPosition="0"/>
    </format>
    <format dxfId="50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49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8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4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4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4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4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42">
      <pivotArea type="all" dataOnly="0" outline="0" fieldPosition="0"/>
    </format>
    <format dxfId="41">
      <pivotArea outline="0" collapsedLevelsAreSubtotals="1" fieldPosition="0"/>
    </format>
    <format dxfId="40">
      <pivotArea type="origin" dataOnly="0" labelOnly="1" outline="0" fieldPosition="0"/>
    </format>
    <format dxfId="39">
      <pivotArea field="14" type="button" dataOnly="0" labelOnly="1" outline="0" axis="axisCol" fieldPosition="0"/>
    </format>
    <format dxfId="38">
      <pivotArea field="-2" type="button" dataOnly="0" labelOnly="1" outline="0" axis="axisCol" fieldPosition="1"/>
    </format>
    <format dxfId="37">
      <pivotArea type="topRight" dataOnly="0" labelOnly="1" outline="0" fieldPosition="0"/>
    </format>
    <format dxfId="36">
      <pivotArea field="16" type="button" dataOnly="0" labelOnly="1" outline="0" axis="axisRow" fieldPosition="0"/>
    </format>
    <format dxfId="35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34">
      <pivotArea dataOnly="0" labelOnly="1" grandRow="1" outline="0" fieldPosition="0"/>
    </format>
    <format dxfId="33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2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1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type="origin" dataOnly="0" labelOnly="1" outline="0" fieldPosition="0"/>
    </format>
    <format dxfId="25">
      <pivotArea field="14" type="button" dataOnly="0" labelOnly="1" outline="0" axis="axisCol" fieldPosition="0"/>
    </format>
    <format dxfId="24">
      <pivotArea field="-2" type="button" dataOnly="0" labelOnly="1" outline="0" axis="axisCol" fieldPosition="1"/>
    </format>
    <format dxfId="23">
      <pivotArea type="topRight" dataOnly="0" labelOnly="1" outline="0" fieldPosition="0"/>
    </format>
    <format dxfId="22">
      <pivotArea field="16" type="button" dataOnly="0" labelOnly="1" outline="0" axis="axisRow" fieldPosition="0"/>
    </format>
    <format dxfId="21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20">
      <pivotArea dataOnly="0" labelOnly="1" grandRow="1" outline="0" fieldPosition="0"/>
    </format>
    <format dxfId="19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18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7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4">
      <pivotArea type="all" dataOnly="0" outline="0" fieldPosition="0"/>
    </format>
    <format dxfId="13">
      <pivotArea outline="0" collapsedLevelsAreSubtotals="1" fieldPosition="0"/>
    </format>
    <format dxfId="12">
      <pivotArea type="origin" dataOnly="0" labelOnly="1" outline="0" fieldPosition="0"/>
    </format>
    <format dxfId="11">
      <pivotArea field="14" type="button" dataOnly="0" labelOnly="1" outline="0" axis="axisCol" fieldPosition="0"/>
    </format>
    <format dxfId="10">
      <pivotArea field="-2" type="button" dataOnly="0" labelOnly="1" outline="0" axis="axisCol" fieldPosition="1"/>
    </format>
    <format dxfId="9">
      <pivotArea type="topRight" dataOnly="0" labelOnly="1" outline="0" fieldPosition="0"/>
    </format>
    <format dxfId="8">
      <pivotArea field="16" type="button" dataOnly="0" labelOnly="1" outline="0" axis="axisRow" fieldPosition="0"/>
    </format>
    <format dxfId="7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6">
      <pivotArea dataOnly="0" labelOnly="1" grandRow="1" outline="0" fieldPosition="0"/>
    </format>
    <format dxfId="5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4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A24FCA-701A-4991-89AF-BC814C5C7E3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65:T75" firstHeaderRow="1" firstDataRow="3" firstDataCol="1" rowPageCount="1" colPageCount="1"/>
  <pivotFields count="20">
    <pivotField axis="axisPage" multipleItemSelectionAllowed="1" showAll="0">
      <items count="7">
        <item x="3"/>
        <item x="4"/>
        <item x="5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x="7"/>
        <item t="default"/>
      </items>
    </pivotField>
    <pivotField showAll="0"/>
    <pivotField showAll="0"/>
    <pivotField dataField="1" showAll="0"/>
  </pivotFields>
  <rowFields count="1">
    <field x="16"/>
  </rowFields>
  <rowItems count="8">
    <i>
      <x/>
    </i>
    <i>
      <x v="1"/>
    </i>
    <i>
      <x v="2"/>
    </i>
    <i>
      <x v="3"/>
    </i>
    <i>
      <x v="4"/>
    </i>
    <i>
      <x v="6"/>
    </i>
    <i>
      <x v="8"/>
    </i>
    <i t="grand">
      <x/>
    </i>
  </rowItems>
  <colFields count="2">
    <field x="14"/>
    <field x="-2"/>
  </colFields>
  <colItems count="12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152">
      <pivotArea collapsedLevelsAreSubtotals="1" fieldPosition="0">
        <references count="1">
          <reference field="16" count="1">
            <x v="0"/>
          </reference>
        </references>
      </pivotArea>
    </format>
    <format dxfId="151">
      <pivotArea type="origin" dataOnly="0" labelOnly="1" outline="0" fieldPosition="0"/>
    </format>
    <format dxfId="150">
      <pivotArea field="14" type="button" dataOnly="0" labelOnly="1" outline="0" axis="axisCol" fieldPosition="0"/>
    </format>
    <format dxfId="149">
      <pivotArea field="-2" type="button" dataOnly="0" labelOnly="1" outline="0" axis="axisCol" fieldPosition="1"/>
    </format>
    <format dxfId="148">
      <pivotArea type="topRight" dataOnly="0" labelOnly="1" outline="0" fieldPosition="0"/>
    </format>
    <format dxfId="147">
      <pivotArea field="16" type="button" dataOnly="0" labelOnly="1" outline="0" axis="axisRow" fieldPosition="0"/>
    </format>
    <format dxfId="146">
      <pivotArea dataOnly="0" labelOnly="1" fieldPosition="0">
        <references count="1">
          <reference field="16" count="1">
            <x v="0"/>
          </reference>
        </references>
      </pivotArea>
    </format>
    <format dxfId="145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144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43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4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14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14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13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3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37">
      <pivotArea collapsedLevelsAreSubtotals="1" fieldPosition="0">
        <references count="1">
          <reference field="16" count="0"/>
        </references>
      </pivotArea>
    </format>
    <format dxfId="136">
      <pivotArea grandRow="1" outline="0" collapsedLevelsAreSubtotals="1" fieldPosition="0"/>
    </format>
    <format dxfId="135">
      <pivotArea type="all" dataOnly="0" outline="0" fieldPosition="0"/>
    </format>
    <format dxfId="134">
      <pivotArea outline="0" collapsedLevelsAreSubtotals="1" fieldPosition="0"/>
    </format>
    <format dxfId="133">
      <pivotArea type="origin" dataOnly="0" labelOnly="1" outline="0" fieldPosition="0"/>
    </format>
    <format dxfId="132">
      <pivotArea field="14" type="button" dataOnly="0" labelOnly="1" outline="0" axis="axisCol" fieldPosition="0"/>
    </format>
    <format dxfId="131">
      <pivotArea field="-2" type="button" dataOnly="0" labelOnly="1" outline="0" axis="axisCol" fieldPosition="1"/>
    </format>
    <format dxfId="130">
      <pivotArea type="topRight" dataOnly="0" labelOnly="1" outline="0" fieldPosition="0"/>
    </format>
    <format dxfId="129">
      <pivotArea field="16" type="button" dataOnly="0" labelOnly="1" outline="0" axis="axisRow" fieldPosition="0"/>
    </format>
    <format dxfId="128">
      <pivotArea dataOnly="0" labelOnly="1" fieldPosition="0">
        <references count="1">
          <reference field="16" count="0"/>
        </references>
      </pivotArea>
    </format>
    <format dxfId="127">
      <pivotArea dataOnly="0" labelOnly="1" grandRow="1" outline="0" fieldPosition="0"/>
    </format>
    <format dxfId="126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125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24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2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12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12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12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1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18">
      <pivotArea type="all" dataOnly="0" outline="0" fieldPosition="0"/>
    </format>
    <format dxfId="117">
      <pivotArea outline="0" collapsedLevelsAreSubtotals="1" fieldPosition="0"/>
    </format>
    <format dxfId="116">
      <pivotArea type="origin" dataOnly="0" labelOnly="1" outline="0" fieldPosition="0"/>
    </format>
    <format dxfId="115">
      <pivotArea field="14" type="button" dataOnly="0" labelOnly="1" outline="0" axis="axisCol" fieldPosition="0"/>
    </format>
    <format dxfId="114">
      <pivotArea field="-2" type="button" dataOnly="0" labelOnly="1" outline="0" axis="axisCol" fieldPosition="1"/>
    </format>
    <format dxfId="113">
      <pivotArea type="topRight" dataOnly="0" labelOnly="1" outline="0" fieldPosition="0"/>
    </format>
    <format dxfId="112">
      <pivotArea field="16" type="button" dataOnly="0" labelOnly="1" outline="0" axis="axisRow" fieldPosition="0"/>
    </format>
    <format dxfId="111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110">
      <pivotArea dataOnly="0" labelOnly="1" grandRow="1" outline="0" fieldPosition="0"/>
    </format>
    <format dxfId="109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108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07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0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0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04">
      <pivotArea type="all" dataOnly="0" outline="0" fieldPosition="0"/>
    </format>
    <format dxfId="103">
      <pivotArea outline="0" collapsedLevelsAreSubtotals="1" fieldPosition="0"/>
    </format>
    <format dxfId="102">
      <pivotArea type="origin" dataOnly="0" labelOnly="1" outline="0" fieldPosition="0"/>
    </format>
    <format dxfId="101">
      <pivotArea field="14" type="button" dataOnly="0" labelOnly="1" outline="0" axis="axisCol" fieldPosition="0"/>
    </format>
    <format dxfId="100">
      <pivotArea field="-2" type="button" dataOnly="0" labelOnly="1" outline="0" axis="axisCol" fieldPosition="1"/>
    </format>
    <format dxfId="99">
      <pivotArea type="topRight" dataOnly="0" labelOnly="1" outline="0" fieldPosition="0"/>
    </format>
    <format dxfId="98">
      <pivotArea field="16" type="button" dataOnly="0" labelOnly="1" outline="0" axis="axisRow" fieldPosition="0"/>
    </format>
    <format dxfId="97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96">
      <pivotArea dataOnly="0" labelOnly="1" grandRow="1" outline="0" fieldPosition="0"/>
    </format>
    <format dxfId="95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94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93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9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9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90">
      <pivotArea type="all" dataOnly="0" outline="0" fieldPosition="0"/>
    </format>
    <format dxfId="89">
      <pivotArea outline="0" collapsedLevelsAreSubtotals="1" fieldPosition="0"/>
    </format>
    <format dxfId="88">
      <pivotArea type="origin" dataOnly="0" labelOnly="1" outline="0" fieldPosition="0"/>
    </format>
    <format dxfId="87">
      <pivotArea field="14" type="button" dataOnly="0" labelOnly="1" outline="0" axis="axisCol" fieldPosition="0"/>
    </format>
    <format dxfId="86">
      <pivotArea field="-2" type="button" dataOnly="0" labelOnly="1" outline="0" axis="axisCol" fieldPosition="1"/>
    </format>
    <format dxfId="85">
      <pivotArea type="topRight" dataOnly="0" labelOnly="1" outline="0" fieldPosition="0"/>
    </format>
    <format dxfId="84">
      <pivotArea field="16" type="button" dataOnly="0" labelOnly="1" outline="0" axis="axisRow" fieldPosition="0"/>
    </format>
    <format dxfId="83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82">
      <pivotArea dataOnly="0" labelOnly="1" grandRow="1" outline="0" fieldPosition="0"/>
    </format>
    <format dxfId="81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80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79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7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7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994317-A985-4632-9337-805B80443A8A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3:N29" firstHeaderRow="1" firstDataRow="3" firstDataCol="1" rowPageCount="1" colPageCount="1"/>
  <pivotFields count="20">
    <pivotField axis="axisPage" multipleItemSelectionAllowed="1" showAll="0">
      <items count="7">
        <item x="3"/>
        <item h="1" x="4"/>
        <item h="1" x="5"/>
        <item h="1" x="2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h="1" x="7"/>
        <item t="default"/>
      </items>
    </pivotField>
    <pivotField showAll="0"/>
    <pivotField showAll="0"/>
    <pivotField dataField="1" showAll="0"/>
  </pivotFields>
  <rowFields count="1">
    <field x="16"/>
  </rowFields>
  <rowItems count="4">
    <i>
      <x/>
    </i>
    <i>
      <x v="2"/>
    </i>
    <i>
      <x v="6"/>
    </i>
    <i t="grand">
      <x/>
    </i>
  </rowItems>
  <colFields count="2">
    <field x="14"/>
    <field x="-2"/>
  </colFields>
  <colItems count="6">
    <i>
      <x v="1"/>
      <x/>
    </i>
    <i r="1" i="1">
      <x v="1"/>
    </i>
    <i>
      <x v="4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228">
      <pivotArea collapsedLevelsAreSubtotals="1" fieldPosition="0">
        <references count="1">
          <reference field="16" count="1">
            <x v="0"/>
          </reference>
        </references>
      </pivotArea>
    </format>
    <format dxfId="227">
      <pivotArea type="origin" dataOnly="0" labelOnly="1" outline="0" fieldPosition="0"/>
    </format>
    <format dxfId="226">
      <pivotArea field="14" type="button" dataOnly="0" labelOnly="1" outline="0" axis="axisCol" fieldPosition="0"/>
    </format>
    <format dxfId="225">
      <pivotArea field="-2" type="button" dataOnly="0" labelOnly="1" outline="0" axis="axisCol" fieldPosition="1"/>
    </format>
    <format dxfId="224">
      <pivotArea type="topRight" dataOnly="0" labelOnly="1" outline="0" fieldPosition="0"/>
    </format>
    <format dxfId="223">
      <pivotArea field="16" type="button" dataOnly="0" labelOnly="1" outline="0" axis="axisRow" fieldPosition="0"/>
    </format>
    <format dxfId="222">
      <pivotArea dataOnly="0" labelOnly="1" fieldPosition="0">
        <references count="1">
          <reference field="16" count="1">
            <x v="0"/>
          </reference>
        </references>
      </pivotArea>
    </format>
    <format dxfId="221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220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19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1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21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21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21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1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13">
      <pivotArea collapsedLevelsAreSubtotals="1" fieldPosition="0">
        <references count="1">
          <reference field="16" count="0"/>
        </references>
      </pivotArea>
    </format>
    <format dxfId="212">
      <pivotArea grandRow="1" outline="0" collapsedLevelsAreSubtotals="1" fieldPosition="0"/>
    </format>
    <format dxfId="211">
      <pivotArea type="all" dataOnly="0" outline="0" fieldPosition="0"/>
    </format>
    <format dxfId="210">
      <pivotArea outline="0" collapsedLevelsAreSubtotals="1" fieldPosition="0"/>
    </format>
    <format dxfId="209">
      <pivotArea type="origin" dataOnly="0" labelOnly="1" outline="0" fieldPosition="0"/>
    </format>
    <format dxfId="208">
      <pivotArea field="14" type="button" dataOnly="0" labelOnly="1" outline="0" axis="axisCol" fieldPosition="0"/>
    </format>
    <format dxfId="207">
      <pivotArea field="-2" type="button" dataOnly="0" labelOnly="1" outline="0" axis="axisCol" fieldPosition="1"/>
    </format>
    <format dxfId="206">
      <pivotArea type="topRight" dataOnly="0" labelOnly="1" outline="0" fieldPosition="0"/>
    </format>
    <format dxfId="205">
      <pivotArea field="16" type="button" dataOnly="0" labelOnly="1" outline="0" axis="axisRow" fieldPosition="0"/>
    </format>
    <format dxfId="204">
      <pivotArea dataOnly="0" labelOnly="1" fieldPosition="0">
        <references count="1">
          <reference field="16" count="0"/>
        </references>
      </pivotArea>
    </format>
    <format dxfId="203">
      <pivotArea dataOnly="0" labelOnly="1" grandRow="1" outline="0" fieldPosition="0"/>
    </format>
    <format dxfId="202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201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00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9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19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19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19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9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94">
      <pivotArea type="all" dataOnly="0" outline="0" fieldPosition="0"/>
    </format>
    <format dxfId="193">
      <pivotArea outline="0" collapsedLevelsAreSubtotals="1" fieldPosition="0"/>
    </format>
    <format dxfId="192">
      <pivotArea type="origin" dataOnly="0" labelOnly="1" outline="0" fieldPosition="0"/>
    </format>
    <format dxfId="191">
      <pivotArea field="14" type="button" dataOnly="0" labelOnly="1" outline="0" axis="axisCol" fieldPosition="0"/>
    </format>
    <format dxfId="190">
      <pivotArea field="-2" type="button" dataOnly="0" labelOnly="1" outline="0" axis="axisCol" fieldPosition="1"/>
    </format>
    <format dxfId="189">
      <pivotArea type="topRight" dataOnly="0" labelOnly="1" outline="0" fieldPosition="0"/>
    </format>
    <format dxfId="188">
      <pivotArea field="16" type="button" dataOnly="0" labelOnly="1" outline="0" axis="axisRow" fieldPosition="0"/>
    </format>
    <format dxfId="187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186">
      <pivotArea dataOnly="0" labelOnly="1" grandRow="1" outline="0" fieldPosition="0"/>
    </format>
    <format dxfId="185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184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83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8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8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80">
      <pivotArea type="all" dataOnly="0" outline="0" fieldPosition="0"/>
    </format>
    <format dxfId="179">
      <pivotArea outline="0" collapsedLevelsAreSubtotals="1" fieldPosition="0"/>
    </format>
    <format dxfId="178">
      <pivotArea type="origin" dataOnly="0" labelOnly="1" outline="0" fieldPosition="0"/>
    </format>
    <format dxfId="177">
      <pivotArea field="14" type="button" dataOnly="0" labelOnly="1" outline="0" axis="axisCol" fieldPosition="0"/>
    </format>
    <format dxfId="176">
      <pivotArea field="-2" type="button" dataOnly="0" labelOnly="1" outline="0" axis="axisCol" fieldPosition="1"/>
    </format>
    <format dxfId="175">
      <pivotArea type="topRight" dataOnly="0" labelOnly="1" outline="0" fieldPosition="0"/>
    </format>
    <format dxfId="174">
      <pivotArea field="16" type="button" dataOnly="0" labelOnly="1" outline="0" axis="axisRow" fieldPosition="0"/>
    </format>
    <format dxfId="173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172">
      <pivotArea dataOnly="0" labelOnly="1" grandRow="1" outline="0" fieldPosition="0"/>
    </format>
    <format dxfId="171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170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69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6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6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66">
      <pivotArea type="all" dataOnly="0" outline="0" fieldPosition="0"/>
    </format>
    <format dxfId="165">
      <pivotArea outline="0" collapsedLevelsAreSubtotals="1" fieldPosition="0"/>
    </format>
    <format dxfId="164">
      <pivotArea type="origin" dataOnly="0" labelOnly="1" outline="0" fieldPosition="0"/>
    </format>
    <format dxfId="163">
      <pivotArea field="14" type="button" dataOnly="0" labelOnly="1" outline="0" axis="axisCol" fieldPosition="0"/>
    </format>
    <format dxfId="162">
      <pivotArea field="-2" type="button" dataOnly="0" labelOnly="1" outline="0" axis="axisCol" fieldPosition="1"/>
    </format>
    <format dxfId="161">
      <pivotArea type="topRight" dataOnly="0" labelOnly="1" outline="0" fieldPosition="0"/>
    </format>
    <format dxfId="160">
      <pivotArea field="16" type="button" dataOnly="0" labelOnly="1" outline="0" axis="axisRow" fieldPosition="0"/>
    </format>
    <format dxfId="159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158">
      <pivotArea dataOnly="0" labelOnly="1" grandRow="1" outline="0" fieldPosition="0"/>
    </format>
    <format dxfId="157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156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55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5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5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DEED9C-E296-4DBD-B1C1-F702914EC9A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3:N18" firstHeaderRow="1" firstDataRow="3" firstDataCol="1" rowPageCount="1" colPageCount="1"/>
  <pivotFields count="20">
    <pivotField axis="axisPage" multipleItemSelectionAllowed="1" showAll="0">
      <items count="7">
        <item h="1" x="3"/>
        <item h="1" x="4"/>
        <item h="1" x="5"/>
        <item x="2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h="1" x="7"/>
        <item t="default"/>
      </items>
    </pivotField>
    <pivotField showAll="0"/>
    <pivotField showAll="0"/>
    <pivotField dataField="1" showAll="0"/>
  </pivotFields>
  <rowFields count="1">
    <field x="16"/>
  </rowFields>
  <rowItems count="3">
    <i>
      <x v="1"/>
    </i>
    <i>
      <x v="2"/>
    </i>
    <i t="grand">
      <x/>
    </i>
  </rowItems>
  <colFields count="2">
    <field x="14"/>
    <field x="-2"/>
  </colFields>
  <colItems count="6"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304">
      <pivotArea collapsedLevelsAreSubtotals="1" fieldPosition="0">
        <references count="1">
          <reference field="16" count="1">
            <x v="0"/>
          </reference>
        </references>
      </pivotArea>
    </format>
    <format dxfId="303">
      <pivotArea type="origin" dataOnly="0" labelOnly="1" outline="0" fieldPosition="0"/>
    </format>
    <format dxfId="302">
      <pivotArea field="14" type="button" dataOnly="0" labelOnly="1" outline="0" axis="axisCol" fieldPosition="0"/>
    </format>
    <format dxfId="301">
      <pivotArea field="-2" type="button" dataOnly="0" labelOnly="1" outline="0" axis="axisCol" fieldPosition="1"/>
    </format>
    <format dxfId="300">
      <pivotArea type="topRight" dataOnly="0" labelOnly="1" outline="0" fieldPosition="0"/>
    </format>
    <format dxfId="299">
      <pivotArea field="16" type="button" dataOnly="0" labelOnly="1" outline="0" axis="axisRow" fieldPosition="0"/>
    </format>
    <format dxfId="298">
      <pivotArea dataOnly="0" labelOnly="1" fieldPosition="0">
        <references count="1">
          <reference field="16" count="1">
            <x v="0"/>
          </reference>
        </references>
      </pivotArea>
    </format>
    <format dxfId="297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296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95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9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29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29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29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9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89">
      <pivotArea collapsedLevelsAreSubtotals="1" fieldPosition="0">
        <references count="1">
          <reference field="16" count="0"/>
        </references>
      </pivotArea>
    </format>
    <format dxfId="288">
      <pivotArea grandRow="1" outline="0" collapsedLevelsAreSubtotals="1" fieldPosition="0"/>
    </format>
    <format dxfId="287">
      <pivotArea type="all" dataOnly="0" outline="0" fieldPosition="0"/>
    </format>
    <format dxfId="286">
      <pivotArea outline="0" collapsedLevelsAreSubtotals="1" fieldPosition="0"/>
    </format>
    <format dxfId="285">
      <pivotArea type="origin" dataOnly="0" labelOnly="1" outline="0" fieldPosition="0"/>
    </format>
    <format dxfId="284">
      <pivotArea field="14" type="button" dataOnly="0" labelOnly="1" outline="0" axis="axisCol" fieldPosition="0"/>
    </format>
    <format dxfId="283">
      <pivotArea field="-2" type="button" dataOnly="0" labelOnly="1" outline="0" axis="axisCol" fieldPosition="1"/>
    </format>
    <format dxfId="282">
      <pivotArea type="topRight" dataOnly="0" labelOnly="1" outline="0" fieldPosition="0"/>
    </format>
    <format dxfId="281">
      <pivotArea field="16" type="button" dataOnly="0" labelOnly="1" outline="0" axis="axisRow" fieldPosition="0"/>
    </format>
    <format dxfId="280">
      <pivotArea dataOnly="0" labelOnly="1" fieldPosition="0">
        <references count="1">
          <reference field="16" count="0"/>
        </references>
      </pivotArea>
    </format>
    <format dxfId="279">
      <pivotArea dataOnly="0" labelOnly="1" grandRow="1" outline="0" fieldPosition="0"/>
    </format>
    <format dxfId="278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277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76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7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27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27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27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7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70">
      <pivotArea type="all" dataOnly="0" outline="0" fieldPosition="0"/>
    </format>
    <format dxfId="269">
      <pivotArea outline="0" collapsedLevelsAreSubtotals="1" fieldPosition="0"/>
    </format>
    <format dxfId="268">
      <pivotArea type="origin" dataOnly="0" labelOnly="1" outline="0" fieldPosition="0"/>
    </format>
    <format dxfId="267">
      <pivotArea field="14" type="button" dataOnly="0" labelOnly="1" outline="0" axis="axisCol" fieldPosition="0"/>
    </format>
    <format dxfId="266">
      <pivotArea field="-2" type="button" dataOnly="0" labelOnly="1" outline="0" axis="axisCol" fieldPosition="1"/>
    </format>
    <format dxfId="265">
      <pivotArea type="topRight" dataOnly="0" labelOnly="1" outline="0" fieldPosition="0"/>
    </format>
    <format dxfId="264">
      <pivotArea field="16" type="button" dataOnly="0" labelOnly="1" outline="0" axis="axisRow" fieldPosition="0"/>
    </format>
    <format dxfId="263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262">
      <pivotArea dataOnly="0" labelOnly="1" grandRow="1" outline="0" fieldPosition="0"/>
    </format>
    <format dxfId="261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260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59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5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5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56">
      <pivotArea type="all" dataOnly="0" outline="0" fieldPosition="0"/>
    </format>
    <format dxfId="255">
      <pivotArea outline="0" collapsedLevelsAreSubtotals="1" fieldPosition="0"/>
    </format>
    <format dxfId="254">
      <pivotArea type="origin" dataOnly="0" labelOnly="1" outline="0" fieldPosition="0"/>
    </format>
    <format dxfId="253">
      <pivotArea field="14" type="button" dataOnly="0" labelOnly="1" outline="0" axis="axisCol" fieldPosition="0"/>
    </format>
    <format dxfId="252">
      <pivotArea field="-2" type="button" dataOnly="0" labelOnly="1" outline="0" axis="axisCol" fieldPosition="1"/>
    </format>
    <format dxfId="251">
      <pivotArea type="topRight" dataOnly="0" labelOnly="1" outline="0" fieldPosition="0"/>
    </format>
    <format dxfId="250">
      <pivotArea field="16" type="button" dataOnly="0" labelOnly="1" outline="0" axis="axisRow" fieldPosition="0"/>
    </format>
    <format dxfId="249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248">
      <pivotArea dataOnly="0" labelOnly="1" grandRow="1" outline="0" fieldPosition="0"/>
    </format>
    <format dxfId="247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246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45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4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4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42">
      <pivotArea type="all" dataOnly="0" outline="0" fieldPosition="0"/>
    </format>
    <format dxfId="241">
      <pivotArea outline="0" collapsedLevelsAreSubtotals="1" fieldPosition="0"/>
    </format>
    <format dxfId="240">
      <pivotArea type="origin" dataOnly="0" labelOnly="1" outline="0" fieldPosition="0"/>
    </format>
    <format dxfId="239">
      <pivotArea field="14" type="button" dataOnly="0" labelOnly="1" outline="0" axis="axisCol" fieldPosition="0"/>
    </format>
    <format dxfId="238">
      <pivotArea field="-2" type="button" dataOnly="0" labelOnly="1" outline="0" axis="axisCol" fieldPosition="1"/>
    </format>
    <format dxfId="237">
      <pivotArea type="topRight" dataOnly="0" labelOnly="1" outline="0" fieldPosition="0"/>
    </format>
    <format dxfId="236">
      <pivotArea field="16" type="button" dataOnly="0" labelOnly="1" outline="0" axis="axisRow" fieldPosition="0"/>
    </format>
    <format dxfId="235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234">
      <pivotArea dataOnly="0" labelOnly="1" grandRow="1" outline="0" fieldPosition="0"/>
    </format>
    <format dxfId="233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232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31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3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2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A89029-598E-455E-9EA6-9160EE3A251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N8" firstHeaderRow="1" firstDataRow="3" firstDataCol="1" rowPageCount="1" colPageCount="1"/>
  <pivotFields count="20">
    <pivotField axis="axisPage" multipleItemSelectionAllowed="1" showAll="0">
      <items count="7">
        <item h="1" x="3"/>
        <item h="1" x="4"/>
        <item h="1" x="5"/>
        <item h="1" x="2"/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h="1" x="7"/>
        <item t="default"/>
      </items>
    </pivotField>
    <pivotField showAll="0"/>
    <pivotField showAll="0"/>
    <pivotField dataField="1" showAll="0"/>
  </pivotFields>
  <rowFields count="1">
    <field x="16"/>
  </rowFields>
  <rowItems count="3">
    <i>
      <x v="1"/>
    </i>
    <i>
      <x v="2"/>
    </i>
    <i t="grand">
      <x/>
    </i>
  </rowItems>
  <colFields count="2">
    <field x="14"/>
    <field x="-2"/>
  </colFields>
  <colItems count="6"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380">
      <pivotArea collapsedLevelsAreSubtotals="1" fieldPosition="0">
        <references count="1">
          <reference field="16" count="1">
            <x v="0"/>
          </reference>
        </references>
      </pivotArea>
    </format>
    <format dxfId="379">
      <pivotArea type="origin" dataOnly="0" labelOnly="1" outline="0" fieldPosition="0"/>
    </format>
    <format dxfId="378">
      <pivotArea field="14" type="button" dataOnly="0" labelOnly="1" outline="0" axis="axisCol" fieldPosition="0"/>
    </format>
    <format dxfId="377">
      <pivotArea field="-2" type="button" dataOnly="0" labelOnly="1" outline="0" axis="axisCol" fieldPosition="1"/>
    </format>
    <format dxfId="376">
      <pivotArea type="topRight" dataOnly="0" labelOnly="1" outline="0" fieldPosition="0"/>
    </format>
    <format dxfId="375">
      <pivotArea field="16" type="button" dataOnly="0" labelOnly="1" outline="0" axis="axisRow" fieldPosition="0"/>
    </format>
    <format dxfId="374">
      <pivotArea dataOnly="0" labelOnly="1" fieldPosition="0">
        <references count="1">
          <reference field="16" count="1">
            <x v="0"/>
          </reference>
        </references>
      </pivotArea>
    </format>
    <format dxfId="373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372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71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7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36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36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36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6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365">
      <pivotArea collapsedLevelsAreSubtotals="1" fieldPosition="0">
        <references count="1">
          <reference field="16" count="0"/>
        </references>
      </pivotArea>
    </format>
    <format dxfId="364">
      <pivotArea grandRow="1" outline="0" collapsedLevelsAreSubtotals="1" fieldPosition="0"/>
    </format>
    <format dxfId="363">
      <pivotArea type="all" dataOnly="0" outline="0" fieldPosition="0"/>
    </format>
    <format dxfId="362">
      <pivotArea outline="0" collapsedLevelsAreSubtotals="1" fieldPosition="0"/>
    </format>
    <format dxfId="361">
      <pivotArea type="origin" dataOnly="0" labelOnly="1" outline="0" fieldPosition="0"/>
    </format>
    <format dxfId="360">
      <pivotArea field="14" type="button" dataOnly="0" labelOnly="1" outline="0" axis="axisCol" fieldPosition="0"/>
    </format>
    <format dxfId="359">
      <pivotArea field="-2" type="button" dataOnly="0" labelOnly="1" outline="0" axis="axisCol" fieldPosition="1"/>
    </format>
    <format dxfId="358">
      <pivotArea type="topRight" dataOnly="0" labelOnly="1" outline="0" fieldPosition="0"/>
    </format>
    <format dxfId="357">
      <pivotArea field="16" type="button" dataOnly="0" labelOnly="1" outline="0" axis="axisRow" fieldPosition="0"/>
    </format>
    <format dxfId="356">
      <pivotArea dataOnly="0" labelOnly="1" fieldPosition="0">
        <references count="1">
          <reference field="16" count="0"/>
        </references>
      </pivotArea>
    </format>
    <format dxfId="355">
      <pivotArea dataOnly="0" labelOnly="1" grandRow="1" outline="0" fieldPosition="0"/>
    </format>
    <format dxfId="354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353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52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5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35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34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34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4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346">
      <pivotArea type="all" dataOnly="0" outline="0" fieldPosition="0"/>
    </format>
    <format dxfId="345">
      <pivotArea outline="0" collapsedLevelsAreSubtotals="1" fieldPosition="0"/>
    </format>
    <format dxfId="344">
      <pivotArea type="origin" dataOnly="0" labelOnly="1" outline="0" fieldPosition="0"/>
    </format>
    <format dxfId="343">
      <pivotArea field="14" type="button" dataOnly="0" labelOnly="1" outline="0" axis="axisCol" fieldPosition="0"/>
    </format>
    <format dxfId="342">
      <pivotArea field="-2" type="button" dataOnly="0" labelOnly="1" outline="0" axis="axisCol" fieldPosition="1"/>
    </format>
    <format dxfId="341">
      <pivotArea type="topRight" dataOnly="0" labelOnly="1" outline="0" fieldPosition="0"/>
    </format>
    <format dxfId="340">
      <pivotArea field="16" type="button" dataOnly="0" labelOnly="1" outline="0" axis="axisRow" fieldPosition="0"/>
    </format>
    <format dxfId="339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338">
      <pivotArea dataOnly="0" labelOnly="1" grandRow="1" outline="0" fieldPosition="0"/>
    </format>
    <format dxfId="337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36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35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3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3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332">
      <pivotArea type="all" dataOnly="0" outline="0" fieldPosition="0"/>
    </format>
    <format dxfId="331">
      <pivotArea outline="0" collapsedLevelsAreSubtotals="1" fieldPosition="0"/>
    </format>
    <format dxfId="330">
      <pivotArea type="origin" dataOnly="0" labelOnly="1" outline="0" fieldPosition="0"/>
    </format>
    <format dxfId="329">
      <pivotArea field="14" type="button" dataOnly="0" labelOnly="1" outline="0" axis="axisCol" fieldPosition="0"/>
    </format>
    <format dxfId="328">
      <pivotArea field="-2" type="button" dataOnly="0" labelOnly="1" outline="0" axis="axisCol" fieldPosition="1"/>
    </format>
    <format dxfId="327">
      <pivotArea type="topRight" dataOnly="0" labelOnly="1" outline="0" fieldPosition="0"/>
    </format>
    <format dxfId="326">
      <pivotArea field="16" type="button" dataOnly="0" labelOnly="1" outline="0" axis="axisRow" fieldPosition="0"/>
    </format>
    <format dxfId="325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324">
      <pivotArea dataOnly="0" labelOnly="1" grandRow="1" outline="0" fieldPosition="0"/>
    </format>
    <format dxfId="323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22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21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2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1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318">
      <pivotArea type="all" dataOnly="0" outline="0" fieldPosition="0"/>
    </format>
    <format dxfId="317">
      <pivotArea outline="0" collapsedLevelsAreSubtotals="1" fieldPosition="0"/>
    </format>
    <format dxfId="316">
      <pivotArea type="origin" dataOnly="0" labelOnly="1" outline="0" fieldPosition="0"/>
    </format>
    <format dxfId="315">
      <pivotArea field="14" type="button" dataOnly="0" labelOnly="1" outline="0" axis="axisCol" fieldPosition="0"/>
    </format>
    <format dxfId="314">
      <pivotArea field="-2" type="button" dataOnly="0" labelOnly="1" outline="0" axis="axisCol" fieldPosition="1"/>
    </format>
    <format dxfId="313">
      <pivotArea type="topRight" dataOnly="0" labelOnly="1" outline="0" fieldPosition="0"/>
    </format>
    <format dxfId="312">
      <pivotArea field="16" type="button" dataOnly="0" labelOnly="1" outline="0" axis="axisRow" fieldPosition="0"/>
    </format>
    <format dxfId="311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310">
      <pivotArea dataOnly="0" labelOnly="1" grandRow="1" outline="0" fieldPosition="0"/>
    </format>
    <format dxfId="309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08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07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0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0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646F29-D2B9-4C0B-AE59-921963C6F62B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46:N52" firstHeaderRow="1" firstDataRow="3" firstDataCol="1" rowPageCount="1" colPageCount="1"/>
  <pivotFields count="20">
    <pivotField axis="axisPage" multipleItemSelectionAllowed="1" showAll="0">
      <items count="7">
        <item h="1" x="3"/>
        <item h="1" x="4"/>
        <item x="5"/>
        <item h="1" x="2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x="7"/>
        <item t="default"/>
      </items>
    </pivotField>
    <pivotField showAll="0"/>
    <pivotField showAll="0"/>
    <pivotField dataField="1" showAll="0"/>
  </pivotFields>
  <rowFields count="1">
    <field x="16"/>
  </rowFields>
  <rowItems count="4">
    <i>
      <x v="3"/>
    </i>
    <i>
      <x v="4"/>
    </i>
    <i>
      <x v="8"/>
    </i>
    <i t="grand">
      <x/>
    </i>
  </rowItems>
  <colFields count="2">
    <field x="14"/>
    <field x="-2"/>
  </colFields>
  <colItems count="6">
    <i>
      <x/>
      <x/>
    </i>
    <i r="1" i="1">
      <x v="1"/>
    </i>
    <i>
      <x v="2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456">
      <pivotArea collapsedLevelsAreSubtotals="1" fieldPosition="0">
        <references count="1">
          <reference field="16" count="1">
            <x v="0"/>
          </reference>
        </references>
      </pivotArea>
    </format>
    <format dxfId="455">
      <pivotArea type="origin" dataOnly="0" labelOnly="1" outline="0" fieldPosition="0"/>
    </format>
    <format dxfId="454">
      <pivotArea field="14" type="button" dataOnly="0" labelOnly="1" outline="0" axis="axisCol" fieldPosition="0"/>
    </format>
    <format dxfId="453">
      <pivotArea field="-2" type="button" dataOnly="0" labelOnly="1" outline="0" axis="axisCol" fieldPosition="1"/>
    </format>
    <format dxfId="452">
      <pivotArea type="topRight" dataOnly="0" labelOnly="1" outline="0" fieldPosition="0"/>
    </format>
    <format dxfId="451">
      <pivotArea field="16" type="button" dataOnly="0" labelOnly="1" outline="0" axis="axisRow" fieldPosition="0"/>
    </format>
    <format dxfId="450">
      <pivotArea dataOnly="0" labelOnly="1" fieldPosition="0">
        <references count="1">
          <reference field="16" count="1">
            <x v="0"/>
          </reference>
        </references>
      </pivotArea>
    </format>
    <format dxfId="449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448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47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4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44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44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44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44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441">
      <pivotArea collapsedLevelsAreSubtotals="1" fieldPosition="0">
        <references count="1">
          <reference field="16" count="0"/>
        </references>
      </pivotArea>
    </format>
    <format dxfId="440">
      <pivotArea grandRow="1" outline="0" collapsedLevelsAreSubtotals="1" fieldPosition="0"/>
    </format>
    <format dxfId="439">
      <pivotArea type="all" dataOnly="0" outline="0" fieldPosition="0"/>
    </format>
    <format dxfId="438">
      <pivotArea outline="0" collapsedLevelsAreSubtotals="1" fieldPosition="0"/>
    </format>
    <format dxfId="437">
      <pivotArea type="origin" dataOnly="0" labelOnly="1" outline="0" fieldPosition="0"/>
    </format>
    <format dxfId="436">
      <pivotArea field="14" type="button" dataOnly="0" labelOnly="1" outline="0" axis="axisCol" fieldPosition="0"/>
    </format>
    <format dxfId="435">
      <pivotArea field="-2" type="button" dataOnly="0" labelOnly="1" outline="0" axis="axisCol" fieldPosition="1"/>
    </format>
    <format dxfId="434">
      <pivotArea type="topRight" dataOnly="0" labelOnly="1" outline="0" fieldPosition="0"/>
    </format>
    <format dxfId="433">
      <pivotArea field="16" type="button" dataOnly="0" labelOnly="1" outline="0" axis="axisRow" fieldPosition="0"/>
    </format>
    <format dxfId="432">
      <pivotArea dataOnly="0" labelOnly="1" fieldPosition="0">
        <references count="1">
          <reference field="16" count="0"/>
        </references>
      </pivotArea>
    </format>
    <format dxfId="431">
      <pivotArea dataOnly="0" labelOnly="1" grandRow="1" outline="0" fieldPosition="0"/>
    </format>
    <format dxfId="430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429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28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2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42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42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42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42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422">
      <pivotArea type="all" dataOnly="0" outline="0" fieldPosition="0"/>
    </format>
    <format dxfId="421">
      <pivotArea outline="0" collapsedLevelsAreSubtotals="1" fieldPosition="0"/>
    </format>
    <format dxfId="420">
      <pivotArea type="origin" dataOnly="0" labelOnly="1" outline="0" fieldPosition="0"/>
    </format>
    <format dxfId="419">
      <pivotArea field="14" type="button" dataOnly="0" labelOnly="1" outline="0" axis="axisCol" fieldPosition="0"/>
    </format>
    <format dxfId="418">
      <pivotArea field="-2" type="button" dataOnly="0" labelOnly="1" outline="0" axis="axisCol" fieldPosition="1"/>
    </format>
    <format dxfId="417">
      <pivotArea type="topRight" dataOnly="0" labelOnly="1" outline="0" fieldPosition="0"/>
    </format>
    <format dxfId="416">
      <pivotArea field="16" type="button" dataOnly="0" labelOnly="1" outline="0" axis="axisRow" fieldPosition="0"/>
    </format>
    <format dxfId="415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414">
      <pivotArea dataOnly="0" labelOnly="1" grandRow="1" outline="0" fieldPosition="0"/>
    </format>
    <format dxfId="413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412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11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1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40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408">
      <pivotArea type="all" dataOnly="0" outline="0" fieldPosition="0"/>
    </format>
    <format dxfId="407">
      <pivotArea outline="0" collapsedLevelsAreSubtotals="1" fieldPosition="0"/>
    </format>
    <format dxfId="406">
      <pivotArea type="origin" dataOnly="0" labelOnly="1" outline="0" fieldPosition="0"/>
    </format>
    <format dxfId="405">
      <pivotArea field="14" type="button" dataOnly="0" labelOnly="1" outline="0" axis="axisCol" fieldPosition="0"/>
    </format>
    <format dxfId="404">
      <pivotArea field="-2" type="button" dataOnly="0" labelOnly="1" outline="0" axis="axisCol" fieldPosition="1"/>
    </format>
    <format dxfId="403">
      <pivotArea type="topRight" dataOnly="0" labelOnly="1" outline="0" fieldPosition="0"/>
    </format>
    <format dxfId="402">
      <pivotArea field="16" type="button" dataOnly="0" labelOnly="1" outline="0" axis="axisRow" fieldPosition="0"/>
    </format>
    <format dxfId="401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400">
      <pivotArea dataOnly="0" labelOnly="1" grandRow="1" outline="0" fieldPosition="0"/>
    </format>
    <format dxfId="399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98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97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9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9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394">
      <pivotArea type="all" dataOnly="0" outline="0" fieldPosition="0"/>
    </format>
    <format dxfId="393">
      <pivotArea outline="0" collapsedLevelsAreSubtotals="1" fieldPosition="0"/>
    </format>
    <format dxfId="392">
      <pivotArea type="origin" dataOnly="0" labelOnly="1" outline="0" fieldPosition="0"/>
    </format>
    <format dxfId="391">
      <pivotArea field="14" type="button" dataOnly="0" labelOnly="1" outline="0" axis="axisCol" fieldPosition="0"/>
    </format>
    <format dxfId="390">
      <pivotArea field="-2" type="button" dataOnly="0" labelOnly="1" outline="0" axis="axisCol" fieldPosition="1"/>
    </format>
    <format dxfId="389">
      <pivotArea type="topRight" dataOnly="0" labelOnly="1" outline="0" fieldPosition="0"/>
    </format>
    <format dxfId="388">
      <pivotArea field="16" type="button" dataOnly="0" labelOnly="1" outline="0" axis="axisRow" fieldPosition="0"/>
    </format>
    <format dxfId="387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386">
      <pivotArea dataOnly="0" labelOnly="1" grandRow="1" outline="0" fieldPosition="0"/>
    </format>
    <format dxfId="385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84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83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8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8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0EA97-0F1D-4DBB-BAF8-4AC8E582331E}">
  <dimension ref="A1:C16"/>
  <sheetViews>
    <sheetView workbookViewId="0">
      <selection activeCell="B20" sqref="B20"/>
    </sheetView>
  </sheetViews>
  <sheetFormatPr defaultRowHeight="15" x14ac:dyDescent="0.25"/>
  <cols>
    <col min="1" max="1" width="8.140625" bestFit="1" customWidth="1"/>
    <col min="2" max="2" width="46.28515625" customWidth="1"/>
    <col min="3" max="3" width="13.85546875" customWidth="1"/>
  </cols>
  <sheetData>
    <row r="1" spans="1:3" x14ac:dyDescent="0.25">
      <c r="A1" s="419" t="s">
        <v>219</v>
      </c>
      <c r="B1" s="419" t="s">
        <v>220</v>
      </c>
      <c r="C1" s="419" t="s">
        <v>221</v>
      </c>
    </row>
    <row r="2" spans="1:3" x14ac:dyDescent="0.25">
      <c r="A2" s="418" t="s">
        <v>222</v>
      </c>
      <c r="B2" s="418" t="s">
        <v>223</v>
      </c>
      <c r="C2" s="418">
        <v>1</v>
      </c>
    </row>
    <row r="3" spans="1:3" x14ac:dyDescent="0.25">
      <c r="A3" s="418" t="s">
        <v>224</v>
      </c>
      <c r="B3" s="418" t="s">
        <v>225</v>
      </c>
      <c r="C3" s="418">
        <v>2</v>
      </c>
    </row>
    <row r="4" spans="1:3" x14ac:dyDescent="0.25">
      <c r="A4" s="418" t="s">
        <v>226</v>
      </c>
      <c r="B4" s="418" t="s">
        <v>227</v>
      </c>
      <c r="C4" s="418">
        <v>1</v>
      </c>
    </row>
    <row r="5" spans="1:3" x14ac:dyDescent="0.25">
      <c r="A5" s="418" t="s">
        <v>228</v>
      </c>
      <c r="B5" s="418" t="s">
        <v>227</v>
      </c>
      <c r="C5" s="418">
        <v>23</v>
      </c>
    </row>
    <row r="6" spans="1:3" x14ac:dyDescent="0.25">
      <c r="A6" s="418" t="s">
        <v>229</v>
      </c>
      <c r="B6" s="418" t="s">
        <v>230</v>
      </c>
      <c r="C6" s="418">
        <v>1</v>
      </c>
    </row>
    <row r="7" spans="1:3" x14ac:dyDescent="0.25">
      <c r="A7" s="418" t="s">
        <v>231</v>
      </c>
      <c r="B7" s="418" t="s">
        <v>232</v>
      </c>
      <c r="C7" s="418">
        <v>4</v>
      </c>
    </row>
    <row r="8" spans="1:3" x14ac:dyDescent="0.25">
      <c r="A8" s="418" t="s">
        <v>233</v>
      </c>
      <c r="B8" s="418" t="s">
        <v>234</v>
      </c>
      <c r="C8" s="418">
        <v>1</v>
      </c>
    </row>
    <row r="9" spans="1:3" x14ac:dyDescent="0.25">
      <c r="A9" s="418" t="s">
        <v>235</v>
      </c>
      <c r="B9" s="418" t="s">
        <v>236</v>
      </c>
      <c r="C9" s="418">
        <v>0</v>
      </c>
    </row>
    <row r="10" spans="1:3" x14ac:dyDescent="0.25">
      <c r="A10" s="418" t="s">
        <v>237</v>
      </c>
      <c r="B10" s="418" t="s">
        <v>238</v>
      </c>
      <c r="C10" s="418">
        <v>1</v>
      </c>
    </row>
    <row r="11" spans="1:3" x14ac:dyDescent="0.25">
      <c r="A11" s="418" t="s">
        <v>239</v>
      </c>
      <c r="B11" s="418" t="s">
        <v>240</v>
      </c>
      <c r="C11" s="418">
        <v>1</v>
      </c>
    </row>
    <row r="12" spans="1:3" x14ac:dyDescent="0.25">
      <c r="A12" s="418" t="s">
        <v>241</v>
      </c>
      <c r="B12" s="418" t="s">
        <v>242</v>
      </c>
      <c r="C12" s="418">
        <v>1</v>
      </c>
    </row>
    <row r="13" spans="1:3" x14ac:dyDescent="0.25">
      <c r="A13" s="418" t="s">
        <v>243</v>
      </c>
      <c r="B13" s="418" t="s">
        <v>244</v>
      </c>
      <c r="C13" s="418">
        <v>1</v>
      </c>
    </row>
    <row r="14" spans="1:3" x14ac:dyDescent="0.25">
      <c r="A14" s="418" t="s">
        <v>245</v>
      </c>
      <c r="B14" s="418" t="s">
        <v>246</v>
      </c>
      <c r="C14" s="418">
        <v>1</v>
      </c>
    </row>
    <row r="15" spans="1:3" x14ac:dyDescent="0.25">
      <c r="A15" s="418" t="s">
        <v>247</v>
      </c>
      <c r="B15" s="418" t="s">
        <v>248</v>
      </c>
      <c r="C15" s="418">
        <v>1</v>
      </c>
    </row>
    <row r="16" spans="1:3" x14ac:dyDescent="0.25">
      <c r="A16" s="418" t="s">
        <v>249</v>
      </c>
      <c r="B16" s="418" t="s">
        <v>250</v>
      </c>
      <c r="C16" s="41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6924C-0A16-4011-890B-924215AF57B2}">
  <dimension ref="A1:H57"/>
  <sheetViews>
    <sheetView topLeftCell="B1" zoomScale="70" zoomScaleNormal="70" workbookViewId="0">
      <pane ySplit="4" topLeftCell="A5" activePane="bottomLeft" state="frozen"/>
      <selection pane="bottomLeft" activeCell="F2" sqref="F1:N1048576"/>
    </sheetView>
  </sheetViews>
  <sheetFormatPr defaultColWidth="7.7109375" defaultRowHeight="15.75" x14ac:dyDescent="0.25"/>
  <cols>
    <col min="1" max="1" width="7.7109375" style="225"/>
    <col min="2" max="2" width="37.7109375" style="225" customWidth="1"/>
    <col min="3" max="3" width="18" style="360" customWidth="1"/>
    <col min="4" max="5" width="15" style="359" bestFit="1" customWidth="1"/>
    <col min="6" max="6" width="7.7109375" style="225"/>
    <col min="7" max="7" width="11.140625" style="225" bestFit="1" customWidth="1"/>
    <col min="8" max="8" width="10.42578125" style="225" bestFit="1" customWidth="1"/>
    <col min="9" max="9" width="12.42578125" style="225" bestFit="1" customWidth="1"/>
    <col min="10" max="16384" width="7.7109375" style="225"/>
  </cols>
  <sheetData>
    <row r="1" spans="1:5" ht="18.75" customHeight="1" thickBot="1" x14ac:dyDescent="0.35">
      <c r="A1" s="430" t="s">
        <v>93</v>
      </c>
      <c r="B1" s="431"/>
      <c r="C1" s="432"/>
      <c r="D1" s="428" t="s">
        <v>187</v>
      </c>
      <c r="E1" s="429"/>
    </row>
    <row r="2" spans="1:5" x14ac:dyDescent="0.25">
      <c r="A2" s="422"/>
      <c r="B2" s="423"/>
      <c r="C2" s="423"/>
      <c r="D2" s="226" t="s">
        <v>188</v>
      </c>
      <c r="E2" s="227" t="s">
        <v>8</v>
      </c>
    </row>
    <row r="3" spans="1:5" ht="18" customHeight="1" x14ac:dyDescent="0.25">
      <c r="A3" s="424"/>
      <c r="B3" s="425"/>
      <c r="C3" s="425"/>
      <c r="D3" s="228" t="str">
        <f>'BOM R2D CatWalk'!F3</f>
        <v>AY30011</v>
      </c>
      <c r="E3" s="229">
        <v>5</v>
      </c>
    </row>
    <row r="4" spans="1:5" x14ac:dyDescent="0.25">
      <c r="A4" s="230" t="s">
        <v>94</v>
      </c>
      <c r="B4" s="231" t="s">
        <v>95</v>
      </c>
      <c r="C4" s="232"/>
      <c r="D4" s="230" t="s">
        <v>96</v>
      </c>
      <c r="E4" s="233" t="s">
        <v>97</v>
      </c>
    </row>
    <row r="5" spans="1:5" x14ac:dyDescent="0.25">
      <c r="A5" s="234" t="s">
        <v>98</v>
      </c>
      <c r="B5" s="235" t="s">
        <v>99</v>
      </c>
      <c r="C5" s="236"/>
      <c r="D5" s="237">
        <f>Summary!G8</f>
        <v>228.15241569999998</v>
      </c>
      <c r="E5" s="238"/>
    </row>
    <row r="6" spans="1:5" x14ac:dyDescent="0.25">
      <c r="A6" s="234" t="s">
        <v>100</v>
      </c>
      <c r="B6" s="235" t="s">
        <v>101</v>
      </c>
      <c r="C6" s="239"/>
      <c r="D6" s="237">
        <f>Summary!G9</f>
        <v>167.2130176</v>
      </c>
      <c r="E6" s="238"/>
    </row>
    <row r="7" spans="1:5" x14ac:dyDescent="0.25">
      <c r="A7" s="240" t="s">
        <v>102</v>
      </c>
      <c r="B7" s="241" t="s">
        <v>189</v>
      </c>
      <c r="C7" s="242"/>
      <c r="D7" s="243"/>
      <c r="E7" s="244">
        <f>Summary!G13</f>
        <v>18585.922852599997</v>
      </c>
    </row>
    <row r="8" spans="1:5" ht="16.5" thickBot="1" x14ac:dyDescent="0.3">
      <c r="A8" s="240" t="s">
        <v>103</v>
      </c>
      <c r="B8" s="241" t="s">
        <v>104</v>
      </c>
      <c r="C8" s="242" t="s">
        <v>203</v>
      </c>
      <c r="D8" s="245"/>
      <c r="E8" s="246">
        <v>0</v>
      </c>
    </row>
    <row r="9" spans="1:5" ht="16.5" thickBot="1" x14ac:dyDescent="0.3">
      <c r="A9" s="247"/>
      <c r="B9" s="248" t="s">
        <v>105</v>
      </c>
      <c r="C9" s="249"/>
      <c r="D9" s="250"/>
      <c r="E9" s="251">
        <f>SUM(E7:E8)</f>
        <v>18585.922852599997</v>
      </c>
    </row>
    <row r="10" spans="1:5" ht="16.5" thickBot="1" x14ac:dyDescent="0.3">
      <c r="A10" s="252"/>
      <c r="B10" s="253"/>
      <c r="C10" s="254"/>
      <c r="D10" s="255">
        <f>(D5-D6)/D6</f>
        <v>0.36444171018895588</v>
      </c>
      <c r="E10" s="256"/>
    </row>
    <row r="11" spans="1:5" x14ac:dyDescent="0.25">
      <c r="A11" s="257" t="s">
        <v>106</v>
      </c>
      <c r="B11" s="258" t="s">
        <v>107</v>
      </c>
      <c r="C11" s="259"/>
      <c r="D11" s="260"/>
      <c r="E11" s="261"/>
    </row>
    <row r="12" spans="1:5" x14ac:dyDescent="0.25">
      <c r="A12" s="234" t="s">
        <v>98</v>
      </c>
      <c r="B12" s="262" t="s">
        <v>108</v>
      </c>
      <c r="C12" s="263">
        <v>0</v>
      </c>
      <c r="D12" s="234"/>
      <c r="E12" s="246">
        <v>0</v>
      </c>
    </row>
    <row r="13" spans="1:5" x14ac:dyDescent="0.25">
      <c r="A13" s="234" t="s">
        <v>100</v>
      </c>
      <c r="B13" s="262" t="s">
        <v>109</v>
      </c>
      <c r="C13" s="263">
        <v>0</v>
      </c>
      <c r="D13" s="234"/>
      <c r="E13" s="264">
        <f>Summary!F33</f>
        <v>5596.5214333754384</v>
      </c>
    </row>
    <row r="14" spans="1:5" x14ac:dyDescent="0.25">
      <c r="A14" s="234" t="s">
        <v>102</v>
      </c>
      <c r="B14" s="262" t="s">
        <v>110</v>
      </c>
      <c r="C14" s="263">
        <v>0</v>
      </c>
      <c r="D14" s="234"/>
      <c r="E14" s="246">
        <f>D6*20</f>
        <v>3344.2603520000002</v>
      </c>
    </row>
    <row r="15" spans="1:5" x14ac:dyDescent="0.25">
      <c r="A15" s="234" t="s">
        <v>103</v>
      </c>
      <c r="B15" s="262" t="s">
        <v>111</v>
      </c>
      <c r="C15" s="263">
        <v>0</v>
      </c>
      <c r="D15" s="234"/>
      <c r="E15" s="246">
        <f>D6*12</f>
        <v>2006.5562112</v>
      </c>
    </row>
    <row r="16" spans="1:5" x14ac:dyDescent="0.25">
      <c r="A16" s="265" t="s">
        <v>112</v>
      </c>
      <c r="B16" s="262" t="s">
        <v>190</v>
      </c>
      <c r="C16" s="263" t="s">
        <v>202</v>
      </c>
      <c r="D16" s="234"/>
      <c r="E16" s="246">
        <v>0</v>
      </c>
    </row>
    <row r="17" spans="1:5" ht="16.5" thickBot="1" x14ac:dyDescent="0.3">
      <c r="A17" s="266"/>
      <c r="B17" s="267" t="s">
        <v>113</v>
      </c>
      <c r="C17" s="268"/>
      <c r="D17" s="269"/>
      <c r="E17" s="270">
        <f>SUM(E9:E16)</f>
        <v>29533.260849175436</v>
      </c>
    </row>
    <row r="18" spans="1:5" ht="16.5" thickBot="1" x14ac:dyDescent="0.3">
      <c r="A18" s="271"/>
      <c r="B18" s="253"/>
      <c r="C18" s="254"/>
      <c r="D18" s="272"/>
      <c r="E18" s="256"/>
    </row>
    <row r="19" spans="1:5" x14ac:dyDescent="0.25">
      <c r="A19" s="273" t="s">
        <v>114</v>
      </c>
      <c r="B19" s="274" t="s">
        <v>115</v>
      </c>
      <c r="C19" s="275"/>
      <c r="D19" s="276"/>
      <c r="E19" s="277"/>
    </row>
    <row r="20" spans="1:5" x14ac:dyDescent="0.25">
      <c r="A20" s="265" t="s">
        <v>116</v>
      </c>
      <c r="B20" s="235" t="s">
        <v>117</v>
      </c>
      <c r="C20" s="278">
        <v>1.4999999999999999E-2</v>
      </c>
      <c r="D20" s="279"/>
      <c r="E20" s="280">
        <f ca="1">E22*$C$20</f>
        <v>627.63894676559948</v>
      </c>
    </row>
    <row r="21" spans="1:5" ht="16.5" thickBot="1" x14ac:dyDescent="0.3">
      <c r="A21" s="265" t="s">
        <v>118</v>
      </c>
      <c r="B21" s="235" t="s">
        <v>119</v>
      </c>
      <c r="C21" s="278">
        <v>1.4999999999999999E-2</v>
      </c>
      <c r="D21" s="279"/>
      <c r="E21" s="280">
        <f ca="1">E22*$C$21</f>
        <v>627.63894676559948</v>
      </c>
    </row>
    <row r="22" spans="1:5" ht="16.5" thickBot="1" x14ac:dyDescent="0.3">
      <c r="A22" s="250"/>
      <c r="B22" s="281" t="s">
        <v>120</v>
      </c>
      <c r="C22" s="282"/>
      <c r="D22" s="283"/>
      <c r="E22" s="284">
        <f ca="1">SUM(E20:E21)+E17</f>
        <v>41842.596451039964</v>
      </c>
    </row>
    <row r="23" spans="1:5" ht="16.5" thickBot="1" x14ac:dyDescent="0.3">
      <c r="A23" s="285"/>
      <c r="B23" s="253"/>
      <c r="C23" s="286"/>
      <c r="D23" s="271"/>
      <c r="E23" s="287"/>
    </row>
    <row r="24" spans="1:5" x14ac:dyDescent="0.25">
      <c r="A24" s="288" t="s">
        <v>121</v>
      </c>
      <c r="B24" s="289" t="s">
        <v>122</v>
      </c>
      <c r="C24" s="290"/>
      <c r="D24" s="291"/>
      <c r="E24" s="292"/>
    </row>
    <row r="25" spans="1:5" x14ac:dyDescent="0.25">
      <c r="A25" s="234" t="s">
        <v>98</v>
      </c>
      <c r="B25" s="262" t="s">
        <v>123</v>
      </c>
      <c r="C25" s="293">
        <v>0.02</v>
      </c>
      <c r="D25" s="294"/>
      <c r="E25" s="264">
        <f ca="1">E28*$C$25</f>
        <v>1101.1209592378939</v>
      </c>
    </row>
    <row r="26" spans="1:5" x14ac:dyDescent="0.25">
      <c r="A26" s="234" t="s">
        <v>100</v>
      </c>
      <c r="B26" s="262" t="s">
        <v>124</v>
      </c>
      <c r="C26" s="293">
        <v>0.1</v>
      </c>
      <c r="D26" s="294"/>
      <c r="E26" s="264">
        <f ca="1">E28*$C$26</f>
        <v>5505.6047961894692</v>
      </c>
    </row>
    <row r="27" spans="1:5" ht="16.5" thickBot="1" x14ac:dyDescent="0.3">
      <c r="A27" s="234" t="s">
        <v>102</v>
      </c>
      <c r="B27" s="295" t="s">
        <v>125</v>
      </c>
      <c r="C27" s="296">
        <v>0.12</v>
      </c>
      <c r="D27" s="297"/>
      <c r="E27" s="264">
        <f ca="1">E28*$C$27</f>
        <v>6606.7257554273629</v>
      </c>
    </row>
    <row r="28" spans="1:5" ht="16.5" thickBot="1" x14ac:dyDescent="0.3">
      <c r="A28" s="298"/>
      <c r="B28" s="248" t="s">
        <v>126</v>
      </c>
      <c r="C28" s="299"/>
      <c r="D28" s="250"/>
      <c r="E28" s="251">
        <f ca="1">SUM(E22:E27)</f>
        <v>55056.047961894692</v>
      </c>
    </row>
    <row r="29" spans="1:5" x14ac:dyDescent="0.25">
      <c r="A29" s="300"/>
      <c r="B29" s="301"/>
      <c r="C29" s="302"/>
      <c r="D29" s="303"/>
      <c r="E29" s="304"/>
    </row>
    <row r="30" spans="1:5" ht="16.5" thickBot="1" x14ac:dyDescent="0.3">
      <c r="A30" s="305" t="s">
        <v>191</v>
      </c>
      <c r="B30" s="306" t="s">
        <v>192</v>
      </c>
      <c r="C30" s="307" t="s">
        <v>193</v>
      </c>
      <c r="D30" s="308"/>
      <c r="E30" s="309">
        <v>0</v>
      </c>
    </row>
    <row r="31" spans="1:5" ht="27" customHeight="1" thickBot="1" x14ac:dyDescent="0.3">
      <c r="A31" s="310"/>
      <c r="B31" s="311" t="s">
        <v>194</v>
      </c>
      <c r="C31" s="312"/>
      <c r="D31" s="312">
        <f>E3</f>
        <v>5</v>
      </c>
      <c r="E31" s="313">
        <f ca="1">SUM(E28:E30)</f>
        <v>55056.047961894692</v>
      </c>
    </row>
    <row r="32" spans="1:5" ht="27" customHeight="1" thickBot="1" x14ac:dyDescent="0.3">
      <c r="A32" s="314"/>
      <c r="B32" s="315" t="s">
        <v>195</v>
      </c>
      <c r="C32" s="316"/>
      <c r="D32" s="317"/>
      <c r="E32" s="318">
        <f ca="1">E31/E3</f>
        <v>11011.209592378938</v>
      </c>
    </row>
    <row r="33" spans="1:5" ht="16.5" thickBot="1" x14ac:dyDescent="0.3">
      <c r="A33" s="319"/>
      <c r="B33" s="320"/>
      <c r="C33" s="321"/>
      <c r="D33" s="322"/>
      <c r="E33" s="323"/>
    </row>
    <row r="34" spans="1:5" x14ac:dyDescent="0.25">
      <c r="A34" s="324"/>
      <c r="B34" s="325" t="s">
        <v>196</v>
      </c>
      <c r="C34" s="326"/>
      <c r="D34" s="327"/>
      <c r="E34" s="328">
        <f ca="1">E31/D5</f>
        <v>241.31257954458161</v>
      </c>
    </row>
    <row r="35" spans="1:5" ht="16.5" thickBot="1" x14ac:dyDescent="0.3">
      <c r="A35" s="329"/>
      <c r="B35" s="330" t="s">
        <v>197</v>
      </c>
      <c r="C35" s="331"/>
      <c r="D35" s="332"/>
      <c r="E35" s="333">
        <f ca="1">E31/D6</f>
        <v>329.25694872391739</v>
      </c>
    </row>
    <row r="36" spans="1:5" x14ac:dyDescent="0.25">
      <c r="A36" s="324"/>
      <c r="B36" s="336" t="s">
        <v>198</v>
      </c>
      <c r="C36" s="328"/>
      <c r="D36" s="327">
        <f>E3</f>
        <v>5</v>
      </c>
      <c r="E36" s="328">
        <f>Summary!F36</f>
        <v>26600.688714572978</v>
      </c>
    </row>
    <row r="37" spans="1:5" x14ac:dyDescent="0.25">
      <c r="A37" s="234"/>
      <c r="B37" s="337" t="s">
        <v>199</v>
      </c>
      <c r="C37" s="338"/>
      <c r="D37" s="339"/>
      <c r="E37" s="338">
        <f ca="1">E31-E36</f>
        <v>16295.895768155046</v>
      </c>
    </row>
    <row r="38" spans="1:5" ht="16.5" thickBot="1" x14ac:dyDescent="0.3">
      <c r="A38" s="340"/>
      <c r="B38" s="341" t="s">
        <v>200</v>
      </c>
      <c r="C38" s="342"/>
      <c r="D38" s="343"/>
      <c r="E38" s="344">
        <f ca="1">(E31-E36)/E31</f>
        <v>0.29598738687952569</v>
      </c>
    </row>
    <row r="39" spans="1:5" x14ac:dyDescent="0.25">
      <c r="A39" s="319"/>
      <c r="B39" s="320"/>
      <c r="C39" s="321"/>
      <c r="D39" s="322"/>
      <c r="E39" s="323"/>
    </row>
    <row r="40" spans="1:5" x14ac:dyDescent="0.25">
      <c r="A40" s="319"/>
      <c r="B40" s="320"/>
      <c r="C40" s="321"/>
      <c r="D40" s="322"/>
      <c r="E40" s="323"/>
    </row>
    <row r="41" spans="1:5" x14ac:dyDescent="0.25">
      <c r="A41" s="319"/>
      <c r="B41" s="320"/>
      <c r="C41" s="321"/>
      <c r="D41" s="322"/>
      <c r="E41" s="323"/>
    </row>
    <row r="42" spans="1:5" x14ac:dyDescent="0.25">
      <c r="A42" s="319"/>
      <c r="B42" s="319"/>
      <c r="C42" s="321"/>
      <c r="D42" s="322"/>
      <c r="E42" s="345"/>
    </row>
    <row r="43" spans="1:5" ht="16.5" thickBot="1" x14ac:dyDescent="0.3">
      <c r="A43" s="319"/>
      <c r="B43" s="320"/>
      <c r="C43" s="321"/>
      <c r="D43" s="322"/>
      <c r="E43" s="323"/>
    </row>
    <row r="44" spans="1:5" ht="23.25" customHeight="1" thickBot="1" x14ac:dyDescent="0.3">
      <c r="A44" s="426" t="s">
        <v>127</v>
      </c>
      <c r="B44" s="427"/>
      <c r="C44" s="427"/>
      <c r="D44" s="428" t="s">
        <v>187</v>
      </c>
      <c r="E44" s="429"/>
    </row>
    <row r="45" spans="1:5" ht="25.5" customHeight="1" x14ac:dyDescent="0.25">
      <c r="A45" s="346">
        <v>1</v>
      </c>
      <c r="B45" s="347" t="s">
        <v>128</v>
      </c>
      <c r="C45" s="348"/>
      <c r="D45" s="391"/>
      <c r="E45" s="392">
        <f>Summary!D51</f>
        <v>5000</v>
      </c>
    </row>
    <row r="46" spans="1:5" ht="31.5" x14ac:dyDescent="0.25">
      <c r="A46" s="346">
        <v>2</v>
      </c>
      <c r="B46" s="351" t="s">
        <v>129</v>
      </c>
      <c r="C46" s="348"/>
      <c r="D46" s="349"/>
      <c r="E46" s="350">
        <f>Summary!D50+Summary!D52</f>
        <v>23961.295000000002</v>
      </c>
    </row>
    <row r="47" spans="1:5" x14ac:dyDescent="0.25">
      <c r="A47" s="382"/>
      <c r="B47" s="386" t="s">
        <v>120</v>
      </c>
      <c r="C47" s="383"/>
      <c r="D47" s="384"/>
      <c r="E47" s="385">
        <f>SUM(E45:E46)</f>
        <v>28961.295000000002</v>
      </c>
    </row>
    <row r="48" spans="1:5" x14ac:dyDescent="0.25">
      <c r="A48" s="382"/>
      <c r="B48" s="389" t="s">
        <v>124</v>
      </c>
      <c r="C48" s="390">
        <v>0.1</v>
      </c>
      <c r="D48" s="393"/>
      <c r="E48" s="264">
        <f ca="1">E50*$C$48</f>
        <v>3712.9865384615391</v>
      </c>
    </row>
    <row r="49" spans="1:8" x14ac:dyDescent="0.25">
      <c r="A49" s="382"/>
      <c r="B49" s="389" t="s">
        <v>125</v>
      </c>
      <c r="C49" s="390">
        <v>0.12</v>
      </c>
      <c r="D49" s="393"/>
      <c r="E49" s="264">
        <f ca="1">E50*$C$49</f>
        <v>4455.5838461538469</v>
      </c>
    </row>
    <row r="50" spans="1:8" ht="16.5" thickBot="1" x14ac:dyDescent="0.3">
      <c r="A50" s="352"/>
      <c r="B50" s="301" t="s">
        <v>52</v>
      </c>
      <c r="C50" s="353"/>
      <c r="D50" s="387"/>
      <c r="E50" s="388">
        <f ca="1">SUM(E47:E49)</f>
        <v>37129.86538461539</v>
      </c>
    </row>
    <row r="51" spans="1:8" ht="24" customHeight="1" x14ac:dyDescent="0.25">
      <c r="A51" s="354"/>
      <c r="B51" s="325" t="s">
        <v>201</v>
      </c>
      <c r="C51" s="355"/>
      <c r="D51" s="334"/>
      <c r="E51" s="335">
        <f ca="1">E50*80%</f>
        <v>29703.892307692313</v>
      </c>
    </row>
    <row r="52" spans="1:8" x14ac:dyDescent="0.25">
      <c r="B52" s="356"/>
      <c r="C52" s="357"/>
      <c r="D52" s="358"/>
    </row>
    <row r="53" spans="1:8" x14ac:dyDescent="0.25">
      <c r="B53" s="356"/>
      <c r="C53" s="357"/>
      <c r="D53" s="358"/>
    </row>
    <row r="54" spans="1:8" x14ac:dyDescent="0.25">
      <c r="B54" s="356"/>
      <c r="C54" s="357"/>
      <c r="D54" s="358"/>
    </row>
    <row r="55" spans="1:8" x14ac:dyDescent="0.25">
      <c r="B55" s="356"/>
      <c r="C55" s="357"/>
      <c r="D55" s="358"/>
    </row>
    <row r="56" spans="1:8" x14ac:dyDescent="0.25">
      <c r="B56" s="356"/>
      <c r="C56" s="357"/>
      <c r="D56" s="358"/>
    </row>
    <row r="57" spans="1:8" x14ac:dyDescent="0.25">
      <c r="D57" s="361"/>
      <c r="H57" s="362"/>
    </row>
  </sheetData>
  <mergeCells count="5">
    <mergeCell ref="A1:C1"/>
    <mergeCell ref="D1:E1"/>
    <mergeCell ref="A2:C3"/>
    <mergeCell ref="A44:C44"/>
    <mergeCell ref="D44:E44"/>
  </mergeCells>
  <pageMargins left="0.25" right="0.25" top="0.75" bottom="0.75" header="0.3" footer="0.3"/>
  <pageSetup paperSize="9" fitToWidth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571AD-8832-4DAA-BE90-35F2D460EDB1}">
  <sheetPr>
    <pageSetUpPr fitToPage="1"/>
  </sheetPr>
  <dimension ref="A1:N54"/>
  <sheetViews>
    <sheetView topLeftCell="A36" zoomScale="85" zoomScaleNormal="85" zoomScaleSheetLayoutView="100" workbookViewId="0">
      <selection activeCell="A45" sqref="A45:D53"/>
    </sheetView>
  </sheetViews>
  <sheetFormatPr defaultRowHeight="12.75" x14ac:dyDescent="0.2"/>
  <cols>
    <col min="1" max="1" width="38.42578125" style="14" customWidth="1"/>
    <col min="2" max="2" width="31.5703125" style="14" bestFit="1" customWidth="1"/>
    <col min="3" max="3" width="16.5703125" style="14" bestFit="1" customWidth="1"/>
    <col min="4" max="4" width="17.42578125" style="14" bestFit="1" customWidth="1"/>
    <col min="5" max="5" width="20" style="14" bestFit="1" customWidth="1"/>
    <col min="6" max="6" width="14.140625" style="79" bestFit="1" customWidth="1"/>
    <col min="7" max="7" width="21.140625" style="18" customWidth="1"/>
    <col min="8" max="8" width="10.140625" style="14" customWidth="1"/>
    <col min="9" max="9" width="7.7109375" style="14" bestFit="1" customWidth="1"/>
    <col min="10" max="10" width="17.85546875" style="14" bestFit="1" customWidth="1"/>
    <col min="11" max="11" width="11.7109375" style="14" bestFit="1" customWidth="1"/>
    <col min="12" max="12" width="10" style="14" bestFit="1" customWidth="1"/>
    <col min="13" max="13" width="13.140625" style="14" bestFit="1" customWidth="1"/>
    <col min="14" max="14" width="18.5703125" style="14" bestFit="1" customWidth="1"/>
    <col min="15" max="203" width="9.140625" style="14"/>
    <col min="204" max="204" width="37.42578125" style="14" customWidth="1"/>
    <col min="205" max="205" width="13.5703125" style="14" customWidth="1"/>
    <col min="206" max="206" width="14.42578125" style="14" customWidth="1"/>
    <col min="207" max="207" width="8.42578125" style="14" bestFit="1" customWidth="1"/>
    <col min="208" max="208" width="16.85546875" style="14" customWidth="1"/>
    <col min="209" max="209" width="9.140625" style="14"/>
    <col min="210" max="210" width="11.28515625" style="14" customWidth="1"/>
    <col min="211" max="459" width="9.140625" style="14"/>
    <col min="460" max="460" width="37.42578125" style="14" customWidth="1"/>
    <col min="461" max="461" width="13.5703125" style="14" customWidth="1"/>
    <col min="462" max="462" width="14.42578125" style="14" customWidth="1"/>
    <col min="463" max="463" width="8.42578125" style="14" bestFit="1" customWidth="1"/>
    <col min="464" max="464" width="16.85546875" style="14" customWidth="1"/>
    <col min="465" max="465" width="9.140625" style="14"/>
    <col min="466" max="466" width="11.28515625" style="14" customWidth="1"/>
    <col min="467" max="715" width="9.140625" style="14"/>
    <col min="716" max="716" width="37.42578125" style="14" customWidth="1"/>
    <col min="717" max="717" width="13.5703125" style="14" customWidth="1"/>
    <col min="718" max="718" width="14.42578125" style="14" customWidth="1"/>
    <col min="719" max="719" width="8.42578125" style="14" bestFit="1" customWidth="1"/>
    <col min="720" max="720" width="16.85546875" style="14" customWidth="1"/>
    <col min="721" max="721" width="9.140625" style="14"/>
    <col min="722" max="722" width="11.28515625" style="14" customWidth="1"/>
    <col min="723" max="971" width="9.140625" style="14"/>
    <col min="972" max="972" width="37.42578125" style="14" customWidth="1"/>
    <col min="973" max="973" width="13.5703125" style="14" customWidth="1"/>
    <col min="974" max="974" width="14.42578125" style="14" customWidth="1"/>
    <col min="975" max="975" width="8.42578125" style="14" bestFit="1" customWidth="1"/>
    <col min="976" max="976" width="16.85546875" style="14" customWidth="1"/>
    <col min="977" max="977" width="9.140625" style="14"/>
    <col min="978" max="978" width="11.28515625" style="14" customWidth="1"/>
    <col min="979" max="1227" width="9.140625" style="14"/>
    <col min="1228" max="1228" width="37.42578125" style="14" customWidth="1"/>
    <col min="1229" max="1229" width="13.5703125" style="14" customWidth="1"/>
    <col min="1230" max="1230" width="14.42578125" style="14" customWidth="1"/>
    <col min="1231" max="1231" width="8.42578125" style="14" bestFit="1" customWidth="1"/>
    <col min="1232" max="1232" width="16.85546875" style="14" customWidth="1"/>
    <col min="1233" max="1233" width="9.140625" style="14"/>
    <col min="1234" max="1234" width="11.28515625" style="14" customWidth="1"/>
    <col min="1235" max="1483" width="9.140625" style="14"/>
    <col min="1484" max="1484" width="37.42578125" style="14" customWidth="1"/>
    <col min="1485" max="1485" width="13.5703125" style="14" customWidth="1"/>
    <col min="1486" max="1486" width="14.42578125" style="14" customWidth="1"/>
    <col min="1487" max="1487" width="8.42578125" style="14" bestFit="1" customWidth="1"/>
    <col min="1488" max="1488" width="16.85546875" style="14" customWidth="1"/>
    <col min="1489" max="1489" width="9.140625" style="14"/>
    <col min="1490" max="1490" width="11.28515625" style="14" customWidth="1"/>
    <col min="1491" max="1739" width="9.140625" style="14"/>
    <col min="1740" max="1740" width="37.42578125" style="14" customWidth="1"/>
    <col min="1741" max="1741" width="13.5703125" style="14" customWidth="1"/>
    <col min="1742" max="1742" width="14.42578125" style="14" customWidth="1"/>
    <col min="1743" max="1743" width="8.42578125" style="14" bestFit="1" customWidth="1"/>
    <col min="1744" max="1744" width="16.85546875" style="14" customWidth="1"/>
    <col min="1745" max="1745" width="9.140625" style="14"/>
    <col min="1746" max="1746" width="11.28515625" style="14" customWidth="1"/>
    <col min="1747" max="1995" width="9.140625" style="14"/>
    <col min="1996" max="1996" width="37.42578125" style="14" customWidth="1"/>
    <col min="1997" max="1997" width="13.5703125" style="14" customWidth="1"/>
    <col min="1998" max="1998" width="14.42578125" style="14" customWidth="1"/>
    <col min="1999" max="1999" width="8.42578125" style="14" bestFit="1" customWidth="1"/>
    <col min="2000" max="2000" width="16.85546875" style="14" customWidth="1"/>
    <col min="2001" max="2001" width="9.140625" style="14"/>
    <col min="2002" max="2002" width="11.28515625" style="14" customWidth="1"/>
    <col min="2003" max="2251" width="9.140625" style="14"/>
    <col min="2252" max="2252" width="37.42578125" style="14" customWidth="1"/>
    <col min="2253" max="2253" width="13.5703125" style="14" customWidth="1"/>
    <col min="2254" max="2254" width="14.42578125" style="14" customWidth="1"/>
    <col min="2255" max="2255" width="8.42578125" style="14" bestFit="1" customWidth="1"/>
    <col min="2256" max="2256" width="16.85546875" style="14" customWidth="1"/>
    <col min="2257" max="2257" width="9.140625" style="14"/>
    <col min="2258" max="2258" width="11.28515625" style="14" customWidth="1"/>
    <col min="2259" max="2507" width="9.140625" style="14"/>
    <col min="2508" max="2508" width="37.42578125" style="14" customWidth="1"/>
    <col min="2509" max="2509" width="13.5703125" style="14" customWidth="1"/>
    <col min="2510" max="2510" width="14.42578125" style="14" customWidth="1"/>
    <col min="2511" max="2511" width="8.42578125" style="14" bestFit="1" customWidth="1"/>
    <col min="2512" max="2512" width="16.85546875" style="14" customWidth="1"/>
    <col min="2513" max="2513" width="9.140625" style="14"/>
    <col min="2514" max="2514" width="11.28515625" style="14" customWidth="1"/>
    <col min="2515" max="2763" width="9.140625" style="14"/>
    <col min="2764" max="2764" width="37.42578125" style="14" customWidth="1"/>
    <col min="2765" max="2765" width="13.5703125" style="14" customWidth="1"/>
    <col min="2766" max="2766" width="14.42578125" style="14" customWidth="1"/>
    <col min="2767" max="2767" width="8.42578125" style="14" bestFit="1" customWidth="1"/>
    <col min="2768" max="2768" width="16.85546875" style="14" customWidth="1"/>
    <col min="2769" max="2769" width="9.140625" style="14"/>
    <col min="2770" max="2770" width="11.28515625" style="14" customWidth="1"/>
    <col min="2771" max="3019" width="9.140625" style="14"/>
    <col min="3020" max="3020" width="37.42578125" style="14" customWidth="1"/>
    <col min="3021" max="3021" width="13.5703125" style="14" customWidth="1"/>
    <col min="3022" max="3022" width="14.42578125" style="14" customWidth="1"/>
    <col min="3023" max="3023" width="8.42578125" style="14" bestFit="1" customWidth="1"/>
    <col min="3024" max="3024" width="16.85546875" style="14" customWidth="1"/>
    <col min="3025" max="3025" width="9.140625" style="14"/>
    <col min="3026" max="3026" width="11.28515625" style="14" customWidth="1"/>
    <col min="3027" max="3275" width="9.140625" style="14"/>
    <col min="3276" max="3276" width="37.42578125" style="14" customWidth="1"/>
    <col min="3277" max="3277" width="13.5703125" style="14" customWidth="1"/>
    <col min="3278" max="3278" width="14.42578125" style="14" customWidth="1"/>
    <col min="3279" max="3279" width="8.42578125" style="14" bestFit="1" customWidth="1"/>
    <col min="3280" max="3280" width="16.85546875" style="14" customWidth="1"/>
    <col min="3281" max="3281" width="9.140625" style="14"/>
    <col min="3282" max="3282" width="11.28515625" style="14" customWidth="1"/>
    <col min="3283" max="3531" width="9.140625" style="14"/>
    <col min="3532" max="3532" width="37.42578125" style="14" customWidth="1"/>
    <col min="3533" max="3533" width="13.5703125" style="14" customWidth="1"/>
    <col min="3534" max="3534" width="14.42578125" style="14" customWidth="1"/>
    <col min="3535" max="3535" width="8.42578125" style="14" bestFit="1" customWidth="1"/>
    <col min="3536" max="3536" width="16.85546875" style="14" customWidth="1"/>
    <col min="3537" max="3537" width="9.140625" style="14"/>
    <col min="3538" max="3538" width="11.28515625" style="14" customWidth="1"/>
    <col min="3539" max="3787" width="9.140625" style="14"/>
    <col min="3788" max="3788" width="37.42578125" style="14" customWidth="1"/>
    <col min="3789" max="3789" width="13.5703125" style="14" customWidth="1"/>
    <col min="3790" max="3790" width="14.42578125" style="14" customWidth="1"/>
    <col min="3791" max="3791" width="8.42578125" style="14" bestFit="1" customWidth="1"/>
    <col min="3792" max="3792" width="16.85546875" style="14" customWidth="1"/>
    <col min="3793" max="3793" width="9.140625" style="14"/>
    <col min="3794" max="3794" width="11.28515625" style="14" customWidth="1"/>
    <col min="3795" max="4043" width="9.140625" style="14"/>
    <col min="4044" max="4044" width="37.42578125" style="14" customWidth="1"/>
    <col min="4045" max="4045" width="13.5703125" style="14" customWidth="1"/>
    <col min="4046" max="4046" width="14.42578125" style="14" customWidth="1"/>
    <col min="4047" max="4047" width="8.42578125" style="14" bestFit="1" customWidth="1"/>
    <col min="4048" max="4048" width="16.85546875" style="14" customWidth="1"/>
    <col min="4049" max="4049" width="9.140625" style="14"/>
    <col min="4050" max="4050" width="11.28515625" style="14" customWidth="1"/>
    <col min="4051" max="4299" width="9.140625" style="14"/>
    <col min="4300" max="4300" width="37.42578125" style="14" customWidth="1"/>
    <col min="4301" max="4301" width="13.5703125" style="14" customWidth="1"/>
    <col min="4302" max="4302" width="14.42578125" style="14" customWidth="1"/>
    <col min="4303" max="4303" width="8.42578125" style="14" bestFit="1" customWidth="1"/>
    <col min="4304" max="4304" width="16.85546875" style="14" customWidth="1"/>
    <col min="4305" max="4305" width="9.140625" style="14"/>
    <col min="4306" max="4306" width="11.28515625" style="14" customWidth="1"/>
    <col min="4307" max="4555" width="9.140625" style="14"/>
    <col min="4556" max="4556" width="37.42578125" style="14" customWidth="1"/>
    <col min="4557" max="4557" width="13.5703125" style="14" customWidth="1"/>
    <col min="4558" max="4558" width="14.42578125" style="14" customWidth="1"/>
    <col min="4559" max="4559" width="8.42578125" style="14" bestFit="1" customWidth="1"/>
    <col min="4560" max="4560" width="16.85546875" style="14" customWidth="1"/>
    <col min="4561" max="4561" width="9.140625" style="14"/>
    <col min="4562" max="4562" width="11.28515625" style="14" customWidth="1"/>
    <col min="4563" max="4811" width="9.140625" style="14"/>
    <col min="4812" max="4812" width="37.42578125" style="14" customWidth="1"/>
    <col min="4813" max="4813" width="13.5703125" style="14" customWidth="1"/>
    <col min="4814" max="4814" width="14.42578125" style="14" customWidth="1"/>
    <col min="4815" max="4815" width="8.42578125" style="14" bestFit="1" customWidth="1"/>
    <col min="4816" max="4816" width="16.85546875" style="14" customWidth="1"/>
    <col min="4817" max="4817" width="9.140625" style="14"/>
    <col min="4818" max="4818" width="11.28515625" style="14" customWidth="1"/>
    <col min="4819" max="5067" width="9.140625" style="14"/>
    <col min="5068" max="5068" width="37.42578125" style="14" customWidth="1"/>
    <col min="5069" max="5069" width="13.5703125" style="14" customWidth="1"/>
    <col min="5070" max="5070" width="14.42578125" style="14" customWidth="1"/>
    <col min="5071" max="5071" width="8.42578125" style="14" bestFit="1" customWidth="1"/>
    <col min="5072" max="5072" width="16.85546875" style="14" customWidth="1"/>
    <col min="5073" max="5073" width="9.140625" style="14"/>
    <col min="5074" max="5074" width="11.28515625" style="14" customWidth="1"/>
    <col min="5075" max="5323" width="9.140625" style="14"/>
    <col min="5324" max="5324" width="37.42578125" style="14" customWidth="1"/>
    <col min="5325" max="5325" width="13.5703125" style="14" customWidth="1"/>
    <col min="5326" max="5326" width="14.42578125" style="14" customWidth="1"/>
    <col min="5327" max="5327" width="8.42578125" style="14" bestFit="1" customWidth="1"/>
    <col min="5328" max="5328" width="16.85546875" style="14" customWidth="1"/>
    <col min="5329" max="5329" width="9.140625" style="14"/>
    <col min="5330" max="5330" width="11.28515625" style="14" customWidth="1"/>
    <col min="5331" max="5579" width="9.140625" style="14"/>
    <col min="5580" max="5580" width="37.42578125" style="14" customWidth="1"/>
    <col min="5581" max="5581" width="13.5703125" style="14" customWidth="1"/>
    <col min="5582" max="5582" width="14.42578125" style="14" customWidth="1"/>
    <col min="5583" max="5583" width="8.42578125" style="14" bestFit="1" customWidth="1"/>
    <col min="5584" max="5584" width="16.85546875" style="14" customWidth="1"/>
    <col min="5585" max="5585" width="9.140625" style="14"/>
    <col min="5586" max="5586" width="11.28515625" style="14" customWidth="1"/>
    <col min="5587" max="5835" width="9.140625" style="14"/>
    <col min="5836" max="5836" width="37.42578125" style="14" customWidth="1"/>
    <col min="5837" max="5837" width="13.5703125" style="14" customWidth="1"/>
    <col min="5838" max="5838" width="14.42578125" style="14" customWidth="1"/>
    <col min="5839" max="5839" width="8.42578125" style="14" bestFit="1" customWidth="1"/>
    <col min="5840" max="5840" width="16.85546875" style="14" customWidth="1"/>
    <col min="5841" max="5841" width="9.140625" style="14"/>
    <col min="5842" max="5842" width="11.28515625" style="14" customWidth="1"/>
    <col min="5843" max="6091" width="9.140625" style="14"/>
    <col min="6092" max="6092" width="37.42578125" style="14" customWidth="1"/>
    <col min="6093" max="6093" width="13.5703125" style="14" customWidth="1"/>
    <col min="6094" max="6094" width="14.42578125" style="14" customWidth="1"/>
    <col min="6095" max="6095" width="8.42578125" style="14" bestFit="1" customWidth="1"/>
    <col min="6096" max="6096" width="16.85546875" style="14" customWidth="1"/>
    <col min="6097" max="6097" width="9.140625" style="14"/>
    <col min="6098" max="6098" width="11.28515625" style="14" customWidth="1"/>
    <col min="6099" max="6347" width="9.140625" style="14"/>
    <col min="6348" max="6348" width="37.42578125" style="14" customWidth="1"/>
    <col min="6349" max="6349" width="13.5703125" style="14" customWidth="1"/>
    <col min="6350" max="6350" width="14.42578125" style="14" customWidth="1"/>
    <col min="6351" max="6351" width="8.42578125" style="14" bestFit="1" customWidth="1"/>
    <col min="6352" max="6352" width="16.85546875" style="14" customWidth="1"/>
    <col min="6353" max="6353" width="9.140625" style="14"/>
    <col min="6354" max="6354" width="11.28515625" style="14" customWidth="1"/>
    <col min="6355" max="6603" width="9.140625" style="14"/>
    <col min="6604" max="6604" width="37.42578125" style="14" customWidth="1"/>
    <col min="6605" max="6605" width="13.5703125" style="14" customWidth="1"/>
    <col min="6606" max="6606" width="14.42578125" style="14" customWidth="1"/>
    <col min="6607" max="6607" width="8.42578125" style="14" bestFit="1" customWidth="1"/>
    <col min="6608" max="6608" width="16.85546875" style="14" customWidth="1"/>
    <col min="6609" max="6609" width="9.140625" style="14"/>
    <col min="6610" max="6610" width="11.28515625" style="14" customWidth="1"/>
    <col min="6611" max="6859" width="9.140625" style="14"/>
    <col min="6860" max="6860" width="37.42578125" style="14" customWidth="1"/>
    <col min="6861" max="6861" width="13.5703125" style="14" customWidth="1"/>
    <col min="6862" max="6862" width="14.42578125" style="14" customWidth="1"/>
    <col min="6863" max="6863" width="8.42578125" style="14" bestFit="1" customWidth="1"/>
    <col min="6864" max="6864" width="16.85546875" style="14" customWidth="1"/>
    <col min="6865" max="6865" width="9.140625" style="14"/>
    <col min="6866" max="6866" width="11.28515625" style="14" customWidth="1"/>
    <col min="6867" max="7115" width="9.140625" style="14"/>
    <col min="7116" max="7116" width="37.42578125" style="14" customWidth="1"/>
    <col min="7117" max="7117" width="13.5703125" style="14" customWidth="1"/>
    <col min="7118" max="7118" width="14.42578125" style="14" customWidth="1"/>
    <col min="7119" max="7119" width="8.42578125" style="14" bestFit="1" customWidth="1"/>
    <col min="7120" max="7120" width="16.85546875" style="14" customWidth="1"/>
    <col min="7121" max="7121" width="9.140625" style="14"/>
    <col min="7122" max="7122" width="11.28515625" style="14" customWidth="1"/>
    <col min="7123" max="7371" width="9.140625" style="14"/>
    <col min="7372" max="7372" width="37.42578125" style="14" customWidth="1"/>
    <col min="7373" max="7373" width="13.5703125" style="14" customWidth="1"/>
    <col min="7374" max="7374" width="14.42578125" style="14" customWidth="1"/>
    <col min="7375" max="7375" width="8.42578125" style="14" bestFit="1" customWidth="1"/>
    <col min="7376" max="7376" width="16.85546875" style="14" customWidth="1"/>
    <col min="7377" max="7377" width="9.140625" style="14"/>
    <col min="7378" max="7378" width="11.28515625" style="14" customWidth="1"/>
    <col min="7379" max="7627" width="9.140625" style="14"/>
    <col min="7628" max="7628" width="37.42578125" style="14" customWidth="1"/>
    <col min="7629" max="7629" width="13.5703125" style="14" customWidth="1"/>
    <col min="7630" max="7630" width="14.42578125" style="14" customWidth="1"/>
    <col min="7631" max="7631" width="8.42578125" style="14" bestFit="1" customWidth="1"/>
    <col min="7632" max="7632" width="16.85546875" style="14" customWidth="1"/>
    <col min="7633" max="7633" width="9.140625" style="14"/>
    <col min="7634" max="7634" width="11.28515625" style="14" customWidth="1"/>
    <col min="7635" max="7883" width="9.140625" style="14"/>
    <col min="7884" max="7884" width="37.42578125" style="14" customWidth="1"/>
    <col min="7885" max="7885" width="13.5703125" style="14" customWidth="1"/>
    <col min="7886" max="7886" width="14.42578125" style="14" customWidth="1"/>
    <col min="7887" max="7887" width="8.42578125" style="14" bestFit="1" customWidth="1"/>
    <col min="7888" max="7888" width="16.85546875" style="14" customWidth="1"/>
    <col min="7889" max="7889" width="9.140625" style="14"/>
    <col min="7890" max="7890" width="11.28515625" style="14" customWidth="1"/>
    <col min="7891" max="8139" width="9.140625" style="14"/>
    <col min="8140" max="8140" width="37.42578125" style="14" customWidth="1"/>
    <col min="8141" max="8141" width="13.5703125" style="14" customWidth="1"/>
    <col min="8142" max="8142" width="14.42578125" style="14" customWidth="1"/>
    <col min="8143" max="8143" width="8.42578125" style="14" bestFit="1" customWidth="1"/>
    <col min="8144" max="8144" width="16.85546875" style="14" customWidth="1"/>
    <col min="8145" max="8145" width="9.140625" style="14"/>
    <col min="8146" max="8146" width="11.28515625" style="14" customWidth="1"/>
    <col min="8147" max="8395" width="9.140625" style="14"/>
    <col min="8396" max="8396" width="37.42578125" style="14" customWidth="1"/>
    <col min="8397" max="8397" width="13.5703125" style="14" customWidth="1"/>
    <col min="8398" max="8398" width="14.42578125" style="14" customWidth="1"/>
    <col min="8399" max="8399" width="8.42578125" style="14" bestFit="1" customWidth="1"/>
    <col min="8400" max="8400" width="16.85546875" style="14" customWidth="1"/>
    <col min="8401" max="8401" width="9.140625" style="14"/>
    <col min="8402" max="8402" width="11.28515625" style="14" customWidth="1"/>
    <col min="8403" max="8651" width="9.140625" style="14"/>
    <col min="8652" max="8652" width="37.42578125" style="14" customWidth="1"/>
    <col min="8653" max="8653" width="13.5703125" style="14" customWidth="1"/>
    <col min="8654" max="8654" width="14.42578125" style="14" customWidth="1"/>
    <col min="8655" max="8655" width="8.42578125" style="14" bestFit="1" customWidth="1"/>
    <col min="8656" max="8656" width="16.85546875" style="14" customWidth="1"/>
    <col min="8657" max="8657" width="9.140625" style="14"/>
    <col min="8658" max="8658" width="11.28515625" style="14" customWidth="1"/>
    <col min="8659" max="8907" width="9.140625" style="14"/>
    <col min="8908" max="8908" width="37.42578125" style="14" customWidth="1"/>
    <col min="8909" max="8909" width="13.5703125" style="14" customWidth="1"/>
    <col min="8910" max="8910" width="14.42578125" style="14" customWidth="1"/>
    <col min="8911" max="8911" width="8.42578125" style="14" bestFit="1" customWidth="1"/>
    <col min="8912" max="8912" width="16.85546875" style="14" customWidth="1"/>
    <col min="8913" max="8913" width="9.140625" style="14"/>
    <col min="8914" max="8914" width="11.28515625" style="14" customWidth="1"/>
    <col min="8915" max="9163" width="9.140625" style="14"/>
    <col min="9164" max="9164" width="37.42578125" style="14" customWidth="1"/>
    <col min="9165" max="9165" width="13.5703125" style="14" customWidth="1"/>
    <col min="9166" max="9166" width="14.42578125" style="14" customWidth="1"/>
    <col min="9167" max="9167" width="8.42578125" style="14" bestFit="1" customWidth="1"/>
    <col min="9168" max="9168" width="16.85546875" style="14" customWidth="1"/>
    <col min="9169" max="9169" width="9.140625" style="14"/>
    <col min="9170" max="9170" width="11.28515625" style="14" customWidth="1"/>
    <col min="9171" max="9419" width="9.140625" style="14"/>
    <col min="9420" max="9420" width="37.42578125" style="14" customWidth="1"/>
    <col min="9421" max="9421" width="13.5703125" style="14" customWidth="1"/>
    <col min="9422" max="9422" width="14.42578125" style="14" customWidth="1"/>
    <col min="9423" max="9423" width="8.42578125" style="14" bestFit="1" customWidth="1"/>
    <col min="9424" max="9424" width="16.85546875" style="14" customWidth="1"/>
    <col min="9425" max="9425" width="9.140625" style="14"/>
    <col min="9426" max="9426" width="11.28515625" style="14" customWidth="1"/>
    <col min="9427" max="9675" width="9.140625" style="14"/>
    <col min="9676" max="9676" width="37.42578125" style="14" customWidth="1"/>
    <col min="9677" max="9677" width="13.5703125" style="14" customWidth="1"/>
    <col min="9678" max="9678" width="14.42578125" style="14" customWidth="1"/>
    <col min="9679" max="9679" width="8.42578125" style="14" bestFit="1" customWidth="1"/>
    <col min="9680" max="9680" width="16.85546875" style="14" customWidth="1"/>
    <col min="9681" max="9681" width="9.140625" style="14"/>
    <col min="9682" max="9682" width="11.28515625" style="14" customWidth="1"/>
    <col min="9683" max="9931" width="9.140625" style="14"/>
    <col min="9932" max="9932" width="37.42578125" style="14" customWidth="1"/>
    <col min="9933" max="9933" width="13.5703125" style="14" customWidth="1"/>
    <col min="9934" max="9934" width="14.42578125" style="14" customWidth="1"/>
    <col min="9935" max="9935" width="8.42578125" style="14" bestFit="1" customWidth="1"/>
    <col min="9936" max="9936" width="16.85546875" style="14" customWidth="1"/>
    <col min="9937" max="9937" width="9.140625" style="14"/>
    <col min="9938" max="9938" width="11.28515625" style="14" customWidth="1"/>
    <col min="9939" max="10187" width="9.140625" style="14"/>
    <col min="10188" max="10188" width="37.42578125" style="14" customWidth="1"/>
    <col min="10189" max="10189" width="13.5703125" style="14" customWidth="1"/>
    <col min="10190" max="10190" width="14.42578125" style="14" customWidth="1"/>
    <col min="10191" max="10191" width="8.42578125" style="14" bestFit="1" customWidth="1"/>
    <col min="10192" max="10192" width="16.85546875" style="14" customWidth="1"/>
    <col min="10193" max="10193" width="9.140625" style="14"/>
    <col min="10194" max="10194" width="11.28515625" style="14" customWidth="1"/>
    <col min="10195" max="10443" width="9.140625" style="14"/>
    <col min="10444" max="10444" width="37.42578125" style="14" customWidth="1"/>
    <col min="10445" max="10445" width="13.5703125" style="14" customWidth="1"/>
    <col min="10446" max="10446" width="14.42578125" style="14" customWidth="1"/>
    <col min="10447" max="10447" width="8.42578125" style="14" bestFit="1" customWidth="1"/>
    <col min="10448" max="10448" width="16.85546875" style="14" customWidth="1"/>
    <col min="10449" max="10449" width="9.140625" style="14"/>
    <col min="10450" max="10450" width="11.28515625" style="14" customWidth="1"/>
    <col min="10451" max="10699" width="9.140625" style="14"/>
    <col min="10700" max="10700" width="37.42578125" style="14" customWidth="1"/>
    <col min="10701" max="10701" width="13.5703125" style="14" customWidth="1"/>
    <col min="10702" max="10702" width="14.42578125" style="14" customWidth="1"/>
    <col min="10703" max="10703" width="8.42578125" style="14" bestFit="1" customWidth="1"/>
    <col min="10704" max="10704" width="16.85546875" style="14" customWidth="1"/>
    <col min="10705" max="10705" width="9.140625" style="14"/>
    <col min="10706" max="10706" width="11.28515625" style="14" customWidth="1"/>
    <col min="10707" max="10955" width="9.140625" style="14"/>
    <col min="10956" max="10956" width="37.42578125" style="14" customWidth="1"/>
    <col min="10957" max="10957" width="13.5703125" style="14" customWidth="1"/>
    <col min="10958" max="10958" width="14.42578125" style="14" customWidth="1"/>
    <col min="10959" max="10959" width="8.42578125" style="14" bestFit="1" customWidth="1"/>
    <col min="10960" max="10960" width="16.85546875" style="14" customWidth="1"/>
    <col min="10961" max="10961" width="9.140625" style="14"/>
    <col min="10962" max="10962" width="11.28515625" style="14" customWidth="1"/>
    <col min="10963" max="11211" width="9.140625" style="14"/>
    <col min="11212" max="11212" width="37.42578125" style="14" customWidth="1"/>
    <col min="11213" max="11213" width="13.5703125" style="14" customWidth="1"/>
    <col min="11214" max="11214" width="14.42578125" style="14" customWidth="1"/>
    <col min="11215" max="11215" width="8.42578125" style="14" bestFit="1" customWidth="1"/>
    <col min="11216" max="11216" width="16.85546875" style="14" customWidth="1"/>
    <col min="11217" max="11217" width="9.140625" style="14"/>
    <col min="11218" max="11218" width="11.28515625" style="14" customWidth="1"/>
    <col min="11219" max="11467" width="9.140625" style="14"/>
    <col min="11468" max="11468" width="37.42578125" style="14" customWidth="1"/>
    <col min="11469" max="11469" width="13.5703125" style="14" customWidth="1"/>
    <col min="11470" max="11470" width="14.42578125" style="14" customWidth="1"/>
    <col min="11471" max="11471" width="8.42578125" style="14" bestFit="1" customWidth="1"/>
    <col min="11472" max="11472" width="16.85546875" style="14" customWidth="1"/>
    <col min="11473" max="11473" width="9.140625" style="14"/>
    <col min="11474" max="11474" width="11.28515625" style="14" customWidth="1"/>
    <col min="11475" max="11723" width="9.140625" style="14"/>
    <col min="11724" max="11724" width="37.42578125" style="14" customWidth="1"/>
    <col min="11725" max="11725" width="13.5703125" style="14" customWidth="1"/>
    <col min="11726" max="11726" width="14.42578125" style="14" customWidth="1"/>
    <col min="11727" max="11727" width="8.42578125" style="14" bestFit="1" customWidth="1"/>
    <col min="11728" max="11728" width="16.85546875" style="14" customWidth="1"/>
    <col min="11729" max="11729" width="9.140625" style="14"/>
    <col min="11730" max="11730" width="11.28515625" style="14" customWidth="1"/>
    <col min="11731" max="11979" width="9.140625" style="14"/>
    <col min="11980" max="11980" width="37.42578125" style="14" customWidth="1"/>
    <col min="11981" max="11981" width="13.5703125" style="14" customWidth="1"/>
    <col min="11982" max="11982" width="14.42578125" style="14" customWidth="1"/>
    <col min="11983" max="11983" width="8.42578125" style="14" bestFit="1" customWidth="1"/>
    <col min="11984" max="11984" width="16.85546875" style="14" customWidth="1"/>
    <col min="11985" max="11985" width="9.140625" style="14"/>
    <col min="11986" max="11986" width="11.28515625" style="14" customWidth="1"/>
    <col min="11987" max="12235" width="9.140625" style="14"/>
    <col min="12236" max="12236" width="37.42578125" style="14" customWidth="1"/>
    <col min="12237" max="12237" width="13.5703125" style="14" customWidth="1"/>
    <col min="12238" max="12238" width="14.42578125" style="14" customWidth="1"/>
    <col min="12239" max="12239" width="8.42578125" style="14" bestFit="1" customWidth="1"/>
    <col min="12240" max="12240" width="16.85546875" style="14" customWidth="1"/>
    <col min="12241" max="12241" width="9.140625" style="14"/>
    <col min="12242" max="12242" width="11.28515625" style="14" customWidth="1"/>
    <col min="12243" max="12491" width="9.140625" style="14"/>
    <col min="12492" max="12492" width="37.42578125" style="14" customWidth="1"/>
    <col min="12493" max="12493" width="13.5703125" style="14" customWidth="1"/>
    <col min="12494" max="12494" width="14.42578125" style="14" customWidth="1"/>
    <col min="12495" max="12495" width="8.42578125" style="14" bestFit="1" customWidth="1"/>
    <col min="12496" max="12496" width="16.85546875" style="14" customWidth="1"/>
    <col min="12497" max="12497" width="9.140625" style="14"/>
    <col min="12498" max="12498" width="11.28515625" style="14" customWidth="1"/>
    <col min="12499" max="12747" width="9.140625" style="14"/>
    <col min="12748" max="12748" width="37.42578125" style="14" customWidth="1"/>
    <col min="12749" max="12749" width="13.5703125" style="14" customWidth="1"/>
    <col min="12750" max="12750" width="14.42578125" style="14" customWidth="1"/>
    <col min="12751" max="12751" width="8.42578125" style="14" bestFit="1" customWidth="1"/>
    <col min="12752" max="12752" width="16.85546875" style="14" customWidth="1"/>
    <col min="12753" max="12753" width="9.140625" style="14"/>
    <col min="12754" max="12754" width="11.28515625" style="14" customWidth="1"/>
    <col min="12755" max="13003" width="9.140625" style="14"/>
    <col min="13004" max="13004" width="37.42578125" style="14" customWidth="1"/>
    <col min="13005" max="13005" width="13.5703125" style="14" customWidth="1"/>
    <col min="13006" max="13006" width="14.42578125" style="14" customWidth="1"/>
    <col min="13007" max="13007" width="8.42578125" style="14" bestFit="1" customWidth="1"/>
    <col min="13008" max="13008" width="16.85546875" style="14" customWidth="1"/>
    <col min="13009" max="13009" width="9.140625" style="14"/>
    <col min="13010" max="13010" width="11.28515625" style="14" customWidth="1"/>
    <col min="13011" max="13259" width="9.140625" style="14"/>
    <col min="13260" max="13260" width="37.42578125" style="14" customWidth="1"/>
    <col min="13261" max="13261" width="13.5703125" style="14" customWidth="1"/>
    <col min="13262" max="13262" width="14.42578125" style="14" customWidth="1"/>
    <col min="13263" max="13263" width="8.42578125" style="14" bestFit="1" customWidth="1"/>
    <col min="13264" max="13264" width="16.85546875" style="14" customWidth="1"/>
    <col min="13265" max="13265" width="9.140625" style="14"/>
    <col min="13266" max="13266" width="11.28515625" style="14" customWidth="1"/>
    <col min="13267" max="13515" width="9.140625" style="14"/>
    <col min="13516" max="13516" width="37.42578125" style="14" customWidth="1"/>
    <col min="13517" max="13517" width="13.5703125" style="14" customWidth="1"/>
    <col min="13518" max="13518" width="14.42578125" style="14" customWidth="1"/>
    <col min="13519" max="13519" width="8.42578125" style="14" bestFit="1" customWidth="1"/>
    <col min="13520" max="13520" width="16.85546875" style="14" customWidth="1"/>
    <col min="13521" max="13521" width="9.140625" style="14"/>
    <col min="13522" max="13522" width="11.28515625" style="14" customWidth="1"/>
    <col min="13523" max="13771" width="9.140625" style="14"/>
    <col min="13772" max="13772" width="37.42578125" style="14" customWidth="1"/>
    <col min="13773" max="13773" width="13.5703125" style="14" customWidth="1"/>
    <col min="13774" max="13774" width="14.42578125" style="14" customWidth="1"/>
    <col min="13775" max="13775" width="8.42578125" style="14" bestFit="1" customWidth="1"/>
    <col min="13776" max="13776" width="16.85546875" style="14" customWidth="1"/>
    <col min="13777" max="13777" width="9.140625" style="14"/>
    <col min="13778" max="13778" width="11.28515625" style="14" customWidth="1"/>
    <col min="13779" max="14027" width="9.140625" style="14"/>
    <col min="14028" max="14028" width="37.42578125" style="14" customWidth="1"/>
    <col min="14029" max="14029" width="13.5703125" style="14" customWidth="1"/>
    <col min="14030" max="14030" width="14.42578125" style="14" customWidth="1"/>
    <col min="14031" max="14031" width="8.42578125" style="14" bestFit="1" customWidth="1"/>
    <col min="14032" max="14032" width="16.85546875" style="14" customWidth="1"/>
    <col min="14033" max="14033" width="9.140625" style="14"/>
    <col min="14034" max="14034" width="11.28515625" style="14" customWidth="1"/>
    <col min="14035" max="14283" width="9.140625" style="14"/>
    <col min="14284" max="14284" width="37.42578125" style="14" customWidth="1"/>
    <col min="14285" max="14285" width="13.5703125" style="14" customWidth="1"/>
    <col min="14286" max="14286" width="14.42578125" style="14" customWidth="1"/>
    <col min="14287" max="14287" width="8.42578125" style="14" bestFit="1" customWidth="1"/>
    <col min="14288" max="14288" width="16.85546875" style="14" customWidth="1"/>
    <col min="14289" max="14289" width="9.140625" style="14"/>
    <col min="14290" max="14290" width="11.28515625" style="14" customWidth="1"/>
    <col min="14291" max="14539" width="9.140625" style="14"/>
    <col min="14540" max="14540" width="37.42578125" style="14" customWidth="1"/>
    <col min="14541" max="14541" width="13.5703125" style="14" customWidth="1"/>
    <col min="14542" max="14542" width="14.42578125" style="14" customWidth="1"/>
    <col min="14543" max="14543" width="8.42578125" style="14" bestFit="1" customWidth="1"/>
    <col min="14544" max="14544" width="16.85546875" style="14" customWidth="1"/>
    <col min="14545" max="14545" width="9.140625" style="14"/>
    <col min="14546" max="14546" width="11.28515625" style="14" customWidth="1"/>
    <col min="14547" max="14795" width="9.140625" style="14"/>
    <col min="14796" max="14796" width="37.42578125" style="14" customWidth="1"/>
    <col min="14797" max="14797" width="13.5703125" style="14" customWidth="1"/>
    <col min="14798" max="14798" width="14.42578125" style="14" customWidth="1"/>
    <col min="14799" max="14799" width="8.42578125" style="14" bestFit="1" customWidth="1"/>
    <col min="14800" max="14800" width="16.85546875" style="14" customWidth="1"/>
    <col min="14801" max="14801" width="9.140625" style="14"/>
    <col min="14802" max="14802" width="11.28515625" style="14" customWidth="1"/>
    <col min="14803" max="15051" width="9.140625" style="14"/>
    <col min="15052" max="15052" width="37.42578125" style="14" customWidth="1"/>
    <col min="15053" max="15053" width="13.5703125" style="14" customWidth="1"/>
    <col min="15054" max="15054" width="14.42578125" style="14" customWidth="1"/>
    <col min="15055" max="15055" width="8.42578125" style="14" bestFit="1" customWidth="1"/>
    <col min="15056" max="15056" width="16.85546875" style="14" customWidth="1"/>
    <col min="15057" max="15057" width="9.140625" style="14"/>
    <col min="15058" max="15058" width="11.28515625" style="14" customWidth="1"/>
    <col min="15059" max="15307" width="9.140625" style="14"/>
    <col min="15308" max="15308" width="37.42578125" style="14" customWidth="1"/>
    <col min="15309" max="15309" width="13.5703125" style="14" customWidth="1"/>
    <col min="15310" max="15310" width="14.42578125" style="14" customWidth="1"/>
    <col min="15311" max="15311" width="8.42578125" style="14" bestFit="1" customWidth="1"/>
    <col min="15312" max="15312" width="16.85546875" style="14" customWidth="1"/>
    <col min="15313" max="15313" width="9.140625" style="14"/>
    <col min="15314" max="15314" width="11.28515625" style="14" customWidth="1"/>
    <col min="15315" max="15563" width="9.140625" style="14"/>
    <col min="15564" max="15564" width="37.42578125" style="14" customWidth="1"/>
    <col min="15565" max="15565" width="13.5703125" style="14" customWidth="1"/>
    <col min="15566" max="15566" width="14.42578125" style="14" customWidth="1"/>
    <col min="15567" max="15567" width="8.42578125" style="14" bestFit="1" customWidth="1"/>
    <col min="15568" max="15568" width="16.85546875" style="14" customWidth="1"/>
    <col min="15569" max="15569" width="9.140625" style="14"/>
    <col min="15570" max="15570" width="11.28515625" style="14" customWidth="1"/>
    <col min="15571" max="15819" width="9.140625" style="14"/>
    <col min="15820" max="15820" width="37.42578125" style="14" customWidth="1"/>
    <col min="15821" max="15821" width="13.5703125" style="14" customWidth="1"/>
    <col min="15822" max="15822" width="14.42578125" style="14" customWidth="1"/>
    <col min="15823" max="15823" width="8.42578125" style="14" bestFit="1" customWidth="1"/>
    <col min="15824" max="15824" width="16.85546875" style="14" customWidth="1"/>
    <col min="15825" max="15825" width="9.140625" style="14"/>
    <col min="15826" max="15826" width="11.28515625" style="14" customWidth="1"/>
    <col min="15827" max="16075" width="9.140625" style="14"/>
    <col min="16076" max="16076" width="37.42578125" style="14" customWidth="1"/>
    <col min="16077" max="16077" width="13.5703125" style="14" customWidth="1"/>
    <col min="16078" max="16078" width="14.42578125" style="14" customWidth="1"/>
    <col min="16079" max="16079" width="8.42578125" style="14" bestFit="1" customWidth="1"/>
    <col min="16080" max="16080" width="16.85546875" style="14" customWidth="1"/>
    <col min="16081" max="16081" width="9.140625" style="14"/>
    <col min="16082" max="16082" width="11.28515625" style="14" customWidth="1"/>
    <col min="16083" max="16384" width="9.140625" style="14"/>
  </cols>
  <sheetData>
    <row r="1" spans="1:14" ht="25.9" customHeight="1" x14ac:dyDescent="0.2">
      <c r="A1" s="439" t="s">
        <v>53</v>
      </c>
      <c r="B1" s="440"/>
      <c r="C1" s="440"/>
      <c r="D1" s="440"/>
      <c r="E1" s="441"/>
      <c r="F1" s="442"/>
      <c r="G1" s="13"/>
    </row>
    <row r="2" spans="1:14" ht="26.45" customHeight="1" x14ac:dyDescent="0.2">
      <c r="A2" s="16" t="s">
        <v>54</v>
      </c>
      <c r="B2" s="443" t="str">
        <f>'BOM R2D CatWalk'!H3</f>
        <v>WELDMENT, R2D CATWALK, LEV 1, PC4100</v>
      </c>
      <c r="C2" s="444"/>
      <c r="D2" s="17"/>
      <c r="E2" s="17" t="s">
        <v>55</v>
      </c>
      <c r="F2" s="128"/>
    </row>
    <row r="3" spans="1:14" ht="24.6" customHeight="1" thickBot="1" x14ac:dyDescent="0.25">
      <c r="A3" s="16" t="s">
        <v>56</v>
      </c>
      <c r="B3" s="443" t="str">
        <f>'BOM R2D CatWalk'!F3</f>
        <v>AY30011</v>
      </c>
      <c r="C3" s="444"/>
      <c r="D3" s="17"/>
      <c r="E3" s="17" t="s">
        <v>57</v>
      </c>
      <c r="F3" s="19">
        <f>'BOM R2D CatWalk'!J3</f>
        <v>1</v>
      </c>
      <c r="G3" s="13"/>
    </row>
    <row r="4" spans="1:14" ht="25.5" customHeight="1" thickBot="1" x14ac:dyDescent="0.25">
      <c r="A4" s="16" t="s">
        <v>58</v>
      </c>
      <c r="B4" s="129"/>
      <c r="C4" s="129">
        <f>'BOM R2D CatWalk'!M3</f>
        <v>3208</v>
      </c>
      <c r="D4" s="20"/>
      <c r="E4" s="211"/>
      <c r="F4" s="21"/>
      <c r="G4" s="13"/>
      <c r="I4" s="479" t="s">
        <v>181</v>
      </c>
      <c r="J4" s="480"/>
      <c r="K4" s="480"/>
      <c r="L4" s="480"/>
      <c r="M4" s="480"/>
      <c r="N4" s="481"/>
    </row>
    <row r="5" spans="1:14" ht="21.75" customHeight="1" thickBot="1" x14ac:dyDescent="0.25">
      <c r="A5" s="461" t="s">
        <v>59</v>
      </c>
      <c r="B5" s="462"/>
      <c r="C5" s="462"/>
      <c r="D5" s="462"/>
      <c r="E5" s="463"/>
      <c r="F5" s="464"/>
      <c r="G5" s="22"/>
      <c r="I5" s="186" t="s">
        <v>13</v>
      </c>
      <c r="J5" s="186" t="s">
        <v>46</v>
      </c>
      <c r="K5" s="186" t="s">
        <v>47</v>
      </c>
      <c r="L5" s="186" t="s">
        <v>48</v>
      </c>
      <c r="M5" s="186" t="s">
        <v>180</v>
      </c>
      <c r="N5" s="186" t="s">
        <v>49</v>
      </c>
    </row>
    <row r="6" spans="1:14" ht="28.5" customHeight="1" thickBot="1" x14ac:dyDescent="0.25">
      <c r="A6" s="465" t="s">
        <v>60</v>
      </c>
      <c r="B6" s="466"/>
      <c r="C6" s="466"/>
      <c r="D6" s="466"/>
      <c r="E6" s="467"/>
      <c r="F6" s="468"/>
      <c r="G6" s="22"/>
      <c r="H6" s="23"/>
      <c r="I6" s="187" t="s">
        <v>50</v>
      </c>
      <c r="J6" s="187" t="s">
        <v>166</v>
      </c>
      <c r="K6" s="188" t="s">
        <v>171</v>
      </c>
      <c r="L6" s="187">
        <v>8</v>
      </c>
      <c r="M6" s="189">
        <f>'RM Details'!E4</f>
        <v>158.59461759999999</v>
      </c>
      <c r="N6" s="189">
        <f>'RM Details'!F4</f>
        <v>218.06759919999999</v>
      </c>
    </row>
    <row r="7" spans="1:14" ht="27" customHeight="1" thickBot="1" x14ac:dyDescent="0.25">
      <c r="A7" s="24" t="s">
        <v>61</v>
      </c>
      <c r="B7" s="25"/>
      <c r="C7" s="25"/>
      <c r="D7" s="25" t="s">
        <v>171</v>
      </c>
      <c r="E7" s="26"/>
      <c r="F7" s="26" t="s">
        <v>172</v>
      </c>
      <c r="G7" s="22"/>
      <c r="H7" s="2"/>
      <c r="I7" s="187" t="s">
        <v>50</v>
      </c>
      <c r="J7" s="187" t="s">
        <v>165</v>
      </c>
      <c r="K7" s="188" t="s">
        <v>172</v>
      </c>
      <c r="L7" s="187">
        <v>20</v>
      </c>
      <c r="M7" s="189">
        <f>'RM Details'!E5</f>
        <v>8.6183999999999994</v>
      </c>
      <c r="N7" s="189">
        <f>'RM Details'!F5</f>
        <v>10.084816499999999</v>
      </c>
    </row>
    <row r="8" spans="1:14" ht="17.25" customHeight="1" x14ac:dyDescent="0.2">
      <c r="A8" s="27" t="s">
        <v>62</v>
      </c>
      <c r="B8" s="28"/>
      <c r="C8" s="82"/>
      <c r="D8" s="29">
        <f>N6</f>
        <v>218.06759919999999</v>
      </c>
      <c r="E8" s="212"/>
      <c r="F8" s="30">
        <f>N7</f>
        <v>10.084816499999999</v>
      </c>
      <c r="G8" s="22">
        <f>SUM(B8:F8)</f>
        <v>228.15241569999998</v>
      </c>
      <c r="H8" s="2"/>
    </row>
    <row r="9" spans="1:14" ht="18" customHeight="1" x14ac:dyDescent="0.2">
      <c r="A9" s="31" t="s">
        <v>63</v>
      </c>
      <c r="B9" s="88"/>
      <c r="C9" s="206"/>
      <c r="D9" s="32">
        <f>M6</f>
        <v>158.59461759999999</v>
      </c>
      <c r="E9" s="213"/>
      <c r="F9" s="83">
        <f>M7</f>
        <v>8.6183999999999994</v>
      </c>
      <c r="G9" s="22">
        <f>SUM(B9:F9)</f>
        <v>167.2130176</v>
      </c>
      <c r="H9" s="2"/>
    </row>
    <row r="10" spans="1:14" ht="15" x14ac:dyDescent="0.2">
      <c r="A10" s="33" t="s">
        <v>64</v>
      </c>
      <c r="B10" s="89"/>
      <c r="C10" s="207"/>
      <c r="D10" s="34">
        <f t="shared" ref="D10:F10" si="0">(D8-D9)*80%</f>
        <v>47.578385279999999</v>
      </c>
      <c r="E10" s="214"/>
      <c r="F10" s="84">
        <f t="shared" si="0"/>
        <v>1.1731331999999994</v>
      </c>
      <c r="G10" s="35">
        <f>(G8-G9)/G9</f>
        <v>0.36444171018895588</v>
      </c>
      <c r="H10" s="36"/>
    </row>
    <row r="11" spans="1:14" ht="15" x14ac:dyDescent="0.25">
      <c r="A11" s="37" t="s">
        <v>65</v>
      </c>
      <c r="B11" s="38"/>
      <c r="C11" s="208"/>
      <c r="D11" s="39">
        <v>85</v>
      </c>
      <c r="E11" s="215"/>
      <c r="F11" s="85">
        <v>150</v>
      </c>
      <c r="G11" s="22">
        <f>SUMPRODUCT(B11:F11,B8:F8)</f>
        <v>20048.468406999997</v>
      </c>
      <c r="H11"/>
      <c r="I11" s="40"/>
    </row>
    <row r="12" spans="1:14" ht="15" x14ac:dyDescent="0.25">
      <c r="A12" s="33" t="s">
        <v>66</v>
      </c>
      <c r="B12" s="41"/>
      <c r="C12" s="209"/>
      <c r="D12" s="42">
        <v>30</v>
      </c>
      <c r="E12" s="216"/>
      <c r="F12" s="86">
        <v>30</v>
      </c>
      <c r="G12" s="22"/>
      <c r="H12"/>
    </row>
    <row r="13" spans="1:14" ht="15.75" thickBot="1" x14ac:dyDescent="0.3">
      <c r="A13" s="43" t="s">
        <v>67</v>
      </c>
      <c r="B13" s="44"/>
      <c r="C13" s="210"/>
      <c r="D13" s="45">
        <f t="shared" ref="D13:F13" si="1">(D8*D11)-(D10*D12)</f>
        <v>17108.394373599996</v>
      </c>
      <c r="E13" s="217"/>
      <c r="F13" s="87">
        <f t="shared" si="1"/>
        <v>1477.5284789999998</v>
      </c>
      <c r="G13" s="46">
        <f>SUM(B13:F13)</f>
        <v>18585.922852599997</v>
      </c>
      <c r="H13"/>
    </row>
    <row r="14" spans="1:14" ht="15.75" thickBot="1" x14ac:dyDescent="0.25">
      <c r="A14" s="47" t="s">
        <v>68</v>
      </c>
      <c r="B14" s="469">
        <f>SUM(B13:F13)</f>
        <v>18585.922852599997</v>
      </c>
      <c r="C14" s="470"/>
      <c r="D14" s="471"/>
      <c r="E14" s="472"/>
      <c r="F14" s="473"/>
      <c r="G14" s="48">
        <f>G13/G8</f>
        <v>81.462748468281944</v>
      </c>
      <c r="H14" s="36"/>
    </row>
    <row r="15" spans="1:14" ht="15" x14ac:dyDescent="0.25">
      <c r="A15" s="474" t="s">
        <v>69</v>
      </c>
      <c r="B15" s="475"/>
      <c r="C15" s="475"/>
      <c r="D15" s="475"/>
      <c r="E15" s="476"/>
      <c r="F15" s="477"/>
      <c r="G15" s="22"/>
      <c r="H15"/>
    </row>
    <row r="16" spans="1:14" ht="24.75" customHeight="1" x14ac:dyDescent="0.2">
      <c r="A16" s="49" t="s">
        <v>70</v>
      </c>
      <c r="B16" s="50"/>
      <c r="C16" s="50"/>
      <c r="D16" s="51"/>
      <c r="E16" s="218"/>
      <c r="F16" s="52"/>
      <c r="G16" s="22"/>
      <c r="H16" s="36"/>
    </row>
    <row r="17" spans="1:9" ht="20.25" customHeight="1" x14ac:dyDescent="0.2">
      <c r="A17" s="445" t="s">
        <v>71</v>
      </c>
      <c r="B17" s="446"/>
      <c r="C17" s="446"/>
      <c r="D17" s="446"/>
      <c r="E17" s="219"/>
      <c r="F17" s="54">
        <f>SUM(F16:F16)</f>
        <v>0</v>
      </c>
      <c r="G17" s="127"/>
      <c r="I17" s="53"/>
    </row>
    <row r="18" spans="1:9" ht="13.5" thickBot="1" x14ac:dyDescent="0.25">
      <c r="A18" s="447" t="s">
        <v>72</v>
      </c>
      <c r="B18" s="448"/>
      <c r="C18" s="448"/>
      <c r="D18" s="448"/>
      <c r="E18" s="220"/>
      <c r="F18" s="55">
        <f>B14+F17</f>
        <v>18585.922852599997</v>
      </c>
      <c r="G18" s="22"/>
      <c r="I18" s="53"/>
    </row>
    <row r="19" spans="1:9" ht="22.5" customHeight="1" x14ac:dyDescent="0.2">
      <c r="A19" s="449" t="s">
        <v>73</v>
      </c>
      <c r="B19" s="450"/>
      <c r="C19" s="450"/>
      <c r="D19" s="450"/>
      <c r="E19" s="451"/>
      <c r="F19" s="452"/>
      <c r="G19" s="22"/>
    </row>
    <row r="20" spans="1:9" x14ac:dyDescent="0.2">
      <c r="A20" s="56" t="s">
        <v>61</v>
      </c>
      <c r="B20" s="57" t="s">
        <v>23</v>
      </c>
      <c r="C20" s="57"/>
      <c r="D20" s="58" t="s">
        <v>74</v>
      </c>
      <c r="E20" s="59"/>
      <c r="F20" s="60" t="s">
        <v>75</v>
      </c>
      <c r="G20" s="22"/>
    </row>
    <row r="21" spans="1:9" ht="18" customHeight="1" x14ac:dyDescent="0.2">
      <c r="A21" s="61" t="s">
        <v>76</v>
      </c>
      <c r="B21" s="62">
        <f>'BOM R2D CatWalk'!W3</f>
        <v>0</v>
      </c>
      <c r="C21" s="62"/>
      <c r="D21" s="63">
        <v>50</v>
      </c>
      <c r="E21" s="64" t="s">
        <v>183</v>
      </c>
      <c r="F21" s="54">
        <f t="shared" ref="F21:F27" si="2">B21*D21</f>
        <v>0</v>
      </c>
      <c r="G21" s="65"/>
      <c r="H21" s="78">
        <f>F21/$G$9</f>
        <v>0</v>
      </c>
    </row>
    <row r="22" spans="1:9" ht="20.25" customHeight="1" x14ac:dyDescent="0.2">
      <c r="A22" s="61" t="s">
        <v>77</v>
      </c>
      <c r="B22" s="62">
        <f>'BOM R2D CatWalk'!AA3/60</f>
        <v>3.3333333333333335</v>
      </c>
      <c r="C22" s="62"/>
      <c r="D22" s="63">
        <v>550</v>
      </c>
      <c r="E22" s="64"/>
      <c r="F22" s="54">
        <f t="shared" si="2"/>
        <v>1833.3333333333335</v>
      </c>
      <c r="G22" s="65"/>
      <c r="H22" s="78">
        <f t="shared" ref="H22:H35" si="3">F22/$G$9</f>
        <v>10.964058657914762</v>
      </c>
    </row>
    <row r="23" spans="1:9" ht="18" customHeight="1" x14ac:dyDescent="0.2">
      <c r="A23" s="61" t="s">
        <v>78</v>
      </c>
      <c r="B23" s="62">
        <f>'BOM R2D CatWalk'!Y3</f>
        <v>0</v>
      </c>
      <c r="C23" s="62"/>
      <c r="D23" s="63">
        <v>10</v>
      </c>
      <c r="E23" s="64"/>
      <c r="F23" s="54">
        <f t="shared" si="2"/>
        <v>0</v>
      </c>
      <c r="G23" s="90"/>
      <c r="H23" s="78">
        <f t="shared" si="3"/>
        <v>0</v>
      </c>
    </row>
    <row r="24" spans="1:9" ht="18" customHeight="1" x14ac:dyDescent="0.2">
      <c r="A24" s="61" t="s">
        <v>79</v>
      </c>
      <c r="B24" s="62">
        <f>'BOM R2D CatWalk'!AE3</f>
        <v>0</v>
      </c>
      <c r="C24" s="62"/>
      <c r="D24" s="63">
        <v>250</v>
      </c>
      <c r="E24" s="64"/>
      <c r="F24" s="54">
        <f t="shared" si="2"/>
        <v>0</v>
      </c>
      <c r="G24" s="65"/>
      <c r="H24" s="78">
        <f t="shared" si="3"/>
        <v>0</v>
      </c>
    </row>
    <row r="25" spans="1:9" ht="18" customHeight="1" x14ac:dyDescent="0.2">
      <c r="A25" s="61" t="s">
        <v>80</v>
      </c>
      <c r="B25" s="62">
        <f>B24/15</f>
        <v>0</v>
      </c>
      <c r="C25" s="62"/>
      <c r="D25" s="63">
        <v>250</v>
      </c>
      <c r="E25" s="64"/>
      <c r="F25" s="54">
        <f t="shared" si="2"/>
        <v>0</v>
      </c>
      <c r="G25" s="65"/>
      <c r="H25" s="78">
        <f t="shared" si="3"/>
        <v>0</v>
      </c>
    </row>
    <row r="26" spans="1:9" ht="18" customHeight="1" x14ac:dyDescent="0.2">
      <c r="A26" s="61" t="s">
        <v>81</v>
      </c>
      <c r="B26" s="62">
        <f>G9/95</f>
        <v>1.7601370273684211</v>
      </c>
      <c r="C26" s="62"/>
      <c r="D26" s="63">
        <v>1200</v>
      </c>
      <c r="E26" s="64"/>
      <c r="F26" s="54">
        <f t="shared" si="2"/>
        <v>2112.1644328421053</v>
      </c>
      <c r="G26" s="65"/>
      <c r="H26" s="78">
        <f t="shared" si="3"/>
        <v>12.631578947368421</v>
      </c>
    </row>
    <row r="27" spans="1:9" x14ac:dyDescent="0.2">
      <c r="A27" s="66" t="s">
        <v>82</v>
      </c>
      <c r="B27" s="67"/>
      <c r="C27" s="67"/>
      <c r="D27" s="68">
        <v>250</v>
      </c>
      <c r="E27" s="69"/>
      <c r="F27" s="70">
        <f t="shared" si="2"/>
        <v>0</v>
      </c>
      <c r="G27" s="127" t="s">
        <v>83</v>
      </c>
      <c r="H27" s="78">
        <f t="shared" si="3"/>
        <v>0</v>
      </c>
    </row>
    <row r="28" spans="1:9" ht="18" customHeight="1" x14ac:dyDescent="0.2">
      <c r="A28" s="61" t="s">
        <v>84</v>
      </c>
      <c r="B28" s="62"/>
      <c r="C28" s="62"/>
      <c r="D28" s="63">
        <v>5</v>
      </c>
      <c r="E28" s="64"/>
      <c r="F28" s="71">
        <f>D28*G9</f>
        <v>836.06508800000006</v>
      </c>
      <c r="G28" s="22"/>
      <c r="H28" s="78">
        <f t="shared" si="3"/>
        <v>5</v>
      </c>
    </row>
    <row r="29" spans="1:9" ht="18" customHeight="1" x14ac:dyDescent="0.2">
      <c r="A29" s="61" t="s">
        <v>85</v>
      </c>
      <c r="B29" s="62">
        <v>0</v>
      </c>
      <c r="C29" s="62"/>
      <c r="D29" s="63">
        <v>50</v>
      </c>
      <c r="E29" s="64"/>
      <c r="F29" s="71">
        <f>B29*D29</f>
        <v>0</v>
      </c>
      <c r="G29" s="22"/>
      <c r="H29" s="78">
        <f t="shared" si="3"/>
        <v>0</v>
      </c>
    </row>
    <row r="30" spans="1:9" ht="18" customHeight="1" x14ac:dyDescent="0.2">
      <c r="A30" s="61" t="s">
        <v>86</v>
      </c>
      <c r="B30" s="63">
        <f>'BOM R2D CatWalk'!AH3</f>
        <v>0</v>
      </c>
      <c r="C30" s="63"/>
      <c r="D30" s="63">
        <v>1250</v>
      </c>
      <c r="E30" s="64"/>
      <c r="F30" s="71">
        <f>B30*D30</f>
        <v>0</v>
      </c>
      <c r="G30" s="72" t="s">
        <v>184</v>
      </c>
      <c r="H30" s="78">
        <f t="shared" si="3"/>
        <v>0</v>
      </c>
    </row>
    <row r="31" spans="1:9" ht="18" customHeight="1" x14ac:dyDescent="0.2">
      <c r="A31" s="61" t="s">
        <v>153</v>
      </c>
      <c r="B31" s="63">
        <f>15/60</f>
        <v>0.25</v>
      </c>
      <c r="C31" s="63"/>
      <c r="D31" s="63">
        <v>250</v>
      </c>
      <c r="E31" s="64"/>
      <c r="F31" s="54">
        <f>B31*D31</f>
        <v>62.5</v>
      </c>
      <c r="G31" s="72"/>
      <c r="H31" s="78">
        <f t="shared" si="3"/>
        <v>0.37377472697436687</v>
      </c>
    </row>
    <row r="32" spans="1:9" ht="18" customHeight="1" x14ac:dyDescent="0.2">
      <c r="A32" s="61" t="s">
        <v>186</v>
      </c>
      <c r="B32" s="63"/>
      <c r="C32" s="63"/>
      <c r="D32" s="63">
        <v>4.5</v>
      </c>
      <c r="E32" s="64"/>
      <c r="F32" s="54">
        <f>D32*G9</f>
        <v>752.45857920000003</v>
      </c>
      <c r="G32" s="72"/>
      <c r="H32" s="78">
        <f t="shared" si="3"/>
        <v>4.5</v>
      </c>
    </row>
    <row r="33" spans="1:13" ht="19.5" customHeight="1" x14ac:dyDescent="0.2">
      <c r="A33" s="56" t="s">
        <v>204</v>
      </c>
      <c r="B33" s="73"/>
      <c r="C33" s="73"/>
      <c r="D33" s="74"/>
      <c r="E33" s="75"/>
      <c r="F33" s="76">
        <f>SUM(F21:F32)</f>
        <v>5596.5214333754384</v>
      </c>
      <c r="G33" s="22"/>
      <c r="H33" s="78">
        <f t="shared" si="3"/>
        <v>33.469412332257548</v>
      </c>
    </row>
    <row r="34" spans="1:13" ht="22.5" customHeight="1" x14ac:dyDescent="0.2">
      <c r="A34" s="436" t="s">
        <v>87</v>
      </c>
      <c r="B34" s="437"/>
      <c r="C34" s="437"/>
      <c r="D34" s="438"/>
      <c r="E34" s="118"/>
      <c r="F34" s="222">
        <f>F18+F33</f>
        <v>24182.444285975434</v>
      </c>
      <c r="G34" s="77"/>
      <c r="H34" s="78"/>
    </row>
    <row r="35" spans="1:13" x14ac:dyDescent="0.2">
      <c r="A35" s="119" t="s">
        <v>156</v>
      </c>
      <c r="B35" s="119"/>
      <c r="C35" s="119"/>
      <c r="D35" s="130"/>
      <c r="E35" s="224">
        <v>0.1</v>
      </c>
      <c r="F35" s="223">
        <f>F34*E35</f>
        <v>2418.2444285975434</v>
      </c>
      <c r="G35" s="79"/>
      <c r="H35" s="78">
        <f t="shared" si="3"/>
        <v>14.462058416901289</v>
      </c>
    </row>
    <row r="36" spans="1:13" x14ac:dyDescent="0.2">
      <c r="A36" s="119" t="s">
        <v>157</v>
      </c>
      <c r="B36" s="119"/>
      <c r="C36" s="119"/>
      <c r="D36" s="130"/>
      <c r="E36" s="130"/>
      <c r="F36" s="223">
        <f>SUM(F34:F35)</f>
        <v>26600.688714572978</v>
      </c>
      <c r="G36" s="79"/>
      <c r="H36" s="78">
        <f>F36/G9</f>
        <v>159.08264258591419</v>
      </c>
      <c r="I36" s="78">
        <f>F36/G8</f>
        <v>116.59174693793514</v>
      </c>
    </row>
    <row r="39" spans="1:13" ht="12.75" customHeight="1" thickBot="1" x14ac:dyDescent="0.25">
      <c r="G39" s="15" t="s">
        <v>88</v>
      </c>
      <c r="H39" s="53"/>
    </row>
    <row r="40" spans="1:13" ht="12.75" customHeight="1" x14ac:dyDescent="0.2">
      <c r="A40" s="453" t="s">
        <v>89</v>
      </c>
      <c r="B40" s="454"/>
      <c r="C40" s="454"/>
      <c r="D40" s="454"/>
      <c r="E40" s="221"/>
      <c r="F40" s="80" t="s">
        <v>90</v>
      </c>
      <c r="G40" s="15" t="s">
        <v>88</v>
      </c>
      <c r="H40" s="53"/>
    </row>
    <row r="41" spans="1:13" x14ac:dyDescent="0.2">
      <c r="A41" s="455" t="s">
        <v>185</v>
      </c>
      <c r="B41" s="456"/>
      <c r="C41" s="456"/>
      <c r="D41" s="456"/>
      <c r="E41" s="170"/>
      <c r="F41" s="81"/>
    </row>
    <row r="42" spans="1:13" ht="13.5" thickBot="1" x14ac:dyDescent="0.25">
      <c r="A42" s="457" t="s">
        <v>91</v>
      </c>
      <c r="B42" s="458"/>
      <c r="C42" s="458"/>
      <c r="D42" s="458"/>
      <c r="E42" s="363"/>
      <c r="F42" s="364" t="s">
        <v>92</v>
      </c>
    </row>
    <row r="43" spans="1:13" ht="20.100000000000001" customHeight="1" x14ac:dyDescent="0.2">
      <c r="H43" s="53"/>
    </row>
    <row r="44" spans="1:13" s="53" customFormat="1" ht="18" customHeight="1" thickBot="1" x14ac:dyDescent="0.25">
      <c r="A44" s="14"/>
      <c r="B44" s="14"/>
      <c r="C44" s="14"/>
      <c r="D44" s="14"/>
      <c r="E44" s="14"/>
      <c r="F44" s="79"/>
      <c r="G44" s="18"/>
      <c r="H44" s="14"/>
      <c r="I44" s="14"/>
    </row>
    <row r="45" spans="1:13" s="53" customFormat="1" ht="15.75" thickBot="1" x14ac:dyDescent="0.25">
      <c r="A45" s="433" t="s">
        <v>216</v>
      </c>
      <c r="B45" s="434"/>
      <c r="C45" s="434"/>
      <c r="D45" s="435"/>
      <c r="E45" s="14"/>
      <c r="F45" s="79"/>
      <c r="G45" s="18"/>
      <c r="H45" s="14"/>
      <c r="I45" s="14"/>
    </row>
    <row r="46" spans="1:13" s="53" customFormat="1" ht="19.5" customHeight="1" thickBot="1" x14ac:dyDescent="0.25">
      <c r="A46" s="403" t="s">
        <v>155</v>
      </c>
      <c r="B46" s="404" t="s">
        <v>214</v>
      </c>
      <c r="C46" s="404" t="s">
        <v>210</v>
      </c>
      <c r="D46" s="405" t="s">
        <v>211</v>
      </c>
      <c r="F46" s="79"/>
      <c r="G46" s="18"/>
      <c r="H46" s="14"/>
      <c r="I46" s="14"/>
      <c r="J46" s="14"/>
      <c r="K46" s="14"/>
      <c r="L46" s="14"/>
      <c r="M46" s="14"/>
    </row>
    <row r="47" spans="1:13" s="53" customFormat="1" ht="15.75" x14ac:dyDescent="0.2">
      <c r="A47" s="409" t="s">
        <v>154</v>
      </c>
      <c r="B47" s="410">
        <f>20*2000*500*0.00000785</f>
        <v>157</v>
      </c>
      <c r="C47" s="411">
        <v>100</v>
      </c>
      <c r="D47" s="412">
        <f>B47*C47</f>
        <v>15700</v>
      </c>
      <c r="F47" s="79"/>
      <c r="G47" s="18"/>
      <c r="H47" s="14"/>
      <c r="I47" s="14"/>
      <c r="J47" s="14"/>
      <c r="K47" s="14"/>
      <c r="L47" s="14"/>
      <c r="M47" s="14"/>
    </row>
    <row r="48" spans="1:13" s="53" customFormat="1" ht="15.75" x14ac:dyDescent="0.2">
      <c r="A48" s="395" t="s">
        <v>212</v>
      </c>
      <c r="B48" s="116">
        <f>6*1000*1000*0.00000785</f>
        <v>47.099999999999994</v>
      </c>
      <c r="C48" s="117">
        <v>100</v>
      </c>
      <c r="D48" s="394">
        <f>B48*C48</f>
        <v>4709.9999999999991</v>
      </c>
      <c r="F48" s="79"/>
      <c r="G48" s="18"/>
      <c r="H48" s="14"/>
      <c r="I48" s="14"/>
      <c r="J48" s="14"/>
      <c r="K48" s="14"/>
      <c r="L48" s="14"/>
      <c r="M48" s="14"/>
    </row>
    <row r="49" spans="1:13" s="53" customFormat="1" ht="15.75" x14ac:dyDescent="0.2">
      <c r="A49" s="395" t="s">
        <v>217</v>
      </c>
      <c r="B49" s="116">
        <f>B47+B48</f>
        <v>204.1</v>
      </c>
      <c r="C49" s="117">
        <v>4.5</v>
      </c>
      <c r="D49" s="394">
        <f>B49*C49</f>
        <v>918.44999999999993</v>
      </c>
      <c r="F49" s="79"/>
      <c r="G49" s="18"/>
      <c r="H49" s="14"/>
      <c r="I49" s="14"/>
      <c r="J49" s="14"/>
      <c r="K49" s="14"/>
      <c r="L49" s="14"/>
      <c r="M49" s="14"/>
    </row>
    <row r="50" spans="1:13" s="53" customFormat="1" ht="15.75" x14ac:dyDescent="0.2">
      <c r="A50" s="413" t="s">
        <v>218</v>
      </c>
      <c r="B50" s="407"/>
      <c r="C50" s="408"/>
      <c r="D50" s="414">
        <f>SUM(D47:D49)</f>
        <v>21328.45</v>
      </c>
      <c r="F50" s="79"/>
      <c r="G50" s="18"/>
      <c r="H50" s="14"/>
      <c r="I50" s="14"/>
      <c r="J50" s="14"/>
      <c r="K50" s="14"/>
      <c r="L50" s="14"/>
      <c r="M50" s="14"/>
    </row>
    <row r="51" spans="1:13" s="53" customFormat="1" ht="15.75" x14ac:dyDescent="0.2">
      <c r="A51" s="395" t="s">
        <v>213</v>
      </c>
      <c r="B51" s="116">
        <v>2</v>
      </c>
      <c r="C51" s="117">
        <f>75000/30</f>
        <v>2500</v>
      </c>
      <c r="D51" s="394">
        <f>B51*C51</f>
        <v>5000</v>
      </c>
      <c r="E51" s="415"/>
      <c r="F51" s="79"/>
      <c r="G51" s="18"/>
      <c r="H51" s="14"/>
      <c r="I51" s="14"/>
      <c r="J51" s="14"/>
      <c r="K51" s="14"/>
      <c r="L51" s="14"/>
      <c r="M51" s="14"/>
    </row>
    <row r="52" spans="1:13" s="53" customFormat="1" ht="16.5" thickBot="1" x14ac:dyDescent="0.25">
      <c r="A52" s="396" t="s">
        <v>156</v>
      </c>
      <c r="B52" s="397"/>
      <c r="C52" s="406">
        <v>0.1</v>
      </c>
      <c r="D52" s="398">
        <f>(D50+D51)*C52</f>
        <v>2632.8450000000003</v>
      </c>
      <c r="F52" s="79"/>
      <c r="G52" s="18"/>
      <c r="H52" s="14"/>
      <c r="I52" s="14"/>
      <c r="J52" s="14"/>
      <c r="K52" s="14"/>
      <c r="L52" s="14"/>
      <c r="M52" s="14"/>
    </row>
    <row r="53" spans="1:13" s="381" customFormat="1" ht="16.5" thickBot="1" x14ac:dyDescent="0.25">
      <c r="A53" s="399" t="s">
        <v>215</v>
      </c>
      <c r="B53" s="400"/>
      <c r="C53" s="401"/>
      <c r="D53" s="402">
        <f>SUM(D50:D52)</f>
        <v>28961.295000000002</v>
      </c>
      <c r="E53" s="416"/>
      <c r="F53" s="378"/>
      <c r="G53" s="379"/>
      <c r="H53" s="380"/>
      <c r="I53" s="380"/>
      <c r="J53" s="380"/>
      <c r="K53" s="380"/>
      <c r="L53" s="380"/>
      <c r="M53" s="380"/>
    </row>
    <row r="54" spans="1:13" s="53" customFormat="1" ht="25.5" customHeight="1" x14ac:dyDescent="0.2">
      <c r="A54" s="14"/>
      <c r="B54" s="14"/>
      <c r="C54" s="14"/>
      <c r="D54" s="14"/>
      <c r="E54" s="14"/>
      <c r="F54" s="79"/>
      <c r="G54" s="18"/>
      <c r="H54" s="14"/>
      <c r="I54" s="14"/>
      <c r="J54" s="14"/>
      <c r="K54" s="14"/>
      <c r="L54" s="14"/>
      <c r="M54" s="14"/>
    </row>
  </sheetData>
  <sheetProtection selectLockedCells="1" selectUnlockedCells="1"/>
  <mergeCells count="16">
    <mergeCell ref="I4:N4"/>
    <mergeCell ref="A19:F19"/>
    <mergeCell ref="A34:D34"/>
    <mergeCell ref="A40:D40"/>
    <mergeCell ref="A41:D41"/>
    <mergeCell ref="A18:D18"/>
    <mergeCell ref="A17:D17"/>
    <mergeCell ref="A45:D45"/>
    <mergeCell ref="A1:F1"/>
    <mergeCell ref="A5:F5"/>
    <mergeCell ref="A6:F6"/>
    <mergeCell ref="B14:F14"/>
    <mergeCell ref="A15:F15"/>
    <mergeCell ref="B2:C2"/>
    <mergeCell ref="B3:C3"/>
    <mergeCell ref="A42:D42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79" firstPageNumber="0" orientation="landscape" r:id="rId1"/>
  <headerFooter alignWithMargins="0"/>
  <ignoredErrors>
    <ignoredError sqref="G8:G13 F27" emptyCellReference="1"/>
    <ignoredError sqref="F28" formula="1" emptyCellReferenc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341FF-1F97-4E29-AA7D-1B92A2311F46}">
  <dimension ref="A1:AK57"/>
  <sheetViews>
    <sheetView tabSelected="1" zoomScale="55" zoomScaleNormal="55"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J12" sqref="J12"/>
    </sheetView>
  </sheetViews>
  <sheetFormatPr defaultColWidth="9" defaultRowHeight="15.75" x14ac:dyDescent="0.25"/>
  <cols>
    <col min="1" max="1" width="4.7109375" style="163" bestFit="1" customWidth="1"/>
    <col min="2" max="2" width="15.28515625" style="163" hidden="1" customWidth="1"/>
    <col min="3" max="3" width="2.7109375" style="163" customWidth="1"/>
    <col min="4" max="4" width="7" style="163" customWidth="1"/>
    <col min="5" max="5" width="8.42578125" style="163" bestFit="1" customWidth="1"/>
    <col min="6" max="6" width="20.85546875" style="163" bestFit="1" customWidth="1"/>
    <col min="7" max="7" width="5.7109375" style="163" customWidth="1"/>
    <col min="8" max="8" width="49.28515625" style="164" bestFit="1" customWidth="1"/>
    <col min="9" max="9" width="9.85546875" style="163" bestFit="1" customWidth="1"/>
    <col min="10" max="10" width="10.42578125" style="163" bestFit="1" customWidth="1"/>
    <col min="11" max="11" width="12.5703125" style="163" hidden="1" customWidth="1"/>
    <col min="12" max="12" width="15.42578125" style="163" bestFit="1" customWidth="1"/>
    <col min="13" max="13" width="16.42578125" style="163" bestFit="1" customWidth="1"/>
    <col min="14" max="14" width="15" style="163" bestFit="1" customWidth="1"/>
    <col min="15" max="15" width="27.85546875" style="165" customWidth="1"/>
    <col min="16" max="16" width="23.42578125" style="172" hidden="1" customWidth="1"/>
    <col min="17" max="17" width="10.85546875" style="163" hidden="1" customWidth="1"/>
    <col min="18" max="18" width="19.28515625" style="163" bestFit="1" customWidth="1"/>
    <col min="19" max="19" width="11.42578125" style="163" bestFit="1" customWidth="1"/>
    <col min="20" max="20" width="11.85546875" style="163" bestFit="1" customWidth="1"/>
    <col min="21" max="21" width="13.42578125" style="163" bestFit="1" customWidth="1"/>
    <col min="22" max="22" width="14.5703125" style="163" bestFit="1" customWidth="1"/>
    <col min="23" max="23" width="12.42578125" style="163" bestFit="1" customWidth="1"/>
    <col min="24" max="24" width="16.42578125" style="163" bestFit="1" customWidth="1"/>
    <col min="25" max="25" width="11.42578125" style="163" bestFit="1" customWidth="1"/>
    <col min="26" max="26" width="12.85546875" style="163" bestFit="1" customWidth="1"/>
    <col min="27" max="27" width="14.7109375" style="163" bestFit="1" customWidth="1"/>
    <col min="28" max="28" width="22.42578125" style="163" bestFit="1" customWidth="1"/>
    <col min="29" max="30" width="10.42578125" style="163" customWidth="1"/>
    <col min="31" max="31" width="25.5703125" style="163" bestFit="1" customWidth="1"/>
    <col min="32" max="32" width="15.85546875" style="163" bestFit="1" customWidth="1"/>
    <col min="33" max="33" width="56" style="165" customWidth="1"/>
    <col min="34" max="34" width="18.28515625" style="165" customWidth="1"/>
    <col min="35" max="36" width="11.28515625" style="163" customWidth="1"/>
    <col min="37" max="37" width="9" style="163" customWidth="1"/>
    <col min="38" max="16384" width="9" style="163"/>
  </cols>
  <sheetData>
    <row r="1" spans="1:34" s="135" customFormat="1" ht="18" customHeight="1" thickBot="1" x14ac:dyDescent="0.3">
      <c r="A1" s="482" t="s">
        <v>0</v>
      </c>
      <c r="B1" s="133"/>
      <c r="C1" s="484" t="s">
        <v>1</v>
      </c>
      <c r="D1" s="485"/>
      <c r="E1" s="485"/>
      <c r="F1" s="486" t="s">
        <v>389</v>
      </c>
      <c r="G1" s="486"/>
      <c r="H1" s="486"/>
      <c r="I1" s="486"/>
      <c r="J1" s="486"/>
      <c r="K1" s="486"/>
      <c r="L1" s="173">
        <v>0.4536</v>
      </c>
      <c r="M1" s="174"/>
      <c r="N1" s="174"/>
      <c r="O1" s="417"/>
      <c r="P1" s="175"/>
      <c r="Q1" s="174"/>
      <c r="R1" s="174">
        <v>25.4</v>
      </c>
      <c r="S1" s="174"/>
      <c r="T1" s="176"/>
      <c r="U1" s="176">
        <v>0.1</v>
      </c>
      <c r="V1" s="177">
        <v>0.15</v>
      </c>
      <c r="W1" s="177"/>
      <c r="X1" s="178"/>
      <c r="Y1" s="177"/>
      <c r="Z1" s="177"/>
      <c r="AA1" s="179"/>
      <c r="AB1" s="179">
        <v>550</v>
      </c>
      <c r="AC1" s="179"/>
      <c r="AD1" s="179"/>
      <c r="AE1" s="177">
        <v>0.2</v>
      </c>
      <c r="AF1" s="180"/>
      <c r="AG1" s="134"/>
      <c r="AH1" s="134"/>
    </row>
    <row r="2" spans="1:34" s="135" customFormat="1" ht="30" customHeight="1" thickBot="1" x14ac:dyDescent="0.3">
      <c r="A2" s="483"/>
      <c r="B2" s="185" t="s">
        <v>167</v>
      </c>
      <c r="C2" s="136" t="s">
        <v>2</v>
      </c>
      <c r="D2" s="137" t="s">
        <v>3</v>
      </c>
      <c r="E2" s="137" t="s">
        <v>4</v>
      </c>
      <c r="F2" s="138" t="s">
        <v>5</v>
      </c>
      <c r="G2" s="137" t="s">
        <v>6</v>
      </c>
      <c r="H2" s="138" t="s">
        <v>7</v>
      </c>
      <c r="I2" s="137" t="s">
        <v>8</v>
      </c>
      <c r="J2" s="138" t="s">
        <v>9</v>
      </c>
      <c r="K2" s="139" t="s">
        <v>10</v>
      </c>
      <c r="L2" s="140" t="s">
        <v>11</v>
      </c>
      <c r="M2" s="141" t="s">
        <v>12</v>
      </c>
      <c r="N2" s="138" t="s">
        <v>13</v>
      </c>
      <c r="O2" s="138" t="s">
        <v>14</v>
      </c>
      <c r="P2" s="1" t="s">
        <v>15</v>
      </c>
      <c r="Q2" s="138" t="s">
        <v>16</v>
      </c>
      <c r="R2" s="138" t="s">
        <v>17</v>
      </c>
      <c r="S2" s="138" t="s">
        <v>18</v>
      </c>
      <c r="T2" s="138" t="s">
        <v>19</v>
      </c>
      <c r="U2" s="142" t="s">
        <v>25</v>
      </c>
      <c r="V2" s="143" t="s">
        <v>26</v>
      </c>
      <c r="W2" s="143" t="s">
        <v>27</v>
      </c>
      <c r="X2" s="143" t="s">
        <v>28</v>
      </c>
      <c r="Y2" s="143" t="s">
        <v>29</v>
      </c>
      <c r="Z2" s="143" t="s">
        <v>30</v>
      </c>
      <c r="AA2" s="143" t="s">
        <v>31</v>
      </c>
      <c r="AB2" s="143" t="s">
        <v>32</v>
      </c>
      <c r="AC2" s="143" t="s">
        <v>33</v>
      </c>
      <c r="AD2" s="143" t="s">
        <v>34</v>
      </c>
      <c r="AE2" s="143" t="s">
        <v>35</v>
      </c>
      <c r="AF2" s="142" t="s">
        <v>36</v>
      </c>
      <c r="AG2" s="144" t="s">
        <v>20</v>
      </c>
      <c r="AH2" s="144" t="s">
        <v>130</v>
      </c>
    </row>
    <row r="3" spans="1:34" s="152" customFormat="1" ht="26.25" customHeight="1" x14ac:dyDescent="0.25">
      <c r="A3" s="167">
        <v>1</v>
      </c>
      <c r="B3" s="167"/>
      <c r="C3" s="145">
        <v>1</v>
      </c>
      <c r="D3" s="145"/>
      <c r="E3" s="145"/>
      <c r="F3" s="145" t="s">
        <v>251</v>
      </c>
      <c r="G3" s="145" t="s">
        <v>22</v>
      </c>
      <c r="H3" s="146" t="s">
        <v>252</v>
      </c>
      <c r="I3" s="145">
        <v>1</v>
      </c>
      <c r="J3" s="147">
        <f>I3</f>
        <v>1</v>
      </c>
      <c r="K3" s="148">
        <v>7057.6</v>
      </c>
      <c r="L3" s="148">
        <v>3208</v>
      </c>
      <c r="M3" s="148">
        <f>L3*J3</f>
        <v>3208</v>
      </c>
      <c r="N3" s="166" t="s">
        <v>310</v>
      </c>
      <c r="O3" s="151"/>
      <c r="P3" s="171"/>
      <c r="Q3" s="149"/>
      <c r="R3" s="145"/>
      <c r="S3" s="145"/>
      <c r="T3" s="148"/>
      <c r="U3" s="148">
        <f>SUM(U4:U31)</f>
        <v>0</v>
      </c>
      <c r="V3" s="150"/>
      <c r="W3" s="148">
        <f>SUMPRODUCT(W4:W31,$J$4:$J$31)</f>
        <v>0</v>
      </c>
      <c r="X3" s="148">
        <f>SUM(X4:X31)</f>
        <v>0</v>
      </c>
      <c r="Y3" s="148">
        <f>SUMPRODUCT(Y4:Y31,$J$4:$J$31)</f>
        <v>0</v>
      </c>
      <c r="Z3" s="148"/>
      <c r="AA3" s="148">
        <f>SUMPRODUCT(AA4:AA31,$J$4:$J$31)</f>
        <v>200</v>
      </c>
      <c r="AB3" s="148">
        <f>SUM(AB4:AB31)</f>
        <v>0</v>
      </c>
      <c r="AC3" s="148"/>
      <c r="AD3" s="148"/>
      <c r="AE3" s="148">
        <f>'Welding Details'!G3*(1+$AE$1)*J3/1000</f>
        <v>0</v>
      </c>
      <c r="AF3" s="148"/>
      <c r="AG3" s="151"/>
      <c r="AH3" s="148">
        <f>SUM(AH4:AH31)</f>
        <v>0</v>
      </c>
    </row>
    <row r="4" spans="1:34" s="160" customFormat="1" ht="26.25" customHeight="1" x14ac:dyDescent="0.25">
      <c r="A4" s="153">
        <v>2</v>
      </c>
      <c r="B4" s="153"/>
      <c r="C4" s="153"/>
      <c r="D4" s="153">
        <v>1.1000000000000001</v>
      </c>
      <c r="E4" s="153"/>
      <c r="F4" s="153" t="s">
        <v>255</v>
      </c>
      <c r="G4" s="153" t="s">
        <v>22</v>
      </c>
      <c r="H4" s="154" t="s">
        <v>253</v>
      </c>
      <c r="I4" s="153">
        <v>1</v>
      </c>
      <c r="J4" s="155">
        <f>I4*$J$3</f>
        <v>1</v>
      </c>
      <c r="K4" s="155"/>
      <c r="L4" s="156">
        <v>679</v>
      </c>
      <c r="M4" s="156">
        <f>L4*J4</f>
        <v>679</v>
      </c>
      <c r="N4" s="166" t="s">
        <v>311</v>
      </c>
      <c r="O4" s="159" t="s">
        <v>254</v>
      </c>
      <c r="P4" s="153"/>
      <c r="Q4" s="158"/>
      <c r="R4" s="153"/>
      <c r="S4" s="153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6"/>
      <c r="AE4" s="156"/>
      <c r="AF4" s="156"/>
      <c r="AG4" s="159"/>
      <c r="AH4" s="156"/>
    </row>
    <row r="5" spans="1:34" s="160" customFormat="1" ht="28.5" customHeight="1" x14ac:dyDescent="0.25">
      <c r="A5" s="153">
        <v>3</v>
      </c>
      <c r="B5" s="153"/>
      <c r="C5" s="153"/>
      <c r="D5" s="153"/>
      <c r="E5" s="153" t="s">
        <v>336</v>
      </c>
      <c r="F5" s="153" t="s">
        <v>313</v>
      </c>
      <c r="G5" s="153"/>
      <c r="H5" s="154" t="s">
        <v>312</v>
      </c>
      <c r="I5" s="153">
        <v>1</v>
      </c>
      <c r="J5" s="155">
        <f>I5*$J$4</f>
        <v>1</v>
      </c>
      <c r="K5" s="155"/>
      <c r="L5" s="156">
        <v>339</v>
      </c>
      <c r="M5" s="156">
        <f t="shared" ref="M5:M57" si="0">L5*J5</f>
        <v>339</v>
      </c>
      <c r="N5" s="157" t="s">
        <v>21</v>
      </c>
      <c r="O5" s="159" t="s">
        <v>259</v>
      </c>
      <c r="P5" s="153"/>
      <c r="Q5" s="158"/>
      <c r="R5" s="153">
        <v>10</v>
      </c>
      <c r="S5" s="153">
        <v>1022</v>
      </c>
      <c r="T5" s="156">
        <v>5080</v>
      </c>
      <c r="U5" s="156"/>
      <c r="V5" s="156"/>
      <c r="W5" s="156"/>
      <c r="X5" s="156"/>
      <c r="Y5" s="156"/>
      <c r="Z5" s="156"/>
      <c r="AA5" s="156"/>
      <c r="AB5" s="156"/>
      <c r="AC5" s="156"/>
      <c r="AD5" s="156"/>
      <c r="AE5" s="156"/>
      <c r="AF5" s="156"/>
      <c r="AG5" s="159"/>
      <c r="AH5" s="156"/>
    </row>
    <row r="6" spans="1:34" s="160" customFormat="1" ht="28.5" customHeight="1" x14ac:dyDescent="0.25">
      <c r="A6" s="153">
        <v>4</v>
      </c>
      <c r="B6" s="153"/>
      <c r="C6" s="153"/>
      <c r="D6" s="153"/>
      <c r="E6" s="153" t="s">
        <v>337</v>
      </c>
      <c r="F6" s="153" t="s">
        <v>315</v>
      </c>
      <c r="G6" s="153"/>
      <c r="H6" s="154" t="s">
        <v>314</v>
      </c>
      <c r="I6" s="153">
        <v>1</v>
      </c>
      <c r="J6" s="155">
        <f t="shared" ref="J6:J16" si="1">I6*$J$4</f>
        <v>1</v>
      </c>
      <c r="K6" s="155"/>
      <c r="L6" s="156">
        <v>76</v>
      </c>
      <c r="M6" s="156">
        <f t="shared" si="0"/>
        <v>76</v>
      </c>
      <c r="N6" s="157" t="s">
        <v>21</v>
      </c>
      <c r="O6" s="159" t="s">
        <v>259</v>
      </c>
      <c r="P6" s="153"/>
      <c r="Q6" s="158"/>
      <c r="R6" s="153">
        <v>12</v>
      </c>
      <c r="S6" s="153">
        <v>180</v>
      </c>
      <c r="T6" s="156">
        <v>4775</v>
      </c>
      <c r="U6" s="156"/>
      <c r="V6" s="156"/>
      <c r="W6" s="156"/>
      <c r="X6" s="156"/>
      <c r="Y6" s="156"/>
      <c r="Z6" s="156"/>
      <c r="AA6" s="156"/>
      <c r="AB6" s="156"/>
      <c r="AC6" s="156"/>
      <c r="AD6" s="156"/>
      <c r="AE6" s="156"/>
      <c r="AF6" s="156"/>
      <c r="AG6" s="159"/>
      <c r="AH6" s="156"/>
    </row>
    <row r="7" spans="1:34" s="160" customFormat="1" ht="26.25" customHeight="1" x14ac:dyDescent="0.25">
      <c r="A7" s="153">
        <v>5</v>
      </c>
      <c r="B7" s="153"/>
      <c r="C7" s="153"/>
      <c r="D7" s="153"/>
      <c r="E7" s="153" t="s">
        <v>338</v>
      </c>
      <c r="F7" s="153" t="s">
        <v>317</v>
      </c>
      <c r="G7" s="153"/>
      <c r="H7" s="154" t="s">
        <v>316</v>
      </c>
      <c r="I7" s="153">
        <v>1</v>
      </c>
      <c r="J7" s="155">
        <f t="shared" si="1"/>
        <v>1</v>
      </c>
      <c r="K7" s="155"/>
      <c r="L7" s="156">
        <v>9</v>
      </c>
      <c r="M7" s="156">
        <f t="shared" si="0"/>
        <v>9</v>
      </c>
      <c r="N7" s="157" t="s">
        <v>21</v>
      </c>
      <c r="O7" s="159" t="s">
        <v>259</v>
      </c>
      <c r="P7" s="153"/>
      <c r="Q7" s="158"/>
      <c r="R7" s="153">
        <v>12</v>
      </c>
      <c r="S7" s="153">
        <v>180</v>
      </c>
      <c r="T7" s="156">
        <v>572</v>
      </c>
      <c r="U7" s="156"/>
      <c r="V7" s="156"/>
      <c r="W7" s="156"/>
      <c r="X7" s="156"/>
      <c r="Y7" s="156"/>
      <c r="Z7" s="156"/>
      <c r="AA7" s="156"/>
      <c r="AB7" s="156"/>
      <c r="AC7" s="156"/>
      <c r="AD7" s="156"/>
      <c r="AE7" s="156"/>
      <c r="AF7" s="156"/>
      <c r="AG7" s="159"/>
      <c r="AH7" s="156"/>
    </row>
    <row r="8" spans="1:34" s="160" customFormat="1" ht="26.25" customHeight="1" x14ac:dyDescent="0.25">
      <c r="A8" s="153">
        <v>6</v>
      </c>
      <c r="B8" s="153"/>
      <c r="C8" s="153"/>
      <c r="D8" s="153"/>
      <c r="E8" s="153" t="s">
        <v>339</v>
      </c>
      <c r="F8" s="153" t="s">
        <v>319</v>
      </c>
      <c r="G8" s="153"/>
      <c r="H8" s="154" t="s">
        <v>318</v>
      </c>
      <c r="I8" s="153">
        <v>1</v>
      </c>
      <c r="J8" s="155">
        <f t="shared" si="1"/>
        <v>1</v>
      </c>
      <c r="K8" s="155"/>
      <c r="L8" s="156">
        <v>8</v>
      </c>
      <c r="M8" s="156">
        <f t="shared" si="0"/>
        <v>8</v>
      </c>
      <c r="N8" s="157" t="s">
        <v>21</v>
      </c>
      <c r="O8" s="159" t="s">
        <v>282</v>
      </c>
      <c r="P8" s="153"/>
      <c r="Q8" s="158"/>
      <c r="R8" s="153">
        <v>20</v>
      </c>
      <c r="S8" s="153">
        <v>200</v>
      </c>
      <c r="T8" s="156">
        <v>324</v>
      </c>
      <c r="U8" s="156"/>
      <c r="V8" s="156"/>
      <c r="W8" s="156"/>
      <c r="X8" s="156"/>
      <c r="Y8" s="156"/>
      <c r="Z8" s="156"/>
      <c r="AA8" s="156"/>
      <c r="AB8" s="156"/>
      <c r="AC8" s="156"/>
      <c r="AD8" s="156"/>
      <c r="AE8" s="156"/>
      <c r="AF8" s="156"/>
      <c r="AG8" s="159"/>
      <c r="AH8" s="156"/>
    </row>
    <row r="9" spans="1:34" s="160" customFormat="1" ht="26.25" customHeight="1" x14ac:dyDescent="0.25">
      <c r="A9" s="153">
        <v>7</v>
      </c>
      <c r="B9" s="153"/>
      <c r="C9" s="153"/>
      <c r="D9" s="153"/>
      <c r="E9" s="153" t="s">
        <v>340</v>
      </c>
      <c r="F9" s="153" t="s">
        <v>322</v>
      </c>
      <c r="G9" s="153"/>
      <c r="H9" s="154" t="s">
        <v>320</v>
      </c>
      <c r="I9" s="153">
        <v>1</v>
      </c>
      <c r="J9" s="155">
        <f t="shared" si="1"/>
        <v>1</v>
      </c>
      <c r="K9" s="155"/>
      <c r="L9" s="156">
        <v>37</v>
      </c>
      <c r="M9" s="156">
        <f t="shared" si="0"/>
        <v>37</v>
      </c>
      <c r="N9" s="157" t="s">
        <v>21</v>
      </c>
      <c r="O9" s="159" t="s">
        <v>321</v>
      </c>
      <c r="P9" s="153"/>
      <c r="Q9" s="158"/>
      <c r="R9" s="153">
        <v>10</v>
      </c>
      <c r="S9" s="153">
        <v>100</v>
      </c>
      <c r="T9" s="156">
        <v>4702</v>
      </c>
      <c r="U9" s="156"/>
      <c r="V9" s="156"/>
      <c r="W9" s="156"/>
      <c r="X9" s="156"/>
      <c r="Y9" s="156"/>
      <c r="Z9" s="156"/>
      <c r="AA9" s="156"/>
      <c r="AB9" s="156"/>
      <c r="AC9" s="156"/>
      <c r="AD9" s="156"/>
      <c r="AE9" s="156"/>
      <c r="AF9" s="156"/>
      <c r="AG9" s="159"/>
      <c r="AH9" s="156"/>
    </row>
    <row r="10" spans="1:34" s="160" customFormat="1" ht="26.25" customHeight="1" x14ac:dyDescent="0.25">
      <c r="A10" s="153">
        <v>8</v>
      </c>
      <c r="B10" s="153"/>
      <c r="C10" s="153"/>
      <c r="D10" s="153"/>
      <c r="E10" s="153" t="s">
        <v>341</v>
      </c>
      <c r="F10" s="153" t="s">
        <v>324</v>
      </c>
      <c r="G10" s="153"/>
      <c r="H10" s="154" t="s">
        <v>323</v>
      </c>
      <c r="I10" s="153">
        <v>1</v>
      </c>
      <c r="J10" s="155">
        <f t="shared" si="1"/>
        <v>1</v>
      </c>
      <c r="K10" s="155"/>
      <c r="L10" s="156">
        <v>0.8</v>
      </c>
      <c r="M10" s="156">
        <f t="shared" si="0"/>
        <v>0.8</v>
      </c>
      <c r="N10" s="157" t="s">
        <v>21</v>
      </c>
      <c r="O10" s="159" t="s">
        <v>259</v>
      </c>
      <c r="P10" s="153"/>
      <c r="Q10" s="158"/>
      <c r="R10" s="153">
        <v>10</v>
      </c>
      <c r="S10" s="153">
        <v>100</v>
      </c>
      <c r="T10" s="156">
        <v>191</v>
      </c>
      <c r="U10" s="156"/>
      <c r="V10" s="156"/>
      <c r="W10" s="156"/>
      <c r="X10" s="156"/>
      <c r="Y10" s="156"/>
      <c r="Z10" s="156"/>
      <c r="AA10" s="156"/>
      <c r="AB10" s="156"/>
      <c r="AC10" s="156"/>
      <c r="AD10" s="156"/>
      <c r="AE10" s="156"/>
      <c r="AF10" s="156"/>
      <c r="AG10" s="159"/>
      <c r="AH10" s="156"/>
    </row>
    <row r="11" spans="1:34" s="160" customFormat="1" ht="26.25" customHeight="1" x14ac:dyDescent="0.25">
      <c r="A11" s="153">
        <v>9</v>
      </c>
      <c r="B11" s="153"/>
      <c r="C11" s="153"/>
      <c r="D11" s="153"/>
      <c r="E11" s="153" t="s">
        <v>342</v>
      </c>
      <c r="F11" s="153" t="s">
        <v>326</v>
      </c>
      <c r="G11" s="153"/>
      <c r="H11" s="154" t="s">
        <v>325</v>
      </c>
      <c r="I11" s="153">
        <v>1</v>
      </c>
      <c r="J11" s="155">
        <f t="shared" si="1"/>
        <v>1</v>
      </c>
      <c r="K11" s="155"/>
      <c r="L11" s="156">
        <v>11.6</v>
      </c>
      <c r="M11" s="156">
        <f t="shared" si="0"/>
        <v>11.6</v>
      </c>
      <c r="N11" s="157" t="s">
        <v>21</v>
      </c>
      <c r="O11" s="159" t="s">
        <v>282</v>
      </c>
      <c r="P11" s="153"/>
      <c r="Q11" s="158"/>
      <c r="R11" s="153">
        <v>40</v>
      </c>
      <c r="S11" s="153">
        <v>200</v>
      </c>
      <c r="T11" s="153">
        <v>200</v>
      </c>
      <c r="U11" s="156"/>
      <c r="V11" s="156"/>
      <c r="W11" s="156"/>
      <c r="X11" s="156"/>
      <c r="Y11" s="156"/>
      <c r="Z11" s="156"/>
      <c r="AA11" s="156">
        <v>10</v>
      </c>
      <c r="AB11" s="156"/>
      <c r="AC11" s="156"/>
      <c r="AD11" s="156"/>
      <c r="AE11" s="156"/>
      <c r="AF11" s="156"/>
      <c r="AG11" s="159"/>
      <c r="AH11" s="156"/>
    </row>
    <row r="12" spans="1:34" s="160" customFormat="1" ht="26.25" customHeight="1" x14ac:dyDescent="0.25">
      <c r="A12" s="153">
        <v>10</v>
      </c>
      <c r="B12" s="153"/>
      <c r="C12" s="153"/>
      <c r="D12" s="153"/>
      <c r="E12" s="153" t="s">
        <v>343</v>
      </c>
      <c r="F12" s="153" t="s">
        <v>328</v>
      </c>
      <c r="G12" s="153"/>
      <c r="H12" s="154" t="s">
        <v>327</v>
      </c>
      <c r="I12" s="153">
        <v>1</v>
      </c>
      <c r="J12" s="155">
        <f t="shared" si="1"/>
        <v>1</v>
      </c>
      <c r="K12" s="155"/>
      <c r="L12" s="156">
        <v>4</v>
      </c>
      <c r="M12" s="156">
        <f t="shared" si="0"/>
        <v>4</v>
      </c>
      <c r="N12" s="157" t="s">
        <v>21</v>
      </c>
      <c r="O12" s="159" t="s">
        <v>282</v>
      </c>
      <c r="P12" s="153"/>
      <c r="Q12" s="158"/>
      <c r="R12" s="153">
        <v>25</v>
      </c>
      <c r="S12" s="153">
        <v>165</v>
      </c>
      <c r="T12" s="156">
        <v>180</v>
      </c>
      <c r="U12" s="156"/>
      <c r="V12" s="156"/>
      <c r="W12" s="156"/>
      <c r="X12" s="156"/>
      <c r="Y12" s="156"/>
      <c r="Z12" s="156"/>
      <c r="AA12" s="156"/>
      <c r="AB12" s="156"/>
      <c r="AC12" s="156"/>
      <c r="AD12" s="156"/>
      <c r="AE12" s="156"/>
      <c r="AF12" s="156"/>
      <c r="AG12" s="159"/>
      <c r="AH12" s="156"/>
    </row>
    <row r="13" spans="1:34" s="160" customFormat="1" ht="26.25" customHeight="1" x14ac:dyDescent="0.25">
      <c r="A13" s="153">
        <v>11</v>
      </c>
      <c r="B13" s="153"/>
      <c r="C13" s="153"/>
      <c r="D13" s="153"/>
      <c r="E13" s="153" t="s">
        <v>344</v>
      </c>
      <c r="F13" s="153" t="s">
        <v>331</v>
      </c>
      <c r="G13" s="153"/>
      <c r="H13" s="154" t="s">
        <v>329</v>
      </c>
      <c r="I13" s="153">
        <v>4</v>
      </c>
      <c r="J13" s="155">
        <f t="shared" si="1"/>
        <v>4</v>
      </c>
      <c r="K13" s="155"/>
      <c r="L13" s="156">
        <f>0.2*0.4536</f>
        <v>9.0720000000000009E-2</v>
      </c>
      <c r="M13" s="156">
        <f t="shared" si="0"/>
        <v>0.36288000000000004</v>
      </c>
      <c r="N13" s="157" t="s">
        <v>372</v>
      </c>
      <c r="O13" s="159" t="s">
        <v>330</v>
      </c>
      <c r="P13" s="153"/>
      <c r="Q13" s="158"/>
      <c r="R13" s="153" t="s">
        <v>348</v>
      </c>
      <c r="S13" s="153"/>
      <c r="T13" s="156">
        <v>51</v>
      </c>
      <c r="U13" s="156"/>
      <c r="V13" s="156"/>
      <c r="W13" s="156"/>
      <c r="X13" s="156"/>
      <c r="Y13" s="156"/>
      <c r="Z13" s="156"/>
      <c r="AA13" s="156"/>
      <c r="AB13" s="156"/>
      <c r="AC13" s="156"/>
      <c r="AD13" s="156"/>
      <c r="AE13" s="156"/>
      <c r="AF13" s="156"/>
      <c r="AG13" s="159"/>
      <c r="AH13" s="156"/>
    </row>
    <row r="14" spans="1:34" s="160" customFormat="1" ht="26.25" customHeight="1" x14ac:dyDescent="0.25">
      <c r="A14" s="153">
        <v>12</v>
      </c>
      <c r="B14" s="153"/>
      <c r="C14" s="153"/>
      <c r="D14" s="153"/>
      <c r="E14" s="153" t="s">
        <v>345</v>
      </c>
      <c r="F14" s="153" t="s">
        <v>333</v>
      </c>
      <c r="G14" s="153"/>
      <c r="H14" s="154" t="s">
        <v>332</v>
      </c>
      <c r="I14" s="153">
        <v>2</v>
      </c>
      <c r="J14" s="155">
        <f t="shared" si="1"/>
        <v>2</v>
      </c>
      <c r="K14" s="155"/>
      <c r="L14" s="156">
        <v>19</v>
      </c>
      <c r="M14" s="156">
        <f t="shared" si="0"/>
        <v>38</v>
      </c>
      <c r="N14" s="157" t="s">
        <v>21</v>
      </c>
      <c r="O14" s="159" t="s">
        <v>321</v>
      </c>
      <c r="P14" s="153"/>
      <c r="Q14" s="158"/>
      <c r="R14" s="153">
        <v>50</v>
      </c>
      <c r="S14" s="153">
        <v>220</v>
      </c>
      <c r="T14" s="156">
        <v>334</v>
      </c>
      <c r="U14" s="156"/>
      <c r="V14" s="156"/>
      <c r="W14" s="156"/>
      <c r="X14" s="156"/>
      <c r="Y14" s="156"/>
      <c r="Z14" s="156"/>
      <c r="AA14" s="156">
        <v>45</v>
      </c>
      <c r="AB14" s="156"/>
      <c r="AC14" s="156"/>
      <c r="AD14" s="156"/>
      <c r="AE14" s="156"/>
      <c r="AF14" s="156"/>
      <c r="AG14" s="159"/>
      <c r="AH14" s="156"/>
    </row>
    <row r="15" spans="1:34" s="160" customFormat="1" ht="26.25" customHeight="1" x14ac:dyDescent="0.25">
      <c r="A15" s="153">
        <v>13</v>
      </c>
      <c r="B15" s="153"/>
      <c r="C15" s="153"/>
      <c r="D15" s="153"/>
      <c r="E15" s="153" t="s">
        <v>346</v>
      </c>
      <c r="F15" s="153" t="s">
        <v>274</v>
      </c>
      <c r="G15" s="153"/>
      <c r="H15" s="154" t="s">
        <v>334</v>
      </c>
      <c r="I15" s="153">
        <v>1</v>
      </c>
      <c r="J15" s="155">
        <f t="shared" si="1"/>
        <v>1</v>
      </c>
      <c r="K15" s="155"/>
      <c r="L15" s="156">
        <f>R15*S15*T15*0.00000785</f>
        <v>149.99779999999998</v>
      </c>
      <c r="M15" s="156">
        <f t="shared" si="0"/>
        <v>149.99779999999998</v>
      </c>
      <c r="N15" s="157" t="s">
        <v>21</v>
      </c>
      <c r="O15" s="159" t="s">
        <v>282</v>
      </c>
      <c r="P15" s="153"/>
      <c r="Q15" s="158"/>
      <c r="R15" s="153">
        <v>20</v>
      </c>
      <c r="S15" s="153">
        <v>200</v>
      </c>
      <c r="T15" s="156">
        <v>4777</v>
      </c>
      <c r="U15" s="156"/>
      <c r="V15" s="156"/>
      <c r="W15" s="156"/>
      <c r="X15" s="156"/>
      <c r="Y15" s="156"/>
      <c r="Z15" s="156"/>
      <c r="AA15" s="156"/>
      <c r="AB15" s="156"/>
      <c r="AC15" s="156"/>
      <c r="AD15" s="156"/>
      <c r="AE15" s="156"/>
      <c r="AF15" s="156"/>
      <c r="AG15" s="159"/>
      <c r="AH15" s="156"/>
    </row>
    <row r="16" spans="1:34" s="160" customFormat="1" ht="26.25" customHeight="1" x14ac:dyDescent="0.25">
      <c r="A16" s="153">
        <v>14</v>
      </c>
      <c r="B16" s="153">
        <v>14</v>
      </c>
      <c r="C16" s="153"/>
      <c r="D16" s="153"/>
      <c r="E16" s="153" t="s">
        <v>347</v>
      </c>
      <c r="F16" s="153" t="s">
        <v>274</v>
      </c>
      <c r="G16" s="153"/>
      <c r="H16" s="154" t="s">
        <v>335</v>
      </c>
      <c r="I16" s="153">
        <v>2</v>
      </c>
      <c r="J16" s="155">
        <f t="shared" si="1"/>
        <v>2</v>
      </c>
      <c r="K16" s="155"/>
      <c r="L16" s="156">
        <f>R16*S16*T16*0.00000785</f>
        <v>2.6917649999999997</v>
      </c>
      <c r="M16" s="156">
        <f t="shared" si="0"/>
        <v>5.3835299999999995</v>
      </c>
      <c r="N16" s="157" t="s">
        <v>21</v>
      </c>
      <c r="O16" s="159" t="s">
        <v>282</v>
      </c>
      <c r="P16" s="153"/>
      <c r="Q16" s="158"/>
      <c r="R16" s="153">
        <v>12</v>
      </c>
      <c r="S16" s="153">
        <v>75</v>
      </c>
      <c r="T16" s="156">
        <v>381</v>
      </c>
      <c r="U16" s="156"/>
      <c r="V16" s="156"/>
      <c r="W16" s="156"/>
      <c r="X16" s="156"/>
      <c r="Y16" s="156"/>
      <c r="Z16" s="156"/>
      <c r="AA16" s="156"/>
      <c r="AB16" s="156"/>
      <c r="AC16" s="156"/>
      <c r="AD16" s="156"/>
      <c r="AE16" s="156"/>
      <c r="AF16" s="156"/>
      <c r="AG16" s="159"/>
      <c r="AH16" s="156"/>
    </row>
    <row r="17" spans="1:34" s="160" customFormat="1" ht="26.25" customHeight="1" x14ac:dyDescent="0.25">
      <c r="A17" s="153">
        <v>15</v>
      </c>
      <c r="B17" s="153">
        <v>15</v>
      </c>
      <c r="C17" s="153"/>
      <c r="D17" s="153">
        <v>1.2</v>
      </c>
      <c r="E17" s="153"/>
      <c r="F17" s="153" t="s">
        <v>257</v>
      </c>
      <c r="G17" s="153"/>
      <c r="H17" s="154" t="s">
        <v>256</v>
      </c>
      <c r="I17" s="153">
        <v>1</v>
      </c>
      <c r="J17" s="155">
        <f t="shared" ref="J17:J57" si="2">I17*$J$3</f>
        <v>1</v>
      </c>
      <c r="K17" s="156"/>
      <c r="L17" s="156">
        <v>667</v>
      </c>
      <c r="M17" s="156">
        <f t="shared" si="0"/>
        <v>667</v>
      </c>
      <c r="N17" s="166" t="s">
        <v>311</v>
      </c>
      <c r="O17" s="159" t="s">
        <v>254</v>
      </c>
      <c r="P17" s="153"/>
      <c r="Q17" s="158"/>
      <c r="R17" s="153"/>
      <c r="S17" s="156"/>
      <c r="T17" s="153"/>
      <c r="U17" s="156"/>
      <c r="V17" s="156"/>
      <c r="W17" s="156"/>
      <c r="X17" s="156"/>
      <c r="Y17" s="156"/>
      <c r="Z17" s="156"/>
      <c r="AA17" s="156"/>
      <c r="AB17" s="156"/>
      <c r="AC17" s="156"/>
      <c r="AD17" s="156"/>
      <c r="AE17" s="156"/>
      <c r="AF17" s="156"/>
      <c r="AG17" s="159"/>
      <c r="AH17" s="156"/>
    </row>
    <row r="18" spans="1:34" s="160" customFormat="1" ht="26.25" customHeight="1" x14ac:dyDescent="0.25">
      <c r="A18" s="153">
        <v>16</v>
      </c>
      <c r="B18" s="153">
        <v>16</v>
      </c>
      <c r="C18" s="153"/>
      <c r="D18" s="153"/>
      <c r="E18" s="153" t="s">
        <v>358</v>
      </c>
      <c r="F18" s="153" t="s">
        <v>350</v>
      </c>
      <c r="G18" s="153"/>
      <c r="H18" s="154" t="s">
        <v>349</v>
      </c>
      <c r="I18" s="153">
        <v>1</v>
      </c>
      <c r="J18" s="155">
        <f>I18*$J$17</f>
        <v>1</v>
      </c>
      <c r="K18" s="156"/>
      <c r="L18" s="156">
        <v>321</v>
      </c>
      <c r="M18" s="156">
        <f t="shared" si="0"/>
        <v>321</v>
      </c>
      <c r="N18" s="157" t="s">
        <v>21</v>
      </c>
      <c r="O18" s="159" t="s">
        <v>259</v>
      </c>
      <c r="P18" s="153"/>
      <c r="Q18" s="158"/>
      <c r="R18" s="153">
        <v>10</v>
      </c>
      <c r="S18" s="156">
        <v>1022</v>
      </c>
      <c r="T18" s="153">
        <v>5080</v>
      </c>
      <c r="U18" s="156"/>
      <c r="V18" s="156"/>
      <c r="W18" s="156"/>
      <c r="X18" s="156"/>
      <c r="Y18" s="156"/>
      <c r="Z18" s="156"/>
      <c r="AA18" s="156"/>
      <c r="AB18" s="156"/>
      <c r="AC18" s="156"/>
      <c r="AD18" s="156"/>
      <c r="AE18" s="156"/>
      <c r="AF18" s="156"/>
      <c r="AG18" s="159"/>
      <c r="AH18" s="156"/>
    </row>
    <row r="19" spans="1:34" s="160" customFormat="1" ht="26.25" customHeight="1" x14ac:dyDescent="0.25">
      <c r="A19" s="153">
        <v>17</v>
      </c>
      <c r="B19" s="153">
        <v>17</v>
      </c>
      <c r="C19" s="153"/>
      <c r="D19" s="153"/>
      <c r="E19" s="153" t="s">
        <v>360</v>
      </c>
      <c r="F19" s="153" t="s">
        <v>352</v>
      </c>
      <c r="G19" s="153"/>
      <c r="H19" s="154" t="s">
        <v>351</v>
      </c>
      <c r="I19" s="153">
        <v>1</v>
      </c>
      <c r="J19" s="155">
        <f t="shared" ref="J19:J30" si="3">I19*$J$17</f>
        <v>1</v>
      </c>
      <c r="K19" s="156"/>
      <c r="L19" s="156">
        <v>83</v>
      </c>
      <c r="M19" s="156">
        <f t="shared" si="0"/>
        <v>83</v>
      </c>
      <c r="N19" s="157" t="s">
        <v>21</v>
      </c>
      <c r="O19" s="159" t="s">
        <v>259</v>
      </c>
      <c r="P19" s="153"/>
      <c r="Q19" s="158"/>
      <c r="R19" s="153">
        <v>12</v>
      </c>
      <c r="S19" s="156">
        <v>180</v>
      </c>
      <c r="T19" s="153">
        <v>4775</v>
      </c>
      <c r="U19" s="156"/>
      <c r="V19" s="156"/>
      <c r="W19" s="156"/>
      <c r="X19" s="156"/>
      <c r="Y19" s="156"/>
      <c r="Z19" s="156"/>
      <c r="AA19" s="156"/>
      <c r="AB19" s="156"/>
      <c r="AC19" s="156"/>
      <c r="AD19" s="156"/>
      <c r="AE19" s="156"/>
      <c r="AF19" s="156"/>
      <c r="AG19" s="159"/>
      <c r="AH19" s="156"/>
    </row>
    <row r="20" spans="1:34" s="160" customFormat="1" ht="26.25" customHeight="1" x14ac:dyDescent="0.25">
      <c r="A20" s="153">
        <v>18</v>
      </c>
      <c r="B20" s="153">
        <v>18</v>
      </c>
      <c r="C20" s="153"/>
      <c r="D20" s="153"/>
      <c r="E20" s="153" t="s">
        <v>361</v>
      </c>
      <c r="F20" s="153" t="s">
        <v>317</v>
      </c>
      <c r="G20" s="153"/>
      <c r="H20" s="154" t="s">
        <v>316</v>
      </c>
      <c r="I20" s="153">
        <v>1</v>
      </c>
      <c r="J20" s="155">
        <f t="shared" si="3"/>
        <v>1</v>
      </c>
      <c r="K20" s="156"/>
      <c r="L20" s="156">
        <v>9</v>
      </c>
      <c r="M20" s="156">
        <f t="shared" ref="M20:M24" si="4">L20*J20</f>
        <v>9</v>
      </c>
      <c r="N20" s="157" t="s">
        <v>21</v>
      </c>
      <c r="O20" s="159" t="s">
        <v>259</v>
      </c>
      <c r="P20" s="153"/>
      <c r="Q20" s="158"/>
      <c r="R20" s="153">
        <v>12</v>
      </c>
      <c r="S20" s="153">
        <v>180</v>
      </c>
      <c r="T20" s="156">
        <v>572</v>
      </c>
      <c r="U20" s="156"/>
      <c r="V20" s="156"/>
      <c r="W20" s="156"/>
      <c r="X20" s="156"/>
      <c r="Y20" s="156"/>
      <c r="Z20" s="156"/>
      <c r="AA20" s="156"/>
      <c r="AB20" s="156"/>
      <c r="AC20" s="156"/>
      <c r="AD20" s="156"/>
      <c r="AE20" s="156"/>
      <c r="AF20" s="156"/>
      <c r="AG20" s="159"/>
      <c r="AH20" s="156"/>
    </row>
    <row r="21" spans="1:34" s="160" customFormat="1" ht="26.25" customHeight="1" x14ac:dyDescent="0.25">
      <c r="A21" s="153">
        <v>19</v>
      </c>
      <c r="B21" s="153">
        <v>19</v>
      </c>
      <c r="C21" s="153"/>
      <c r="D21" s="153"/>
      <c r="E21" s="153" t="s">
        <v>362</v>
      </c>
      <c r="F21" s="153" t="s">
        <v>319</v>
      </c>
      <c r="G21" s="153"/>
      <c r="H21" s="154" t="s">
        <v>318</v>
      </c>
      <c r="I21" s="153">
        <v>1</v>
      </c>
      <c r="J21" s="155">
        <f t="shared" si="3"/>
        <v>1</v>
      </c>
      <c r="K21" s="156"/>
      <c r="L21" s="156">
        <v>8</v>
      </c>
      <c r="M21" s="156">
        <f t="shared" si="4"/>
        <v>8</v>
      </c>
      <c r="N21" s="157" t="s">
        <v>21</v>
      </c>
      <c r="O21" s="159" t="s">
        <v>282</v>
      </c>
      <c r="P21" s="153"/>
      <c r="Q21" s="158"/>
      <c r="R21" s="153">
        <v>20</v>
      </c>
      <c r="S21" s="153">
        <v>200</v>
      </c>
      <c r="T21" s="156">
        <v>324</v>
      </c>
      <c r="U21" s="156"/>
      <c r="V21" s="156"/>
      <c r="W21" s="156"/>
      <c r="X21" s="156"/>
      <c r="Y21" s="156"/>
      <c r="Z21" s="156"/>
      <c r="AA21" s="156"/>
      <c r="AB21" s="156"/>
      <c r="AC21" s="156"/>
      <c r="AD21" s="156"/>
      <c r="AE21" s="156"/>
      <c r="AF21" s="156"/>
      <c r="AG21" s="159"/>
      <c r="AH21" s="156"/>
    </row>
    <row r="22" spans="1:34" s="160" customFormat="1" ht="26.25" customHeight="1" x14ac:dyDescent="0.25">
      <c r="A22" s="153">
        <v>20</v>
      </c>
      <c r="B22" s="153">
        <v>20</v>
      </c>
      <c r="C22" s="153"/>
      <c r="D22" s="153"/>
      <c r="E22" s="153" t="s">
        <v>363</v>
      </c>
      <c r="F22" s="153" t="s">
        <v>322</v>
      </c>
      <c r="G22" s="153"/>
      <c r="H22" s="154" t="s">
        <v>320</v>
      </c>
      <c r="I22" s="153">
        <v>1</v>
      </c>
      <c r="J22" s="155">
        <f t="shared" si="3"/>
        <v>1</v>
      </c>
      <c r="K22" s="156"/>
      <c r="L22" s="156">
        <v>37</v>
      </c>
      <c r="M22" s="156">
        <f t="shared" si="4"/>
        <v>37</v>
      </c>
      <c r="N22" s="157" t="s">
        <v>21</v>
      </c>
      <c r="O22" s="159" t="s">
        <v>321</v>
      </c>
      <c r="P22" s="153"/>
      <c r="Q22" s="158"/>
      <c r="R22" s="153">
        <v>10</v>
      </c>
      <c r="S22" s="153">
        <v>100</v>
      </c>
      <c r="T22" s="156">
        <v>4702</v>
      </c>
      <c r="U22" s="156"/>
      <c r="V22" s="156"/>
      <c r="W22" s="156"/>
      <c r="X22" s="156"/>
      <c r="Y22" s="156"/>
      <c r="Z22" s="156"/>
      <c r="AA22" s="156"/>
      <c r="AB22" s="156"/>
      <c r="AC22" s="156"/>
      <c r="AD22" s="156"/>
      <c r="AE22" s="156"/>
      <c r="AF22" s="156"/>
      <c r="AG22" s="159"/>
      <c r="AH22" s="156"/>
    </row>
    <row r="23" spans="1:34" s="160" customFormat="1" ht="26.25" customHeight="1" x14ac:dyDescent="0.25">
      <c r="A23" s="153">
        <v>21</v>
      </c>
      <c r="B23" s="153">
        <v>21</v>
      </c>
      <c r="C23" s="153"/>
      <c r="D23" s="153"/>
      <c r="E23" s="153" t="s">
        <v>364</v>
      </c>
      <c r="F23" s="153" t="s">
        <v>324</v>
      </c>
      <c r="G23" s="153"/>
      <c r="H23" s="154" t="s">
        <v>323</v>
      </c>
      <c r="I23" s="153">
        <v>1</v>
      </c>
      <c r="J23" s="155">
        <f t="shared" si="3"/>
        <v>1</v>
      </c>
      <c r="K23" s="156"/>
      <c r="L23" s="156">
        <v>0.8</v>
      </c>
      <c r="M23" s="156">
        <f t="shared" si="4"/>
        <v>0.8</v>
      </c>
      <c r="N23" s="157" t="s">
        <v>21</v>
      </c>
      <c r="O23" s="159" t="s">
        <v>259</v>
      </c>
      <c r="P23" s="153"/>
      <c r="Q23" s="158"/>
      <c r="R23" s="153">
        <v>10</v>
      </c>
      <c r="S23" s="153">
        <v>100</v>
      </c>
      <c r="T23" s="156">
        <v>191</v>
      </c>
      <c r="U23" s="156"/>
      <c r="V23" s="156"/>
      <c r="W23" s="156"/>
      <c r="X23" s="156"/>
      <c r="Y23" s="156"/>
      <c r="Z23" s="156"/>
      <c r="AA23" s="156"/>
      <c r="AB23" s="156"/>
      <c r="AC23" s="156"/>
      <c r="AD23" s="156"/>
      <c r="AE23" s="156"/>
      <c r="AF23" s="156"/>
      <c r="AG23" s="159"/>
      <c r="AH23" s="156"/>
    </row>
    <row r="24" spans="1:34" s="160" customFormat="1" ht="26.25" customHeight="1" x14ac:dyDescent="0.25">
      <c r="A24" s="153">
        <v>22</v>
      </c>
      <c r="B24" s="153">
        <v>22</v>
      </c>
      <c r="C24" s="153"/>
      <c r="D24" s="153"/>
      <c r="E24" s="153" t="s">
        <v>365</v>
      </c>
      <c r="F24" s="153" t="s">
        <v>326</v>
      </c>
      <c r="G24" s="153"/>
      <c r="H24" s="154" t="s">
        <v>325</v>
      </c>
      <c r="I24" s="153">
        <v>1</v>
      </c>
      <c r="J24" s="155">
        <f t="shared" si="3"/>
        <v>1</v>
      </c>
      <c r="K24" s="156"/>
      <c r="L24" s="156">
        <v>11.6</v>
      </c>
      <c r="M24" s="156">
        <f t="shared" si="4"/>
        <v>11.6</v>
      </c>
      <c r="N24" s="157" t="s">
        <v>21</v>
      </c>
      <c r="O24" s="159" t="s">
        <v>282</v>
      </c>
      <c r="P24" s="153"/>
      <c r="Q24" s="158"/>
      <c r="R24" s="153">
        <v>40</v>
      </c>
      <c r="S24" s="153">
        <v>200</v>
      </c>
      <c r="T24" s="153">
        <v>200</v>
      </c>
      <c r="U24" s="156"/>
      <c r="V24" s="156"/>
      <c r="W24" s="156"/>
      <c r="X24" s="156"/>
      <c r="Y24" s="156"/>
      <c r="Z24" s="156"/>
      <c r="AA24" s="156">
        <v>10</v>
      </c>
      <c r="AB24" s="156"/>
      <c r="AC24" s="156"/>
      <c r="AD24" s="156"/>
      <c r="AE24" s="156"/>
      <c r="AF24" s="156"/>
      <c r="AG24" s="159"/>
      <c r="AH24" s="156"/>
    </row>
    <row r="25" spans="1:34" s="160" customFormat="1" ht="26.25" customHeight="1" x14ac:dyDescent="0.25">
      <c r="A25" s="153">
        <v>23</v>
      </c>
      <c r="B25" s="153">
        <v>23</v>
      </c>
      <c r="C25" s="153"/>
      <c r="D25" s="153"/>
      <c r="E25" s="153" t="s">
        <v>366</v>
      </c>
      <c r="F25" s="153" t="s">
        <v>328</v>
      </c>
      <c r="G25" s="153"/>
      <c r="H25" s="154" t="s">
        <v>327</v>
      </c>
      <c r="I25" s="153">
        <v>1</v>
      </c>
      <c r="J25" s="155">
        <f t="shared" si="3"/>
        <v>1</v>
      </c>
      <c r="K25" s="156"/>
      <c r="L25" s="156">
        <v>4</v>
      </c>
      <c r="M25" s="156">
        <f t="shared" ref="M25:M30" si="5">L25*J25</f>
        <v>4</v>
      </c>
      <c r="N25" s="157" t="s">
        <v>21</v>
      </c>
      <c r="O25" s="159" t="s">
        <v>282</v>
      </c>
      <c r="P25" s="153"/>
      <c r="Q25" s="158"/>
      <c r="R25" s="153">
        <v>25</v>
      </c>
      <c r="S25" s="153">
        <v>165</v>
      </c>
      <c r="T25" s="156">
        <v>180</v>
      </c>
      <c r="U25" s="156"/>
      <c r="V25" s="156"/>
      <c r="W25" s="156"/>
      <c r="X25" s="156"/>
      <c r="Y25" s="156"/>
      <c r="Z25" s="156"/>
      <c r="AA25" s="156"/>
      <c r="AB25" s="156"/>
      <c r="AC25" s="156"/>
      <c r="AD25" s="156"/>
      <c r="AE25" s="156"/>
      <c r="AF25" s="156"/>
      <c r="AG25" s="159"/>
      <c r="AH25" s="156"/>
    </row>
    <row r="26" spans="1:34" s="160" customFormat="1" ht="26.25" customHeight="1" x14ac:dyDescent="0.25">
      <c r="A26" s="153">
        <v>24</v>
      </c>
      <c r="B26" s="153">
        <v>24</v>
      </c>
      <c r="C26" s="153"/>
      <c r="D26" s="153"/>
      <c r="E26" s="153" t="s">
        <v>367</v>
      </c>
      <c r="F26" s="153" t="s">
        <v>333</v>
      </c>
      <c r="G26" s="153"/>
      <c r="H26" s="154" t="s">
        <v>332</v>
      </c>
      <c r="I26" s="153">
        <v>2</v>
      </c>
      <c r="J26" s="155">
        <f t="shared" si="3"/>
        <v>2</v>
      </c>
      <c r="K26" s="156"/>
      <c r="L26" s="156">
        <v>19</v>
      </c>
      <c r="M26" s="156">
        <f t="shared" si="5"/>
        <v>38</v>
      </c>
      <c r="N26" s="157" t="s">
        <v>21</v>
      </c>
      <c r="O26" s="159" t="s">
        <v>321</v>
      </c>
      <c r="P26" s="153"/>
      <c r="Q26" s="158"/>
      <c r="R26" s="153">
        <v>50</v>
      </c>
      <c r="S26" s="153">
        <v>220</v>
      </c>
      <c r="T26" s="156">
        <v>334</v>
      </c>
      <c r="U26" s="156"/>
      <c r="V26" s="156"/>
      <c r="W26" s="156"/>
      <c r="X26" s="156"/>
      <c r="Y26" s="156"/>
      <c r="Z26" s="156"/>
      <c r="AA26" s="156">
        <v>45</v>
      </c>
      <c r="AB26" s="156"/>
      <c r="AC26" s="156"/>
      <c r="AD26" s="156"/>
      <c r="AE26" s="156"/>
      <c r="AF26" s="156"/>
      <c r="AG26" s="159"/>
      <c r="AH26" s="156"/>
    </row>
    <row r="27" spans="1:34" s="160" customFormat="1" ht="26.25" customHeight="1" x14ac:dyDescent="0.25">
      <c r="A27" s="153">
        <v>25</v>
      </c>
      <c r="B27" s="153">
        <v>25</v>
      </c>
      <c r="C27" s="153"/>
      <c r="D27" s="153"/>
      <c r="E27" s="153" t="s">
        <v>368</v>
      </c>
      <c r="F27" s="153" t="s">
        <v>274</v>
      </c>
      <c r="G27" s="153"/>
      <c r="H27" s="154" t="s">
        <v>334</v>
      </c>
      <c r="I27" s="153">
        <v>1</v>
      </c>
      <c r="J27" s="155">
        <f t="shared" si="3"/>
        <v>1</v>
      </c>
      <c r="K27" s="156"/>
      <c r="L27" s="156">
        <f>R27*S27*T27*0.00000785</f>
        <v>149.99779999999998</v>
      </c>
      <c r="M27" s="156">
        <f t="shared" si="5"/>
        <v>149.99779999999998</v>
      </c>
      <c r="N27" s="157" t="s">
        <v>21</v>
      </c>
      <c r="O27" s="159" t="s">
        <v>282</v>
      </c>
      <c r="P27" s="153"/>
      <c r="Q27" s="158"/>
      <c r="R27" s="153">
        <v>20</v>
      </c>
      <c r="S27" s="156">
        <v>200</v>
      </c>
      <c r="T27" s="153">
        <v>4777</v>
      </c>
      <c r="U27" s="156"/>
      <c r="V27" s="156"/>
      <c r="W27" s="156"/>
      <c r="X27" s="156"/>
      <c r="Y27" s="156"/>
      <c r="Z27" s="156"/>
      <c r="AA27" s="156"/>
      <c r="AB27" s="156"/>
      <c r="AC27" s="156"/>
      <c r="AD27" s="156"/>
      <c r="AE27" s="156"/>
      <c r="AF27" s="156"/>
      <c r="AG27" s="159"/>
      <c r="AH27" s="156"/>
    </row>
    <row r="28" spans="1:34" s="160" customFormat="1" ht="26.25" customHeight="1" x14ac:dyDescent="0.25">
      <c r="A28" s="153">
        <v>26</v>
      </c>
      <c r="B28" s="153">
        <v>26</v>
      </c>
      <c r="C28" s="153"/>
      <c r="D28" s="153"/>
      <c r="E28" s="153" t="s">
        <v>369</v>
      </c>
      <c r="F28" s="153" t="s">
        <v>274</v>
      </c>
      <c r="G28" s="153"/>
      <c r="H28" s="154" t="s">
        <v>353</v>
      </c>
      <c r="I28" s="153">
        <v>2</v>
      </c>
      <c r="J28" s="155">
        <f t="shared" si="3"/>
        <v>2</v>
      </c>
      <c r="K28" s="156"/>
      <c r="L28" s="156"/>
      <c r="M28" s="156">
        <f t="shared" si="5"/>
        <v>0</v>
      </c>
      <c r="N28" s="157" t="s">
        <v>372</v>
      </c>
      <c r="O28" s="159" t="s">
        <v>264</v>
      </c>
      <c r="P28" s="153"/>
      <c r="Q28" s="158"/>
      <c r="R28" s="421" t="s">
        <v>373</v>
      </c>
      <c r="S28" s="156"/>
      <c r="T28" s="421">
        <v>103.5</v>
      </c>
      <c r="U28" s="156"/>
      <c r="V28" s="156"/>
      <c r="W28" s="156"/>
      <c r="X28" s="156"/>
      <c r="Y28" s="156"/>
      <c r="Z28" s="156"/>
      <c r="AA28" s="156"/>
      <c r="AB28" s="156"/>
      <c r="AC28" s="156"/>
      <c r="AD28" s="156"/>
      <c r="AE28" s="156"/>
      <c r="AF28" s="156"/>
      <c r="AG28" s="159"/>
      <c r="AH28" s="156"/>
    </row>
    <row r="29" spans="1:34" s="160" customFormat="1" ht="26.25" customHeight="1" x14ac:dyDescent="0.25">
      <c r="A29" s="153">
        <v>27</v>
      </c>
      <c r="B29" s="153">
        <v>27</v>
      </c>
      <c r="C29" s="153"/>
      <c r="D29" s="153"/>
      <c r="E29" s="153" t="s">
        <v>370</v>
      </c>
      <c r="F29" s="153" t="s">
        <v>274</v>
      </c>
      <c r="G29" s="153"/>
      <c r="H29" s="154" t="s">
        <v>354</v>
      </c>
      <c r="I29" s="153">
        <v>2</v>
      </c>
      <c r="J29" s="155">
        <f t="shared" si="3"/>
        <v>2</v>
      </c>
      <c r="K29" s="156"/>
      <c r="L29" s="156"/>
      <c r="M29" s="156">
        <f t="shared" si="5"/>
        <v>0</v>
      </c>
      <c r="N29" s="157" t="s">
        <v>374</v>
      </c>
      <c r="O29" s="159" t="s">
        <v>355</v>
      </c>
      <c r="P29" s="153"/>
      <c r="Q29" s="158"/>
      <c r="R29" s="153"/>
      <c r="S29" s="156"/>
      <c r="T29" s="153"/>
      <c r="U29" s="156"/>
      <c r="V29" s="156"/>
      <c r="W29" s="156"/>
      <c r="X29" s="156"/>
      <c r="Y29" s="156"/>
      <c r="Z29" s="156"/>
      <c r="AA29" s="156"/>
      <c r="AB29" s="156"/>
      <c r="AC29" s="156"/>
      <c r="AD29" s="156"/>
      <c r="AE29" s="156"/>
      <c r="AF29" s="156"/>
      <c r="AG29" s="159"/>
      <c r="AH29" s="156"/>
    </row>
    <row r="30" spans="1:34" s="160" customFormat="1" ht="26.25" customHeight="1" x14ac:dyDescent="0.25">
      <c r="A30" s="153">
        <v>28</v>
      </c>
      <c r="B30" s="153">
        <v>28</v>
      </c>
      <c r="C30" s="153"/>
      <c r="D30" s="153"/>
      <c r="E30" s="153" t="s">
        <v>371</v>
      </c>
      <c r="F30" s="153" t="s">
        <v>357</v>
      </c>
      <c r="G30" s="153"/>
      <c r="H30" s="154" t="s">
        <v>356</v>
      </c>
      <c r="I30" s="153">
        <v>2</v>
      </c>
      <c r="J30" s="155">
        <f t="shared" si="3"/>
        <v>2</v>
      </c>
      <c r="K30" s="156"/>
      <c r="L30" s="156">
        <v>2</v>
      </c>
      <c r="M30" s="156">
        <f t="shared" si="5"/>
        <v>4</v>
      </c>
      <c r="N30" s="157" t="s">
        <v>21</v>
      </c>
      <c r="O30" s="159" t="s">
        <v>259</v>
      </c>
      <c r="P30" s="153"/>
      <c r="Q30" s="158"/>
      <c r="R30" s="153">
        <v>10</v>
      </c>
      <c r="S30" s="156">
        <v>210</v>
      </c>
      <c r="T30" s="153">
        <v>210</v>
      </c>
      <c r="U30" s="156"/>
      <c r="V30" s="156"/>
      <c r="W30" s="156"/>
      <c r="X30" s="156"/>
      <c r="Y30" s="156"/>
      <c r="Z30" s="156"/>
      <c r="AA30" s="156"/>
      <c r="AB30" s="156"/>
      <c r="AC30" s="156"/>
      <c r="AD30" s="156"/>
      <c r="AE30" s="156"/>
      <c r="AF30" s="156"/>
      <c r="AG30" s="159"/>
      <c r="AH30" s="156"/>
    </row>
    <row r="31" spans="1:34" s="160" customFormat="1" ht="26.25" customHeight="1" x14ac:dyDescent="0.25">
      <c r="A31" s="153">
        <v>29</v>
      </c>
      <c r="B31" s="153"/>
      <c r="C31" s="153"/>
      <c r="D31" s="153">
        <v>1.3</v>
      </c>
      <c r="E31" s="153"/>
      <c r="F31" s="153" t="s">
        <v>260</v>
      </c>
      <c r="G31" s="153"/>
      <c r="H31" s="154" t="s">
        <v>258</v>
      </c>
      <c r="I31" s="153">
        <v>2</v>
      </c>
      <c r="J31" s="155">
        <f t="shared" si="2"/>
        <v>2</v>
      </c>
      <c r="K31" s="156"/>
      <c r="L31" s="156">
        <v>3.4</v>
      </c>
      <c r="M31" s="156">
        <f t="shared" si="0"/>
        <v>6.8</v>
      </c>
      <c r="N31" s="157" t="s">
        <v>21</v>
      </c>
      <c r="O31" s="159" t="s">
        <v>259</v>
      </c>
      <c r="P31" s="153"/>
      <c r="Q31" s="158"/>
      <c r="R31" s="153">
        <v>12</v>
      </c>
      <c r="S31" s="156">
        <v>200</v>
      </c>
      <c r="T31" s="153">
        <v>240</v>
      </c>
      <c r="U31" s="156"/>
      <c r="V31" s="156"/>
      <c r="W31" s="156"/>
      <c r="X31" s="156"/>
      <c r="Y31" s="156"/>
      <c r="Z31" s="156"/>
      <c r="AA31" s="156"/>
      <c r="AB31" s="156"/>
      <c r="AC31" s="156"/>
      <c r="AD31" s="156"/>
      <c r="AE31" s="156"/>
      <c r="AF31" s="156"/>
      <c r="AG31" s="159"/>
      <c r="AH31" s="156"/>
    </row>
    <row r="32" spans="1:34" s="160" customFormat="1" ht="26.25" customHeight="1" x14ac:dyDescent="0.25">
      <c r="A32" s="153">
        <v>30</v>
      </c>
      <c r="B32" s="153"/>
      <c r="C32" s="153"/>
      <c r="D32" s="153">
        <v>1.4</v>
      </c>
      <c r="E32" s="153"/>
      <c r="F32" s="153" t="s">
        <v>262</v>
      </c>
      <c r="G32" s="153"/>
      <c r="H32" s="154" t="s">
        <v>261</v>
      </c>
      <c r="I32" s="153">
        <v>4</v>
      </c>
      <c r="J32" s="155">
        <f t="shared" si="2"/>
        <v>4</v>
      </c>
      <c r="K32" s="153"/>
      <c r="L32" s="156">
        <v>15</v>
      </c>
      <c r="M32" s="156">
        <f t="shared" si="0"/>
        <v>60</v>
      </c>
      <c r="N32" s="157" t="s">
        <v>21</v>
      </c>
      <c r="O32" s="161" t="s">
        <v>259</v>
      </c>
      <c r="P32" s="420"/>
      <c r="Q32" s="153"/>
      <c r="R32" s="153">
        <v>12</v>
      </c>
      <c r="S32" s="153">
        <v>373</v>
      </c>
      <c r="T32" s="153">
        <v>789</v>
      </c>
      <c r="U32" s="156"/>
      <c r="V32" s="153"/>
      <c r="W32" s="156"/>
      <c r="X32" s="156"/>
      <c r="Y32" s="156"/>
      <c r="Z32" s="153"/>
      <c r="AA32" s="156"/>
      <c r="AB32" s="156"/>
      <c r="AC32" s="153"/>
      <c r="AD32" s="153"/>
      <c r="AE32" s="156"/>
      <c r="AF32" s="153"/>
      <c r="AG32" s="159"/>
      <c r="AH32" s="156"/>
    </row>
    <row r="33" spans="1:37" s="160" customFormat="1" ht="26.25" customHeight="1" x14ac:dyDescent="0.25">
      <c r="A33" s="153">
        <v>31</v>
      </c>
      <c r="B33" s="153"/>
      <c r="C33" s="153"/>
      <c r="D33" s="153">
        <v>1.5</v>
      </c>
      <c r="E33" s="153"/>
      <c r="F33" s="153" t="s">
        <v>265</v>
      </c>
      <c r="G33" s="153"/>
      <c r="H33" s="154" t="s">
        <v>263</v>
      </c>
      <c r="I33" s="153">
        <v>2</v>
      </c>
      <c r="J33" s="155">
        <f t="shared" si="2"/>
        <v>2</v>
      </c>
      <c r="K33" s="181"/>
      <c r="L33" s="156">
        <v>5</v>
      </c>
      <c r="M33" s="156">
        <f t="shared" si="0"/>
        <v>10</v>
      </c>
      <c r="N33" s="166" t="s">
        <v>311</v>
      </c>
      <c r="O33" s="159"/>
      <c r="P33" s="153"/>
      <c r="Q33" s="158"/>
      <c r="R33" s="153"/>
      <c r="S33" s="153"/>
      <c r="T33" s="156"/>
      <c r="U33" s="156"/>
      <c r="V33" s="156"/>
      <c r="W33" s="156"/>
      <c r="X33" s="156"/>
      <c r="Y33" s="156"/>
      <c r="Z33" s="156"/>
      <c r="AA33" s="156"/>
      <c r="AB33" s="156"/>
      <c r="AC33" s="156"/>
      <c r="AD33" s="156"/>
      <c r="AE33" s="156"/>
      <c r="AF33" s="156"/>
      <c r="AG33" s="159"/>
      <c r="AH33" s="156"/>
    </row>
    <row r="34" spans="1:37" s="160" customFormat="1" ht="26.25" customHeight="1" x14ac:dyDescent="0.25">
      <c r="A34" s="153"/>
      <c r="B34" s="153"/>
      <c r="C34" s="153"/>
      <c r="D34" s="153"/>
      <c r="E34" s="153" t="s">
        <v>359</v>
      </c>
      <c r="F34" s="153"/>
      <c r="G34" s="153"/>
      <c r="H34" s="154" t="s">
        <v>376</v>
      </c>
      <c r="I34" s="153">
        <v>1</v>
      </c>
      <c r="J34" s="155">
        <f>I34*$J$33</f>
        <v>2</v>
      </c>
      <c r="K34" s="181"/>
      <c r="L34" s="156">
        <f>L33-L35</f>
        <v>4.6516484</v>
      </c>
      <c r="M34" s="156">
        <f t="shared" si="0"/>
        <v>9.3032968</v>
      </c>
      <c r="N34" s="157" t="s">
        <v>372</v>
      </c>
      <c r="O34" s="159" t="s">
        <v>264</v>
      </c>
      <c r="P34" s="153"/>
      <c r="Q34" s="158"/>
      <c r="R34" s="153" t="s">
        <v>379</v>
      </c>
      <c r="S34" s="153"/>
      <c r="T34" s="153">
        <v>255</v>
      </c>
      <c r="U34" s="156"/>
      <c r="V34" s="156"/>
      <c r="W34" s="156"/>
      <c r="X34" s="156"/>
      <c r="Y34" s="156"/>
      <c r="Z34" s="156"/>
      <c r="AA34" s="156">
        <v>5</v>
      </c>
      <c r="AB34" s="156"/>
      <c r="AC34" s="156"/>
      <c r="AD34" s="156"/>
      <c r="AE34" s="156"/>
      <c r="AF34" s="156"/>
      <c r="AG34" s="159"/>
      <c r="AH34" s="156"/>
    </row>
    <row r="35" spans="1:37" s="160" customFormat="1" ht="26.25" customHeight="1" x14ac:dyDescent="0.25">
      <c r="A35" s="153"/>
      <c r="B35" s="153"/>
      <c r="C35" s="153"/>
      <c r="D35" s="153"/>
      <c r="E35" s="153" t="s">
        <v>375</v>
      </c>
      <c r="F35" s="153"/>
      <c r="G35" s="153"/>
      <c r="H35" s="154" t="s">
        <v>377</v>
      </c>
      <c r="I35" s="153">
        <v>1</v>
      </c>
      <c r="J35" s="155">
        <f>I35*$J$33</f>
        <v>2</v>
      </c>
      <c r="K35" s="181"/>
      <c r="L35" s="156">
        <f>R35*S35*T35*0.00000785</f>
        <v>0.34835159999999998</v>
      </c>
      <c r="M35" s="156">
        <f t="shared" si="0"/>
        <v>0.69670319999999997</v>
      </c>
      <c r="N35" s="157" t="s">
        <v>21</v>
      </c>
      <c r="O35" s="159" t="s">
        <v>264</v>
      </c>
      <c r="P35" s="153"/>
      <c r="Q35" s="158"/>
      <c r="R35" s="153">
        <v>6</v>
      </c>
      <c r="S35" s="153">
        <v>86</v>
      </c>
      <c r="T35" s="156">
        <v>86</v>
      </c>
      <c r="U35" s="156"/>
      <c r="V35" s="156"/>
      <c r="W35" s="156"/>
      <c r="X35" s="156"/>
      <c r="Y35" s="156"/>
      <c r="Z35" s="156"/>
      <c r="AA35" s="156"/>
      <c r="AB35" s="156"/>
      <c r="AC35" s="156"/>
      <c r="AD35" s="156"/>
      <c r="AE35" s="156"/>
      <c r="AF35" s="156"/>
      <c r="AG35" s="159"/>
      <c r="AH35" s="156"/>
    </row>
    <row r="36" spans="1:37" s="160" customFormat="1" ht="26.25" customHeight="1" x14ac:dyDescent="0.25">
      <c r="A36" s="153">
        <v>32</v>
      </c>
      <c r="B36" s="153"/>
      <c r="C36" s="153"/>
      <c r="D36" s="153">
        <v>1.6</v>
      </c>
      <c r="E36" s="153"/>
      <c r="F36" s="153" t="s">
        <v>267</v>
      </c>
      <c r="G36" s="153"/>
      <c r="H36" s="154" t="s">
        <v>382</v>
      </c>
      <c r="I36" s="153">
        <v>2</v>
      </c>
      <c r="J36" s="155">
        <f t="shared" si="2"/>
        <v>2</v>
      </c>
      <c r="K36" s="156"/>
      <c r="L36" s="156">
        <v>498</v>
      </c>
      <c r="M36" s="156">
        <f t="shared" si="0"/>
        <v>996</v>
      </c>
      <c r="N36" s="157" t="s">
        <v>380</v>
      </c>
      <c r="O36" s="159" t="s">
        <v>266</v>
      </c>
      <c r="P36" s="153"/>
      <c r="Q36" s="158"/>
      <c r="R36" s="153" t="s">
        <v>381</v>
      </c>
      <c r="S36" s="153"/>
      <c r="T36" s="156">
        <v>4572</v>
      </c>
      <c r="U36" s="156"/>
      <c r="V36" s="156"/>
      <c r="W36" s="156"/>
      <c r="X36" s="156"/>
      <c r="Y36" s="156"/>
      <c r="Z36" s="156"/>
      <c r="AA36" s="156"/>
      <c r="AB36" s="156"/>
      <c r="AC36" s="156"/>
      <c r="AD36" s="156"/>
      <c r="AE36" s="156"/>
      <c r="AF36" s="156"/>
      <c r="AG36" s="159"/>
      <c r="AH36" s="156"/>
    </row>
    <row r="37" spans="1:37" s="160" customFormat="1" ht="26.25" customHeight="1" x14ac:dyDescent="0.25">
      <c r="A37" s="153">
        <v>33</v>
      </c>
      <c r="B37" s="153"/>
      <c r="C37" s="153"/>
      <c r="D37" s="153">
        <v>1.7</v>
      </c>
      <c r="E37" s="153"/>
      <c r="F37" s="153" t="s">
        <v>270</v>
      </c>
      <c r="G37" s="153"/>
      <c r="H37" s="154" t="s">
        <v>268</v>
      </c>
      <c r="I37" s="153">
        <v>1</v>
      </c>
      <c r="J37" s="155">
        <f t="shared" si="2"/>
        <v>1</v>
      </c>
      <c r="K37" s="156"/>
      <c r="L37" s="156">
        <v>3</v>
      </c>
      <c r="M37" s="156">
        <f t="shared" si="0"/>
        <v>3</v>
      </c>
      <c r="N37" s="157" t="s">
        <v>378</v>
      </c>
      <c r="O37" s="159" t="s">
        <v>269</v>
      </c>
      <c r="P37" s="153"/>
      <c r="Q37" s="158"/>
      <c r="R37" s="153" t="s">
        <v>383</v>
      </c>
      <c r="S37" s="156"/>
      <c r="T37" s="153">
        <v>410</v>
      </c>
      <c r="U37" s="156"/>
      <c r="V37" s="156"/>
      <c r="W37" s="156"/>
      <c r="X37" s="156"/>
      <c r="Y37" s="156"/>
      <c r="Z37" s="156"/>
      <c r="AA37" s="156"/>
      <c r="AB37" s="156"/>
      <c r="AC37" s="156"/>
      <c r="AD37" s="156"/>
      <c r="AE37" s="156"/>
      <c r="AF37" s="156"/>
      <c r="AG37" s="159"/>
      <c r="AH37" s="156"/>
    </row>
    <row r="38" spans="1:37" s="160" customFormat="1" ht="26.25" customHeight="1" x14ac:dyDescent="0.25">
      <c r="A38" s="153">
        <v>34</v>
      </c>
      <c r="B38" s="153"/>
      <c r="C38" s="153"/>
      <c r="D38" s="153">
        <v>1.8</v>
      </c>
      <c r="E38" s="153"/>
      <c r="F38" s="153" t="s">
        <v>272</v>
      </c>
      <c r="G38" s="153"/>
      <c r="H38" s="154" t="s">
        <v>271</v>
      </c>
      <c r="I38" s="153">
        <v>1</v>
      </c>
      <c r="J38" s="155">
        <f t="shared" si="2"/>
        <v>1</v>
      </c>
      <c r="K38" s="153"/>
      <c r="L38" s="156">
        <v>3</v>
      </c>
      <c r="M38" s="156">
        <f t="shared" si="0"/>
        <v>3</v>
      </c>
      <c r="N38" s="157" t="s">
        <v>378</v>
      </c>
      <c r="O38" s="159" t="s">
        <v>269</v>
      </c>
      <c r="P38" s="420"/>
      <c r="Q38" s="159"/>
      <c r="R38" s="153" t="s">
        <v>383</v>
      </c>
      <c r="S38" s="153"/>
      <c r="T38" s="153">
        <v>410</v>
      </c>
      <c r="U38" s="156"/>
      <c r="V38" s="153"/>
      <c r="W38" s="156"/>
      <c r="X38" s="156"/>
      <c r="Y38" s="156"/>
      <c r="Z38" s="153"/>
      <c r="AA38" s="156"/>
      <c r="AB38" s="156"/>
      <c r="AC38" s="153"/>
      <c r="AD38" s="153"/>
      <c r="AE38" s="156"/>
      <c r="AF38" s="156"/>
      <c r="AG38" s="159"/>
      <c r="AH38" s="156"/>
      <c r="AK38" s="162"/>
    </row>
    <row r="39" spans="1:37" s="160" customFormat="1" ht="26.25" customHeight="1" x14ac:dyDescent="0.25">
      <c r="A39" s="153">
        <v>35</v>
      </c>
      <c r="B39" s="153"/>
      <c r="C39" s="153"/>
      <c r="D39" s="153">
        <v>1.9</v>
      </c>
      <c r="E39" s="153"/>
      <c r="F39" s="153" t="s">
        <v>274</v>
      </c>
      <c r="G39" s="153"/>
      <c r="H39" s="154" t="s">
        <v>273</v>
      </c>
      <c r="I39" s="153">
        <v>7</v>
      </c>
      <c r="J39" s="155">
        <f t="shared" si="2"/>
        <v>7</v>
      </c>
      <c r="K39" s="156"/>
      <c r="L39" s="156">
        <f>25.3*T39/1000</f>
        <v>55.609400000000001</v>
      </c>
      <c r="M39" s="156">
        <f t="shared" si="0"/>
        <v>389.26580000000001</v>
      </c>
      <c r="N39" s="157" t="s">
        <v>378</v>
      </c>
      <c r="O39" s="159" t="s">
        <v>259</v>
      </c>
      <c r="P39" s="153"/>
      <c r="Q39" s="159"/>
      <c r="R39" s="153" t="s">
        <v>384</v>
      </c>
      <c r="S39" s="153"/>
      <c r="T39" s="156">
        <v>2198</v>
      </c>
      <c r="U39" s="156">
        <f>25.3*T39/1000</f>
        <v>55.609400000000001</v>
      </c>
      <c r="V39" s="156"/>
      <c r="W39" s="156"/>
      <c r="X39" s="156"/>
      <c r="Y39" s="153"/>
      <c r="Z39" s="153"/>
      <c r="AA39" s="153"/>
      <c r="AB39" s="156"/>
      <c r="AC39" s="153"/>
      <c r="AD39" s="153"/>
      <c r="AE39" s="153"/>
      <c r="AF39" s="156"/>
      <c r="AG39" s="159"/>
      <c r="AH39" s="156"/>
      <c r="AK39" s="162"/>
    </row>
    <row r="40" spans="1:37" s="160" customFormat="1" ht="26.25" customHeight="1" x14ac:dyDescent="0.25">
      <c r="A40" s="153">
        <v>36</v>
      </c>
      <c r="B40" s="153"/>
      <c r="C40" s="153"/>
      <c r="D40" s="156">
        <v>1.1000000000000001</v>
      </c>
      <c r="E40" s="153"/>
      <c r="F40" s="153" t="s">
        <v>277</v>
      </c>
      <c r="G40" s="153"/>
      <c r="H40" s="154" t="s">
        <v>275</v>
      </c>
      <c r="I40" s="153">
        <v>1</v>
      </c>
      <c r="J40" s="155">
        <f t="shared" si="2"/>
        <v>1</v>
      </c>
      <c r="K40" s="153"/>
      <c r="L40" s="156">
        <v>27.7</v>
      </c>
      <c r="M40" s="156">
        <f t="shared" si="0"/>
        <v>27.7</v>
      </c>
      <c r="N40" s="159" t="s">
        <v>21</v>
      </c>
      <c r="O40" s="159" t="s">
        <v>276</v>
      </c>
      <c r="P40" s="153"/>
      <c r="Q40" s="159"/>
      <c r="R40" s="153">
        <v>6</v>
      </c>
      <c r="S40" s="153">
        <v>720</v>
      </c>
      <c r="T40" s="156">
        <v>819</v>
      </c>
      <c r="U40" s="156"/>
      <c r="V40" s="156"/>
      <c r="W40" s="156"/>
      <c r="X40" s="156"/>
      <c r="Y40" s="153">
        <v>1</v>
      </c>
      <c r="Z40" s="153" t="s">
        <v>385</v>
      </c>
      <c r="AA40" s="153"/>
      <c r="AB40" s="156"/>
      <c r="AC40" s="153"/>
      <c r="AD40" s="153"/>
      <c r="AE40" s="153"/>
      <c r="AF40" s="156"/>
      <c r="AG40" s="159"/>
      <c r="AH40" s="156"/>
      <c r="AK40" s="162"/>
    </row>
    <row r="41" spans="1:37" s="160" customFormat="1" ht="26.25" customHeight="1" x14ac:dyDescent="0.25">
      <c r="A41" s="153">
        <v>37</v>
      </c>
      <c r="B41" s="153"/>
      <c r="C41" s="153"/>
      <c r="D41" s="153">
        <v>1.1100000000000001</v>
      </c>
      <c r="E41" s="153"/>
      <c r="F41" s="153" t="s">
        <v>274</v>
      </c>
      <c r="G41" s="153"/>
      <c r="H41" s="154" t="s">
        <v>386</v>
      </c>
      <c r="I41" s="153">
        <v>1</v>
      </c>
      <c r="J41" s="155">
        <f t="shared" si="2"/>
        <v>1</v>
      </c>
      <c r="K41" s="153"/>
      <c r="L41" s="156">
        <f>8.64*T41/1000</f>
        <v>40.366080000000004</v>
      </c>
      <c r="M41" s="156">
        <f t="shared" si="0"/>
        <v>40.366080000000004</v>
      </c>
      <c r="N41" s="157" t="s">
        <v>378</v>
      </c>
      <c r="O41" s="159" t="s">
        <v>269</v>
      </c>
      <c r="P41" s="153"/>
      <c r="Q41" s="159"/>
      <c r="R41" s="153" t="s">
        <v>383</v>
      </c>
      <c r="S41" s="156"/>
      <c r="T41" s="156">
        <v>4672</v>
      </c>
      <c r="U41" s="156">
        <f>8.64*T41/1000</f>
        <v>40.366080000000004</v>
      </c>
      <c r="V41" s="156"/>
      <c r="W41" s="153"/>
      <c r="X41" s="153"/>
      <c r="Y41" s="153"/>
      <c r="Z41" s="153"/>
      <c r="AA41" s="153"/>
      <c r="AB41" s="156"/>
      <c r="AC41" s="153"/>
      <c r="AD41" s="153"/>
      <c r="AE41" s="153"/>
      <c r="AF41" s="156"/>
      <c r="AG41" s="159"/>
      <c r="AH41" s="161"/>
      <c r="AK41" s="162"/>
    </row>
    <row r="42" spans="1:37" s="160" customFormat="1" ht="26.25" customHeight="1" x14ac:dyDescent="0.25">
      <c r="A42" s="153">
        <v>38</v>
      </c>
      <c r="B42" s="153"/>
      <c r="C42" s="153"/>
      <c r="D42" s="156">
        <v>1.1200000000000001</v>
      </c>
      <c r="E42" s="153"/>
      <c r="F42" s="153" t="s">
        <v>274</v>
      </c>
      <c r="G42" s="153"/>
      <c r="H42" s="154" t="s">
        <v>278</v>
      </c>
      <c r="I42" s="153">
        <v>5</v>
      </c>
      <c r="J42" s="155">
        <f t="shared" si="2"/>
        <v>5</v>
      </c>
      <c r="K42" s="153"/>
      <c r="L42" s="156">
        <f>8.64*T42/1000</f>
        <v>9.8755199999999999</v>
      </c>
      <c r="M42" s="156">
        <f t="shared" si="0"/>
        <v>49.377600000000001</v>
      </c>
      <c r="N42" s="157" t="s">
        <v>378</v>
      </c>
      <c r="O42" s="159" t="s">
        <v>269</v>
      </c>
      <c r="P42" s="153"/>
      <c r="Q42" s="159"/>
      <c r="R42" s="153" t="s">
        <v>383</v>
      </c>
      <c r="S42" s="153"/>
      <c r="T42" s="156">
        <v>1143</v>
      </c>
      <c r="U42" s="156">
        <f>8.64*T42/1000</f>
        <v>9.8755199999999999</v>
      </c>
      <c r="V42" s="156"/>
      <c r="W42" s="156"/>
      <c r="X42" s="156"/>
      <c r="Y42" s="153"/>
      <c r="Z42" s="153"/>
      <c r="AA42" s="153"/>
      <c r="AB42" s="153"/>
      <c r="AC42" s="153"/>
      <c r="AD42" s="153"/>
      <c r="AE42" s="153"/>
      <c r="AF42" s="156"/>
      <c r="AG42" s="159"/>
      <c r="AH42" s="156"/>
      <c r="AK42" s="162"/>
    </row>
    <row r="43" spans="1:37" s="160" customFormat="1" ht="26.25" customHeight="1" x14ac:dyDescent="0.25">
      <c r="A43" s="153">
        <v>39</v>
      </c>
      <c r="B43" s="153"/>
      <c r="C43" s="153"/>
      <c r="D43" s="153">
        <v>1.1299999999999999</v>
      </c>
      <c r="E43" s="153"/>
      <c r="F43" s="153" t="s">
        <v>280</v>
      </c>
      <c r="G43" s="153"/>
      <c r="H43" s="154" t="s">
        <v>279</v>
      </c>
      <c r="I43" s="153">
        <v>1</v>
      </c>
      <c r="J43" s="155">
        <f t="shared" si="2"/>
        <v>1</v>
      </c>
      <c r="K43" s="153"/>
      <c r="L43" s="156">
        <f>8.64*T43/1000</f>
        <v>39.942720000000001</v>
      </c>
      <c r="M43" s="156">
        <f t="shared" si="0"/>
        <v>39.942720000000001</v>
      </c>
      <c r="N43" s="157" t="s">
        <v>378</v>
      </c>
      <c r="O43" s="159" t="s">
        <v>269</v>
      </c>
      <c r="P43" s="420"/>
      <c r="Q43" s="159"/>
      <c r="R43" s="153" t="s">
        <v>383</v>
      </c>
      <c r="S43" s="153"/>
      <c r="T43" s="156">
        <v>4623</v>
      </c>
      <c r="U43" s="156">
        <f>8.64*T43/1000</f>
        <v>39.942720000000001</v>
      </c>
      <c r="V43" s="153"/>
      <c r="W43" s="156"/>
      <c r="X43" s="156"/>
      <c r="Y43" s="156"/>
      <c r="Z43" s="153"/>
      <c r="AA43" s="156"/>
      <c r="AB43" s="156"/>
      <c r="AC43" s="153"/>
      <c r="AD43" s="153"/>
      <c r="AE43" s="156"/>
      <c r="AF43" s="156"/>
      <c r="AG43" s="159"/>
      <c r="AH43" s="156"/>
      <c r="AK43" s="162"/>
    </row>
    <row r="44" spans="1:37" s="160" customFormat="1" ht="26.25" customHeight="1" x14ac:dyDescent="0.25">
      <c r="A44" s="153">
        <v>40</v>
      </c>
      <c r="B44" s="153"/>
      <c r="C44" s="153"/>
      <c r="D44" s="156">
        <v>1.1399999999999999</v>
      </c>
      <c r="E44" s="153"/>
      <c r="F44" s="153" t="s">
        <v>283</v>
      </c>
      <c r="G44" s="153"/>
      <c r="H44" s="154" t="s">
        <v>281</v>
      </c>
      <c r="I44" s="153">
        <v>1</v>
      </c>
      <c r="J44" s="155">
        <f t="shared" si="2"/>
        <v>1</v>
      </c>
      <c r="K44" s="156"/>
      <c r="L44" s="156">
        <f>R44*S44*T44*0.00000785</f>
        <v>0.69731549999999998</v>
      </c>
      <c r="M44" s="156">
        <f t="shared" si="0"/>
        <v>0.69731549999999998</v>
      </c>
      <c r="N44" s="159" t="s">
        <v>21</v>
      </c>
      <c r="O44" s="159" t="s">
        <v>282</v>
      </c>
      <c r="P44" s="153"/>
      <c r="Q44" s="159"/>
      <c r="R44" s="153">
        <v>6</v>
      </c>
      <c r="S44" s="153">
        <v>45</v>
      </c>
      <c r="T44" s="156">
        <v>329</v>
      </c>
      <c r="U44" s="156"/>
      <c r="V44" s="156"/>
      <c r="W44" s="156"/>
      <c r="X44" s="156"/>
      <c r="Y44" s="153"/>
      <c r="Z44" s="153"/>
      <c r="AA44" s="153"/>
      <c r="AB44" s="156"/>
      <c r="AC44" s="153"/>
      <c r="AD44" s="153"/>
      <c r="AE44" s="153"/>
      <c r="AF44" s="156"/>
      <c r="AG44" s="159"/>
      <c r="AH44" s="156"/>
      <c r="AK44" s="162"/>
    </row>
    <row r="45" spans="1:37" s="160" customFormat="1" ht="26.25" customHeight="1" x14ac:dyDescent="0.25">
      <c r="A45" s="153">
        <v>41</v>
      </c>
      <c r="B45" s="153"/>
      <c r="C45" s="153"/>
      <c r="D45" s="153">
        <v>1.1499999999999999</v>
      </c>
      <c r="E45" s="153"/>
      <c r="F45" s="153" t="s">
        <v>274</v>
      </c>
      <c r="G45" s="153"/>
      <c r="H45" s="154" t="s">
        <v>284</v>
      </c>
      <c r="I45" s="153">
        <v>1</v>
      </c>
      <c r="J45" s="155">
        <f t="shared" si="2"/>
        <v>1</v>
      </c>
      <c r="K45" s="153"/>
      <c r="L45" s="156"/>
      <c r="M45" s="156">
        <f t="shared" si="0"/>
        <v>0</v>
      </c>
      <c r="N45" s="159" t="s">
        <v>372</v>
      </c>
      <c r="O45" s="159" t="s">
        <v>285</v>
      </c>
      <c r="P45" s="153"/>
      <c r="Q45" s="159"/>
      <c r="R45" s="421" t="s">
        <v>373</v>
      </c>
      <c r="S45" s="153"/>
      <c r="T45" s="153">
        <v>2388</v>
      </c>
      <c r="U45" s="156"/>
      <c r="V45" s="156"/>
      <c r="W45" s="156"/>
      <c r="X45" s="156"/>
      <c r="Y45" s="153"/>
      <c r="Z45" s="153"/>
      <c r="AA45" s="153"/>
      <c r="AB45" s="156"/>
      <c r="AC45" s="153"/>
      <c r="AD45" s="153"/>
      <c r="AE45" s="153"/>
      <c r="AF45" s="156"/>
      <c r="AG45" s="159"/>
      <c r="AH45" s="156"/>
      <c r="AK45" s="162"/>
    </row>
    <row r="46" spans="1:37" s="160" customFormat="1" ht="26.25" customHeight="1" x14ac:dyDescent="0.25">
      <c r="A46" s="153">
        <v>42</v>
      </c>
      <c r="B46" s="153"/>
      <c r="C46" s="153"/>
      <c r="D46" s="156">
        <v>1.1599999999999999</v>
      </c>
      <c r="E46" s="153"/>
      <c r="F46" s="153" t="s">
        <v>287</v>
      </c>
      <c r="G46" s="153"/>
      <c r="H46" s="154" t="s">
        <v>286</v>
      </c>
      <c r="I46" s="153">
        <v>1</v>
      </c>
      <c r="J46" s="155">
        <f t="shared" si="2"/>
        <v>1</v>
      </c>
      <c r="K46" s="168"/>
      <c r="L46" s="156">
        <f>R46*S46*T46*0.00000785</f>
        <v>0.59345999999999999</v>
      </c>
      <c r="M46" s="156">
        <f t="shared" si="0"/>
        <v>0.59345999999999999</v>
      </c>
      <c r="N46" s="159" t="s">
        <v>21</v>
      </c>
      <c r="O46" s="159" t="s">
        <v>282</v>
      </c>
      <c r="P46" s="153"/>
      <c r="Q46" s="159"/>
      <c r="R46" s="153">
        <v>6</v>
      </c>
      <c r="S46" s="153">
        <v>45</v>
      </c>
      <c r="T46" s="156">
        <v>280</v>
      </c>
      <c r="U46" s="156"/>
      <c r="V46" s="156"/>
      <c r="W46" s="153"/>
      <c r="X46" s="153"/>
      <c r="Y46" s="153"/>
      <c r="Z46" s="153"/>
      <c r="AA46" s="153"/>
      <c r="AB46" s="156"/>
      <c r="AC46" s="153"/>
      <c r="AD46" s="156"/>
      <c r="AE46" s="153"/>
      <c r="AF46" s="156"/>
      <c r="AG46" s="159"/>
      <c r="AH46" s="161"/>
      <c r="AK46" s="162"/>
    </row>
    <row r="47" spans="1:37" s="160" customFormat="1" ht="26.25" customHeight="1" x14ac:dyDescent="0.25">
      <c r="A47" s="153">
        <v>43</v>
      </c>
      <c r="B47" s="153"/>
      <c r="C47" s="153"/>
      <c r="D47" s="153">
        <v>1.17</v>
      </c>
      <c r="E47" s="153"/>
      <c r="F47" s="153" t="s">
        <v>289</v>
      </c>
      <c r="G47" s="153"/>
      <c r="H47" s="154" t="s">
        <v>288</v>
      </c>
      <c r="I47" s="153">
        <v>1</v>
      </c>
      <c r="J47" s="155">
        <f t="shared" si="2"/>
        <v>1</v>
      </c>
      <c r="K47" s="153"/>
      <c r="L47" s="156">
        <v>4.0999999999999996</v>
      </c>
      <c r="M47" s="156">
        <f t="shared" si="0"/>
        <v>4.0999999999999996</v>
      </c>
      <c r="N47" s="159" t="s">
        <v>21</v>
      </c>
      <c r="O47" s="159" t="s">
        <v>276</v>
      </c>
      <c r="P47" s="153"/>
      <c r="Q47" s="159"/>
      <c r="R47" s="153">
        <v>6</v>
      </c>
      <c r="S47" s="153">
        <v>126</v>
      </c>
      <c r="T47" s="156">
        <v>691</v>
      </c>
      <c r="U47" s="156"/>
      <c r="V47" s="156"/>
      <c r="W47" s="156"/>
      <c r="X47" s="156"/>
      <c r="Y47" s="153">
        <v>1</v>
      </c>
      <c r="Z47" s="153" t="s">
        <v>387</v>
      </c>
      <c r="AA47" s="153"/>
      <c r="AB47" s="153"/>
      <c r="AC47" s="153"/>
      <c r="AD47" s="153"/>
      <c r="AE47" s="153"/>
      <c r="AF47" s="156"/>
      <c r="AG47" s="159"/>
      <c r="AH47" s="156"/>
      <c r="AK47" s="162"/>
    </row>
    <row r="48" spans="1:37" s="160" customFormat="1" ht="26.25" customHeight="1" x14ac:dyDescent="0.25">
      <c r="A48" s="153">
        <v>44</v>
      </c>
      <c r="B48" s="153"/>
      <c r="C48" s="153"/>
      <c r="D48" s="156">
        <v>1.18</v>
      </c>
      <c r="E48" s="153"/>
      <c r="F48" s="153" t="s">
        <v>291</v>
      </c>
      <c r="G48" s="153"/>
      <c r="H48" s="154" t="s">
        <v>290</v>
      </c>
      <c r="I48" s="153">
        <v>1</v>
      </c>
      <c r="J48" s="155">
        <f t="shared" si="2"/>
        <v>1</v>
      </c>
      <c r="K48" s="153"/>
      <c r="L48" s="156">
        <f>8.64*T48/1000</f>
        <v>14.264640000000002</v>
      </c>
      <c r="M48" s="156">
        <f t="shared" si="0"/>
        <v>14.264640000000002</v>
      </c>
      <c r="N48" s="157"/>
      <c r="O48" s="159" t="s">
        <v>269</v>
      </c>
      <c r="P48" s="420"/>
      <c r="Q48" s="159"/>
      <c r="R48" s="153" t="s">
        <v>383</v>
      </c>
      <c r="S48" s="153"/>
      <c r="T48" s="156">
        <v>1651</v>
      </c>
      <c r="U48" s="156">
        <f>8.64*T48/1000</f>
        <v>14.264640000000002</v>
      </c>
      <c r="V48" s="153"/>
      <c r="W48" s="156"/>
      <c r="X48" s="156"/>
      <c r="Y48" s="156"/>
      <c r="Z48" s="153"/>
      <c r="AA48" s="156"/>
      <c r="AB48" s="156"/>
      <c r="AC48" s="153"/>
      <c r="AD48" s="153"/>
      <c r="AE48" s="156"/>
      <c r="AF48" s="156"/>
      <c r="AG48" s="159"/>
      <c r="AH48" s="156"/>
      <c r="AK48" s="162"/>
    </row>
    <row r="49" spans="1:37" s="160" customFormat="1" ht="26.25" customHeight="1" x14ac:dyDescent="0.25">
      <c r="A49" s="153">
        <v>45</v>
      </c>
      <c r="B49" s="153"/>
      <c r="C49" s="153"/>
      <c r="D49" s="153">
        <v>1.19</v>
      </c>
      <c r="E49" s="153"/>
      <c r="F49" s="153" t="s">
        <v>293</v>
      </c>
      <c r="G49" s="153"/>
      <c r="H49" s="154" t="s">
        <v>292</v>
      </c>
      <c r="I49" s="153">
        <v>1</v>
      </c>
      <c r="J49" s="155">
        <f t="shared" si="2"/>
        <v>1</v>
      </c>
      <c r="K49" s="153"/>
      <c r="L49" s="156">
        <f>R49*S49*T49*0.00000785</f>
        <v>17.460911999999997</v>
      </c>
      <c r="M49" s="156">
        <f t="shared" ref="M49:M50" si="6">L49*J49</f>
        <v>17.460911999999997</v>
      </c>
      <c r="N49" s="159" t="s">
        <v>21</v>
      </c>
      <c r="O49" s="159" t="s">
        <v>282</v>
      </c>
      <c r="P49" s="153"/>
      <c r="Q49" s="159"/>
      <c r="R49" s="153">
        <v>6</v>
      </c>
      <c r="S49" s="153">
        <v>80</v>
      </c>
      <c r="T49" s="156">
        <v>4634</v>
      </c>
      <c r="U49" s="156"/>
      <c r="V49" s="153"/>
      <c r="W49" s="153"/>
      <c r="X49" s="153"/>
      <c r="Y49" s="153"/>
      <c r="Z49" s="153"/>
      <c r="AA49" s="153"/>
      <c r="AB49" s="156"/>
      <c r="AC49" s="153"/>
      <c r="AD49" s="153"/>
      <c r="AE49" s="153"/>
      <c r="AF49" s="156"/>
      <c r="AG49" s="159"/>
      <c r="AH49" s="161"/>
      <c r="AK49" s="162"/>
    </row>
    <row r="50" spans="1:37" s="160" customFormat="1" ht="26.25" customHeight="1" x14ac:dyDescent="0.25">
      <c r="A50" s="153">
        <v>46</v>
      </c>
      <c r="B50" s="153"/>
      <c r="C50" s="153"/>
      <c r="D50" s="156">
        <v>1.2</v>
      </c>
      <c r="E50" s="153"/>
      <c r="F50" s="153" t="s">
        <v>295</v>
      </c>
      <c r="G50" s="153"/>
      <c r="H50" s="154" t="s">
        <v>294</v>
      </c>
      <c r="I50" s="153">
        <v>1</v>
      </c>
      <c r="J50" s="155">
        <f t="shared" si="2"/>
        <v>1</v>
      </c>
      <c r="K50" s="156"/>
      <c r="L50" s="156">
        <f>R50*S50*T50*0.00000785</f>
        <v>17.27628</v>
      </c>
      <c r="M50" s="156">
        <f t="shared" si="6"/>
        <v>17.27628</v>
      </c>
      <c r="N50" s="159" t="s">
        <v>21</v>
      </c>
      <c r="O50" s="159" t="s">
        <v>282</v>
      </c>
      <c r="P50" s="153"/>
      <c r="Q50" s="159"/>
      <c r="R50" s="153">
        <v>6</v>
      </c>
      <c r="S50" s="153">
        <v>80</v>
      </c>
      <c r="T50" s="156">
        <v>4585</v>
      </c>
      <c r="U50" s="156"/>
      <c r="V50" s="156"/>
      <c r="W50" s="156"/>
      <c r="X50" s="156"/>
      <c r="Y50" s="153"/>
      <c r="Z50" s="153"/>
      <c r="AA50" s="153"/>
      <c r="AB50" s="156"/>
      <c r="AC50" s="153"/>
      <c r="AD50" s="153"/>
      <c r="AE50" s="153"/>
      <c r="AF50" s="156"/>
      <c r="AG50" s="159"/>
      <c r="AH50" s="156"/>
      <c r="AK50" s="162"/>
    </row>
    <row r="51" spans="1:37" s="160" customFormat="1" ht="26.25" customHeight="1" x14ac:dyDescent="0.25">
      <c r="A51" s="153">
        <v>47</v>
      </c>
      <c r="B51" s="153"/>
      <c r="C51" s="153"/>
      <c r="D51" s="153">
        <v>1.21</v>
      </c>
      <c r="E51" s="153"/>
      <c r="F51" s="153" t="s">
        <v>297</v>
      </c>
      <c r="G51" s="153"/>
      <c r="H51" s="154" t="s">
        <v>296</v>
      </c>
      <c r="I51" s="153">
        <v>2</v>
      </c>
      <c r="J51" s="155">
        <f t="shared" si="2"/>
        <v>2</v>
      </c>
      <c r="K51" s="153"/>
      <c r="L51" s="156">
        <f>R51*S51*T51*0.00000785</f>
        <v>9.9930499999999992E-2</v>
      </c>
      <c r="M51" s="156">
        <f t="shared" si="0"/>
        <v>0.19986099999999998</v>
      </c>
      <c r="N51" s="159" t="s">
        <v>21</v>
      </c>
      <c r="O51" s="159" t="s">
        <v>282</v>
      </c>
      <c r="P51" s="153"/>
      <c r="Q51" s="159"/>
      <c r="R51" s="153">
        <v>5</v>
      </c>
      <c r="S51" s="153">
        <v>38</v>
      </c>
      <c r="T51" s="153">
        <v>67</v>
      </c>
      <c r="U51" s="156"/>
      <c r="V51" s="156"/>
      <c r="W51" s="156"/>
      <c r="X51" s="156"/>
      <c r="Y51" s="153"/>
      <c r="Z51" s="153"/>
      <c r="AA51" s="153"/>
      <c r="AB51" s="156"/>
      <c r="AC51" s="153"/>
      <c r="AD51" s="153"/>
      <c r="AE51" s="153"/>
      <c r="AF51" s="156"/>
      <c r="AG51" s="159"/>
      <c r="AH51" s="156"/>
      <c r="AK51" s="162"/>
    </row>
    <row r="52" spans="1:37" s="160" customFormat="1" ht="26.25" customHeight="1" x14ac:dyDescent="0.25">
      <c r="A52" s="153">
        <v>48</v>
      </c>
      <c r="B52" s="153"/>
      <c r="C52" s="153"/>
      <c r="D52" s="156">
        <v>1.22</v>
      </c>
      <c r="E52" s="153"/>
      <c r="F52" s="153" t="s">
        <v>299</v>
      </c>
      <c r="G52" s="153"/>
      <c r="H52" s="154" t="s">
        <v>298</v>
      </c>
      <c r="I52" s="153">
        <v>1</v>
      </c>
      <c r="J52" s="155">
        <f t="shared" si="2"/>
        <v>1</v>
      </c>
      <c r="K52" s="168"/>
      <c r="L52" s="156">
        <v>28.6</v>
      </c>
      <c r="M52" s="156">
        <f t="shared" si="0"/>
        <v>28.6</v>
      </c>
      <c r="N52" s="159" t="s">
        <v>21</v>
      </c>
      <c r="O52" s="159" t="s">
        <v>276</v>
      </c>
      <c r="P52" s="153"/>
      <c r="Q52" s="159"/>
      <c r="R52" s="153">
        <v>6</v>
      </c>
      <c r="S52" s="169">
        <v>630</v>
      </c>
      <c r="T52" s="153">
        <v>967</v>
      </c>
      <c r="U52" s="156"/>
      <c r="V52" s="156"/>
      <c r="W52" s="156"/>
      <c r="X52" s="156"/>
      <c r="Y52" s="153">
        <v>3</v>
      </c>
      <c r="Z52" s="153" t="s">
        <v>385</v>
      </c>
      <c r="AA52" s="153"/>
      <c r="AB52" s="156"/>
      <c r="AC52" s="153"/>
      <c r="AD52" s="153"/>
      <c r="AE52" s="153"/>
      <c r="AF52" s="156"/>
      <c r="AG52" s="159"/>
      <c r="AH52" s="156"/>
      <c r="AK52" s="162"/>
    </row>
    <row r="53" spans="1:37" s="160" customFormat="1" ht="26.25" customHeight="1" x14ac:dyDescent="0.25">
      <c r="A53" s="153">
        <v>49</v>
      </c>
      <c r="B53" s="153"/>
      <c r="C53" s="153"/>
      <c r="D53" s="153">
        <v>1.23</v>
      </c>
      <c r="E53" s="153"/>
      <c r="F53" s="153" t="s">
        <v>301</v>
      </c>
      <c r="G53" s="153"/>
      <c r="H53" s="154" t="s">
        <v>300</v>
      </c>
      <c r="I53" s="153">
        <v>1</v>
      </c>
      <c r="J53" s="155">
        <f t="shared" si="2"/>
        <v>1</v>
      </c>
      <c r="K53" s="153"/>
      <c r="L53" s="156">
        <v>4</v>
      </c>
      <c r="M53" s="156">
        <f t="shared" si="0"/>
        <v>4</v>
      </c>
      <c r="N53" s="159" t="s">
        <v>21</v>
      </c>
      <c r="O53" s="159" t="s">
        <v>276</v>
      </c>
      <c r="P53" s="153"/>
      <c r="Q53" s="159"/>
      <c r="R53" s="153">
        <v>6</v>
      </c>
      <c r="S53" s="169">
        <v>119</v>
      </c>
      <c r="T53" s="153">
        <v>691</v>
      </c>
      <c r="U53" s="156"/>
      <c r="V53" s="156"/>
      <c r="W53" s="156"/>
      <c r="X53" s="156"/>
      <c r="Y53" s="153">
        <v>2</v>
      </c>
      <c r="Z53" s="153" t="s">
        <v>385</v>
      </c>
      <c r="AA53" s="153"/>
      <c r="AB53" s="156"/>
      <c r="AC53" s="153"/>
      <c r="AD53" s="153"/>
      <c r="AE53" s="153"/>
      <c r="AF53" s="156"/>
      <c r="AG53" s="159"/>
      <c r="AH53" s="156"/>
      <c r="AK53" s="162"/>
    </row>
    <row r="54" spans="1:37" s="160" customFormat="1" ht="26.25" customHeight="1" x14ac:dyDescent="0.25">
      <c r="A54" s="153">
        <v>50</v>
      </c>
      <c r="B54" s="153"/>
      <c r="C54" s="153"/>
      <c r="D54" s="156">
        <v>1.24</v>
      </c>
      <c r="E54" s="153"/>
      <c r="F54" s="153" t="s">
        <v>303</v>
      </c>
      <c r="G54" s="153"/>
      <c r="H54" s="154" t="s">
        <v>302</v>
      </c>
      <c r="I54" s="153">
        <v>1</v>
      </c>
      <c r="J54" s="155">
        <f t="shared" si="2"/>
        <v>1</v>
      </c>
      <c r="K54" s="153"/>
      <c r="L54" s="156">
        <v>23</v>
      </c>
      <c r="M54" s="156">
        <f t="shared" si="0"/>
        <v>23</v>
      </c>
      <c r="N54" s="159" t="s">
        <v>21</v>
      </c>
      <c r="O54" s="159" t="s">
        <v>276</v>
      </c>
      <c r="P54" s="153"/>
      <c r="Q54" s="159"/>
      <c r="R54" s="153">
        <v>6</v>
      </c>
      <c r="S54" s="169">
        <v>630</v>
      </c>
      <c r="T54" s="153">
        <v>802</v>
      </c>
      <c r="U54" s="156"/>
      <c r="V54" s="156"/>
      <c r="W54" s="156"/>
      <c r="X54" s="156"/>
      <c r="Y54" s="153"/>
      <c r="Z54" s="153"/>
      <c r="AA54" s="153"/>
      <c r="AB54" s="156"/>
      <c r="AC54" s="153"/>
      <c r="AD54" s="153"/>
      <c r="AE54" s="153"/>
      <c r="AF54" s="156"/>
      <c r="AG54" s="159"/>
      <c r="AH54" s="156"/>
      <c r="AK54" s="162"/>
    </row>
    <row r="55" spans="1:37" s="160" customFormat="1" ht="26.25" customHeight="1" x14ac:dyDescent="0.25">
      <c r="A55" s="153">
        <v>51</v>
      </c>
      <c r="B55" s="153"/>
      <c r="C55" s="153"/>
      <c r="D55" s="153">
        <v>1.25</v>
      </c>
      <c r="E55" s="153"/>
      <c r="F55" s="153" t="s">
        <v>304</v>
      </c>
      <c r="G55" s="153"/>
      <c r="H55" s="154" t="s">
        <v>275</v>
      </c>
      <c r="I55" s="153">
        <v>1</v>
      </c>
      <c r="J55" s="155">
        <f t="shared" si="2"/>
        <v>1</v>
      </c>
      <c r="K55" s="153"/>
      <c r="L55" s="156">
        <v>9</v>
      </c>
      <c r="M55" s="156">
        <f t="shared" si="0"/>
        <v>9</v>
      </c>
      <c r="N55" s="159" t="s">
        <v>21</v>
      </c>
      <c r="O55" s="159" t="s">
        <v>276</v>
      </c>
      <c r="P55" s="153"/>
      <c r="Q55" s="159"/>
      <c r="R55" s="153">
        <v>6</v>
      </c>
      <c r="S55" s="169">
        <v>365.13</v>
      </c>
      <c r="T55" s="153">
        <v>526.79999999999995</v>
      </c>
      <c r="U55" s="156"/>
      <c r="V55" s="156"/>
      <c r="W55" s="156"/>
      <c r="X55" s="156"/>
      <c r="Y55" s="153"/>
      <c r="Z55" s="153"/>
      <c r="AA55" s="153"/>
      <c r="AB55" s="156"/>
      <c r="AC55" s="153"/>
      <c r="AD55" s="153"/>
      <c r="AE55" s="153"/>
      <c r="AF55" s="156"/>
      <c r="AG55" s="159"/>
      <c r="AH55" s="156"/>
      <c r="AK55" s="162"/>
    </row>
    <row r="56" spans="1:37" s="160" customFormat="1" ht="26.25" customHeight="1" x14ac:dyDescent="0.25">
      <c r="A56" s="153">
        <v>52</v>
      </c>
      <c r="B56" s="153"/>
      <c r="C56" s="153"/>
      <c r="D56" s="156">
        <v>1.26</v>
      </c>
      <c r="E56" s="153"/>
      <c r="F56" s="153" t="s">
        <v>307</v>
      </c>
      <c r="G56" s="153"/>
      <c r="H56" s="154" t="s">
        <v>305</v>
      </c>
      <c r="I56" s="153">
        <v>1</v>
      </c>
      <c r="J56" s="155">
        <f t="shared" si="2"/>
        <v>1</v>
      </c>
      <c r="K56" s="153"/>
      <c r="L56" s="156"/>
      <c r="M56" s="156">
        <f t="shared" si="0"/>
        <v>0</v>
      </c>
      <c r="N56" s="159" t="s">
        <v>388</v>
      </c>
      <c r="O56" s="159" t="s">
        <v>306</v>
      </c>
      <c r="P56" s="153"/>
      <c r="Q56" s="159"/>
      <c r="R56" s="153"/>
      <c r="S56" s="169"/>
      <c r="T56" s="153"/>
      <c r="U56" s="156"/>
      <c r="V56" s="156"/>
      <c r="W56" s="156"/>
      <c r="X56" s="156"/>
      <c r="Y56" s="153"/>
      <c r="Z56" s="153"/>
      <c r="AA56" s="153"/>
      <c r="AB56" s="156"/>
      <c r="AC56" s="153"/>
      <c r="AD56" s="153"/>
      <c r="AE56" s="153"/>
      <c r="AF56" s="156"/>
      <c r="AG56" s="159"/>
      <c r="AH56" s="156"/>
      <c r="AK56" s="162"/>
    </row>
    <row r="57" spans="1:37" s="160" customFormat="1" ht="26.25" customHeight="1" x14ac:dyDescent="0.25">
      <c r="A57" s="153">
        <v>53</v>
      </c>
      <c r="B57" s="153"/>
      <c r="C57" s="153"/>
      <c r="D57" s="153">
        <v>1.27</v>
      </c>
      <c r="E57" s="153"/>
      <c r="F57" s="153" t="s">
        <v>309</v>
      </c>
      <c r="G57" s="153"/>
      <c r="H57" s="154" t="s">
        <v>308</v>
      </c>
      <c r="I57" s="153">
        <v>10</v>
      </c>
      <c r="J57" s="155">
        <f t="shared" si="2"/>
        <v>10</v>
      </c>
      <c r="K57" s="153"/>
      <c r="L57" s="156">
        <v>1.8</v>
      </c>
      <c r="M57" s="156">
        <f t="shared" si="0"/>
        <v>18</v>
      </c>
      <c r="N57" s="159" t="s">
        <v>21</v>
      </c>
      <c r="O57" s="159" t="s">
        <v>259</v>
      </c>
      <c r="P57" s="153"/>
      <c r="Q57" s="159"/>
      <c r="R57" s="153">
        <v>10</v>
      </c>
      <c r="S57" s="169">
        <v>100</v>
      </c>
      <c r="T57" s="153">
        <v>254</v>
      </c>
      <c r="U57" s="156"/>
      <c r="V57" s="156"/>
      <c r="W57" s="156"/>
      <c r="X57" s="156"/>
      <c r="Y57" s="153"/>
      <c r="Z57" s="153"/>
      <c r="AA57" s="153"/>
      <c r="AB57" s="156"/>
      <c r="AC57" s="153"/>
      <c r="AD57" s="153"/>
      <c r="AE57" s="153"/>
      <c r="AF57" s="156"/>
      <c r="AG57" s="159"/>
      <c r="AH57" s="156"/>
      <c r="AK57" s="162"/>
    </row>
  </sheetData>
  <autoFilter ref="A2:AK57" xr:uid="{481341FF-1F97-4E29-AA7D-1B92A2311F46}"/>
  <mergeCells count="3">
    <mergeCell ref="A1:A2"/>
    <mergeCell ref="C1:E1"/>
    <mergeCell ref="F1:K1"/>
  </mergeCells>
  <phoneticPr fontId="1" type="noConversion"/>
  <conditionalFormatting sqref="F1:F1048576">
    <cfRule type="duplicateValues" dxfId="0" priority="1"/>
  </conditionalFormatting>
  <pageMargins left="0.7" right="0.7" top="0.75" bottom="0.75" header="0.3" footer="0.3"/>
  <pageSetup paperSize="9" orientation="portrait" r:id="rId1"/>
  <ignoredErrors>
    <ignoredError sqref="Z3 Y3" emptyCellReferenc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9AF8F-E820-4C09-B702-7331EC6E8FB5}">
  <dimension ref="A1:T76"/>
  <sheetViews>
    <sheetView topLeftCell="A66" zoomScale="85" zoomScaleNormal="85" workbookViewId="0">
      <selection activeCell="C74" sqref="C74"/>
    </sheetView>
  </sheetViews>
  <sheetFormatPr defaultRowHeight="15.75" x14ac:dyDescent="0.25"/>
  <cols>
    <col min="1" max="1" width="9.42578125" style="190" bestFit="1" customWidth="1"/>
    <col min="2" max="2" width="17" style="190" bestFit="1" customWidth="1"/>
    <col min="3" max="3" width="23.42578125" style="190" customWidth="1"/>
    <col min="4" max="4" width="19.28515625" style="190" bestFit="1" customWidth="1"/>
    <col min="5" max="5" width="19.28515625" style="190" customWidth="1"/>
    <col min="6" max="6" width="17.28515625" style="190" bestFit="1" customWidth="1"/>
    <col min="7" max="7" width="12.140625" style="190" customWidth="1"/>
    <col min="8" max="8" width="15" style="190" bestFit="1" customWidth="1"/>
    <col min="9" max="9" width="21.5703125" style="190" bestFit="1" customWidth="1"/>
    <col min="10" max="10" width="17.5703125" style="190" bestFit="1" customWidth="1"/>
    <col min="11" max="11" width="21.5703125" style="190" bestFit="1" customWidth="1"/>
    <col min="12" max="12" width="17.5703125" style="190" bestFit="1" customWidth="1"/>
    <col min="13" max="13" width="21.5703125" style="190" bestFit="1" customWidth="1"/>
    <col min="14" max="14" width="17.5703125" style="190" bestFit="1" customWidth="1"/>
    <col min="15" max="15" width="19.5703125" style="190" bestFit="1" customWidth="1"/>
    <col min="16" max="16" width="19.28515625" style="190" customWidth="1"/>
    <col min="17" max="17" width="12.85546875" style="190" bestFit="1" customWidth="1"/>
    <col min="18" max="18" width="9.7109375" style="190" bestFit="1" customWidth="1"/>
    <col min="19" max="19" width="10.5703125" style="190" bestFit="1" customWidth="1"/>
    <col min="20" max="20" width="14.42578125" style="190" bestFit="1" customWidth="1"/>
    <col min="21" max="16384" width="9.140625" style="190"/>
  </cols>
  <sheetData>
    <row r="1" spans="1:14" ht="16.5" thickBot="1" x14ac:dyDescent="0.3">
      <c r="H1" s="191" t="s">
        <v>167</v>
      </c>
      <c r="I1" s="192" t="s">
        <v>160</v>
      </c>
    </row>
    <row r="2" spans="1:14" ht="28.5" customHeight="1" thickBot="1" x14ac:dyDescent="0.3">
      <c r="A2" s="459" t="s">
        <v>181</v>
      </c>
      <c r="B2" s="460"/>
      <c r="C2" s="460"/>
      <c r="D2" s="460"/>
      <c r="E2" s="193" t="str">
        <f>I1</f>
        <v>DT34962</v>
      </c>
      <c r="F2" s="194"/>
    </row>
    <row r="3" spans="1:14" s="198" customFormat="1" x14ac:dyDescent="0.25">
      <c r="A3" s="186" t="s">
        <v>13</v>
      </c>
      <c r="B3" s="186" t="s">
        <v>46</v>
      </c>
      <c r="C3" s="186" t="s">
        <v>47</v>
      </c>
      <c r="D3" s="186" t="s">
        <v>48</v>
      </c>
      <c r="E3" s="186" t="s">
        <v>180</v>
      </c>
      <c r="F3" s="186" t="s">
        <v>49</v>
      </c>
      <c r="G3" s="195"/>
      <c r="H3" s="196"/>
      <c r="I3" s="197" t="s">
        <v>176</v>
      </c>
      <c r="J3" s="196"/>
      <c r="K3" s="196"/>
      <c r="L3" s="196"/>
      <c r="M3" s="196"/>
      <c r="N3" s="196"/>
    </row>
    <row r="4" spans="1:14" s="198" customFormat="1" ht="47.25" x14ac:dyDescent="0.25">
      <c r="A4" s="187" t="s">
        <v>50</v>
      </c>
      <c r="B4" s="187" t="s">
        <v>166</v>
      </c>
      <c r="C4" s="188" t="s">
        <v>171</v>
      </c>
      <c r="D4" s="187">
        <v>8</v>
      </c>
      <c r="E4" s="189">
        <f>GETPIVOTDATA("Sum of Total Weight 
(Kg)",$H$3,"Alt. Material","IS 2062 
E250 A/BO/BR","IS Thk
(mm)",8)</f>
        <v>158.59461759999999</v>
      </c>
      <c r="F4" s="189">
        <f>GETPIVOTDATA("Sum of Gross Wt 
(kg)",$H$3,"Alt. Material","IS 2062 
E250 A/BO/BR","IS Thk
(mm)",8)</f>
        <v>218.06759919999999</v>
      </c>
      <c r="G4" s="195"/>
      <c r="H4" s="196"/>
      <c r="I4" s="196" t="s">
        <v>172</v>
      </c>
      <c r="J4" s="196"/>
      <c r="K4" s="196" t="s">
        <v>171</v>
      </c>
      <c r="L4" s="196"/>
      <c r="M4" s="196" t="s">
        <v>177</v>
      </c>
      <c r="N4" s="196" t="s">
        <v>178</v>
      </c>
    </row>
    <row r="5" spans="1:14" s="198" customFormat="1" ht="31.5" x14ac:dyDescent="0.25">
      <c r="A5" s="187" t="s">
        <v>50</v>
      </c>
      <c r="B5" s="187" t="s">
        <v>165</v>
      </c>
      <c r="C5" s="188" t="s">
        <v>172</v>
      </c>
      <c r="D5" s="187">
        <v>20</v>
      </c>
      <c r="E5" s="189">
        <f>GETPIVOTDATA("Sum of Total Weight 
(Kg)",$H$3,"Alt. Material","ASTM A514","IS Thk
(mm)",20)</f>
        <v>8.6183999999999994</v>
      </c>
      <c r="F5" s="189">
        <f>GETPIVOTDATA("Sum of Gross Wt 
(kg)",$H$3,"Alt. Material","ASTM A514","IS Thk
(mm)",20)</f>
        <v>10.084816499999999</v>
      </c>
      <c r="G5" s="195"/>
      <c r="H5" s="197" t="s">
        <v>43</v>
      </c>
      <c r="I5" s="196" t="s">
        <v>179</v>
      </c>
      <c r="J5" s="196" t="s">
        <v>45</v>
      </c>
      <c r="K5" s="196" t="s">
        <v>179</v>
      </c>
      <c r="L5" s="196" t="s">
        <v>45</v>
      </c>
      <c r="M5" s="196"/>
      <c r="N5" s="196"/>
    </row>
    <row r="6" spans="1:14" s="198" customFormat="1" x14ac:dyDescent="0.25">
      <c r="A6" s="190"/>
      <c r="B6" s="190"/>
      <c r="C6" s="190"/>
      <c r="D6" s="190"/>
      <c r="E6" s="190"/>
      <c r="F6" s="190"/>
      <c r="G6" s="199"/>
      <c r="H6" s="200">
        <v>8</v>
      </c>
      <c r="I6" s="201"/>
      <c r="J6" s="201"/>
      <c r="K6" s="201">
        <v>158.59461759999999</v>
      </c>
      <c r="L6" s="201">
        <v>218.06759919999999</v>
      </c>
      <c r="M6" s="201">
        <v>158.59461759999999</v>
      </c>
      <c r="N6" s="201">
        <v>218.06759919999999</v>
      </c>
    </row>
    <row r="7" spans="1:14" x14ac:dyDescent="0.25">
      <c r="G7" s="199"/>
      <c r="H7" s="200">
        <v>20</v>
      </c>
      <c r="I7" s="201">
        <v>8.6183999999999994</v>
      </c>
      <c r="J7" s="201">
        <v>10.084816499999999</v>
      </c>
      <c r="K7" s="201"/>
      <c r="L7" s="201"/>
      <c r="M7" s="201">
        <v>8.6183999999999994</v>
      </c>
      <c r="N7" s="201">
        <v>10.084816499999999</v>
      </c>
    </row>
    <row r="8" spans="1:14" x14ac:dyDescent="0.25">
      <c r="G8" s="202"/>
      <c r="H8" s="200" t="s">
        <v>44</v>
      </c>
      <c r="I8" s="203">
        <v>8.6183999999999994</v>
      </c>
      <c r="J8" s="203">
        <v>10.084816499999999</v>
      </c>
      <c r="K8" s="203">
        <v>158.59461759999999</v>
      </c>
      <c r="L8" s="203">
        <v>218.06759919999999</v>
      </c>
      <c r="M8" s="203">
        <v>167.2130176</v>
      </c>
      <c r="N8" s="203">
        <v>228.15241569999998</v>
      </c>
    </row>
    <row r="10" spans="1:14" ht="16.5" thickBot="1" x14ac:dyDescent="0.3"/>
    <row r="11" spans="1:14" ht="24.75" customHeight="1" thickBot="1" x14ac:dyDescent="0.3">
      <c r="A11" s="459" t="s">
        <v>181</v>
      </c>
      <c r="B11" s="460"/>
      <c r="C11" s="460"/>
      <c r="D11" s="460"/>
      <c r="E11" s="193" t="str">
        <f>I11</f>
        <v>DT34961</v>
      </c>
      <c r="F11" s="194"/>
      <c r="H11" s="191" t="s">
        <v>167</v>
      </c>
      <c r="I11" s="192" t="s">
        <v>161</v>
      </c>
    </row>
    <row r="12" spans="1:14" x14ac:dyDescent="0.25">
      <c r="A12" s="186" t="s">
        <v>13</v>
      </c>
      <c r="B12" s="186" t="s">
        <v>46</v>
      </c>
      <c r="C12" s="186" t="s">
        <v>47</v>
      </c>
      <c r="D12" s="186" t="s">
        <v>48</v>
      </c>
      <c r="E12" s="186" t="s">
        <v>180</v>
      </c>
      <c r="F12" s="186" t="s">
        <v>49</v>
      </c>
    </row>
    <row r="13" spans="1:14" ht="31.5" x14ac:dyDescent="0.25">
      <c r="A13" s="187" t="s">
        <v>50</v>
      </c>
      <c r="B13" s="187" t="s">
        <v>166</v>
      </c>
      <c r="C13" s="188" t="s">
        <v>171</v>
      </c>
      <c r="D13" s="187">
        <v>8</v>
      </c>
      <c r="E13" s="189">
        <f>GETPIVOTDATA("Sum of Total Weight 
(Kg)",$H$13,"IS Thk
(mm)",8)</f>
        <v>177.39731439999997</v>
      </c>
      <c r="F13" s="189">
        <f>GETPIVOTDATA("Sum of Gross Wt 
(kg)",$H$13,"IS Thk
(mm)",8)</f>
        <v>243.92130729999997</v>
      </c>
      <c r="H13" s="196"/>
      <c r="I13" s="197" t="s">
        <v>176</v>
      </c>
      <c r="J13" s="196"/>
      <c r="K13" s="196"/>
      <c r="L13" s="196"/>
      <c r="M13" s="196"/>
      <c r="N13" s="196"/>
    </row>
    <row r="14" spans="1:14" ht="47.25" x14ac:dyDescent="0.25">
      <c r="A14" s="187" t="s">
        <v>50</v>
      </c>
      <c r="B14" s="187" t="s">
        <v>165</v>
      </c>
      <c r="C14" s="188" t="s">
        <v>172</v>
      </c>
      <c r="D14" s="187">
        <v>20</v>
      </c>
      <c r="E14" s="189">
        <f>GETPIVOTDATA("Sum of Total Weight 
(Kg)",$H$13,"Alt. Material","ASTM A514","IS Thk
(mm)",20)</f>
        <v>8.6183999999999994</v>
      </c>
      <c r="F14" s="189">
        <f>GETPIVOTDATA("Sum of Gross Wt 
(kg)",$H$13,"Alt. Material","ASTM A514","IS Thk
(mm)",20)</f>
        <v>10.084816499999999</v>
      </c>
      <c r="H14" s="196"/>
      <c r="I14" s="196" t="s">
        <v>172</v>
      </c>
      <c r="J14" s="196"/>
      <c r="K14" s="196" t="s">
        <v>171</v>
      </c>
      <c r="L14" s="196"/>
      <c r="M14" s="196" t="s">
        <v>177</v>
      </c>
      <c r="N14" s="196" t="s">
        <v>178</v>
      </c>
    </row>
    <row r="15" spans="1:14" ht="31.5" x14ac:dyDescent="0.25">
      <c r="H15" s="197" t="s">
        <v>43</v>
      </c>
      <c r="I15" s="196" t="s">
        <v>179</v>
      </c>
      <c r="J15" s="196" t="s">
        <v>45</v>
      </c>
      <c r="K15" s="196" t="s">
        <v>179</v>
      </c>
      <c r="L15" s="196" t="s">
        <v>45</v>
      </c>
      <c r="M15" s="196"/>
      <c r="N15" s="196"/>
    </row>
    <row r="16" spans="1:14" x14ac:dyDescent="0.25">
      <c r="H16" s="200">
        <v>8</v>
      </c>
      <c r="I16" s="201"/>
      <c r="J16" s="201"/>
      <c r="K16" s="201">
        <v>177.39731439999997</v>
      </c>
      <c r="L16" s="201">
        <v>243.92130729999997</v>
      </c>
      <c r="M16" s="201">
        <v>177.39731439999997</v>
      </c>
      <c r="N16" s="201">
        <v>243.92130729999997</v>
      </c>
    </row>
    <row r="17" spans="1:14" x14ac:dyDescent="0.25">
      <c r="H17" s="200">
        <v>20</v>
      </c>
      <c r="I17" s="201">
        <v>8.6183999999999994</v>
      </c>
      <c r="J17" s="201">
        <v>10.084816499999999</v>
      </c>
      <c r="K17" s="201"/>
      <c r="L17" s="201"/>
      <c r="M17" s="201">
        <v>8.6183999999999994</v>
      </c>
      <c r="N17" s="201">
        <v>10.084816499999999</v>
      </c>
    </row>
    <row r="18" spans="1:14" x14ac:dyDescent="0.25">
      <c r="H18" s="200" t="s">
        <v>44</v>
      </c>
      <c r="I18" s="203">
        <v>8.6183999999999994</v>
      </c>
      <c r="J18" s="203">
        <v>10.084816499999999</v>
      </c>
      <c r="K18" s="203">
        <v>177.39731439999997</v>
      </c>
      <c r="L18" s="203">
        <v>243.92130729999997</v>
      </c>
      <c r="M18" s="203">
        <v>186.01571439999998</v>
      </c>
      <c r="N18" s="203">
        <v>254.00612379999995</v>
      </c>
    </row>
    <row r="20" spans="1:14" ht="16.5" thickBot="1" x14ac:dyDescent="0.3"/>
    <row r="21" spans="1:14" ht="28.5" customHeight="1" thickBot="1" x14ac:dyDescent="0.3">
      <c r="A21" s="459" t="s">
        <v>181</v>
      </c>
      <c r="B21" s="460"/>
      <c r="C21" s="460"/>
      <c r="D21" s="478"/>
      <c r="E21" s="193" t="str">
        <f>I21</f>
        <v>DT14062</v>
      </c>
      <c r="F21" s="194"/>
      <c r="H21" s="191" t="s">
        <v>167</v>
      </c>
      <c r="I21" s="192" t="s">
        <v>162</v>
      </c>
    </row>
    <row r="22" spans="1:14" ht="31.5" customHeight="1" x14ac:dyDescent="0.25">
      <c r="A22" s="186" t="s">
        <v>13</v>
      </c>
      <c r="B22" s="186" t="s">
        <v>46</v>
      </c>
      <c r="C22" s="186" t="s">
        <v>47</v>
      </c>
      <c r="D22" s="186" t="s">
        <v>48</v>
      </c>
      <c r="E22" s="186" t="s">
        <v>180</v>
      </c>
      <c r="F22" s="186" t="s">
        <v>49</v>
      </c>
    </row>
    <row r="23" spans="1:14" ht="23.25" customHeight="1" x14ac:dyDescent="0.25">
      <c r="A23" s="187" t="s">
        <v>50</v>
      </c>
      <c r="B23" s="187" t="s">
        <v>166</v>
      </c>
      <c r="C23" s="188" t="s">
        <v>171</v>
      </c>
      <c r="D23" s="187">
        <v>6</v>
      </c>
      <c r="E23" s="189">
        <f>GETPIVOTDATA("Sum of Total Weight 
(Kg)",$H$23,"Alt. Material","IS 2062 
E250 A/BO/BR","IS Thk
(mm)",6)</f>
        <v>1.0099502279999997</v>
      </c>
      <c r="F23" s="189">
        <f>GETPIVOTDATA("Sum of Gross Wt 
(kg)",$H$23,"Alt. Material","IS 2062 
E250 A/BO/BR","IS Thk
(mm)",6)</f>
        <v>1.5870646439999996</v>
      </c>
      <c r="H23" s="196"/>
      <c r="I23" s="197" t="s">
        <v>176</v>
      </c>
      <c r="J23" s="196"/>
      <c r="K23" s="196"/>
      <c r="L23" s="196"/>
      <c r="M23" s="196"/>
      <c r="N23" s="196"/>
    </row>
    <row r="24" spans="1:14" ht="47.25" x14ac:dyDescent="0.25">
      <c r="A24" s="187" t="s">
        <v>50</v>
      </c>
      <c r="B24" s="187" t="s">
        <v>166</v>
      </c>
      <c r="C24" s="188" t="s">
        <v>171</v>
      </c>
      <c r="D24" s="187">
        <v>20</v>
      </c>
      <c r="E24" s="189">
        <f>GETPIVOTDATA("Sum of Total Weight 
(Kg)",$H$23,"Alt. Material","IS 2062 
E250 A/BO/BR","IS Thk
(mm)",20)</f>
        <v>179.33083727999997</v>
      </c>
      <c r="F24" s="189">
        <f>GETPIVOTDATA("Sum of Gross Wt 
(kg)",$H$23,"Alt. Material","IS 2062 
E250 A/BO/BR","IS Thk
(mm)",20)</f>
        <v>253.90305644</v>
      </c>
      <c r="H24" s="196"/>
      <c r="I24" s="196" t="s">
        <v>175</v>
      </c>
      <c r="J24" s="196"/>
      <c r="K24" s="196" t="s">
        <v>171</v>
      </c>
      <c r="L24" s="196"/>
      <c r="M24" s="196" t="s">
        <v>177</v>
      </c>
      <c r="N24" s="196" t="s">
        <v>178</v>
      </c>
    </row>
    <row r="25" spans="1:14" ht="31.5" x14ac:dyDescent="0.25">
      <c r="A25" s="187" t="s">
        <v>51</v>
      </c>
      <c r="B25" s="187" t="s">
        <v>168</v>
      </c>
      <c r="C25" s="188" t="s">
        <v>175</v>
      </c>
      <c r="D25" s="187" t="s">
        <v>24</v>
      </c>
      <c r="E25" s="189">
        <f>GETPIVOTDATA("Sum of Total Weight 
(Kg)",$H$23,"Alt. Material","42CrMo4 / EN 19","IS Thk
(mm)","Dia 65")</f>
        <v>68.040000000000006</v>
      </c>
      <c r="F25" s="189">
        <f>GETPIVOTDATA("Sum of Gross Wt 
(kg)",$H$23,"Alt. Material","42CrMo4 / EN 19","IS Thk
(mm)","Dia 65")</f>
        <v>97.405000000000001</v>
      </c>
      <c r="H25" s="197" t="s">
        <v>43</v>
      </c>
      <c r="I25" s="196" t="s">
        <v>179</v>
      </c>
      <c r="J25" s="196" t="s">
        <v>45</v>
      </c>
      <c r="K25" s="196" t="s">
        <v>179</v>
      </c>
      <c r="L25" s="196" t="s">
        <v>45</v>
      </c>
      <c r="M25" s="196"/>
      <c r="N25" s="196"/>
    </row>
    <row r="26" spans="1:14" x14ac:dyDescent="0.25">
      <c r="H26" s="204">
        <v>6</v>
      </c>
      <c r="I26" s="205"/>
      <c r="J26" s="205"/>
      <c r="K26" s="205">
        <v>1.0099502279999997</v>
      </c>
      <c r="L26" s="205">
        <v>1.5870646439999996</v>
      </c>
      <c r="M26" s="205">
        <v>1.0099502279999997</v>
      </c>
      <c r="N26" s="205">
        <v>1.5870646439999996</v>
      </c>
    </row>
    <row r="27" spans="1:14" ht="26.25" customHeight="1" x14ac:dyDescent="0.25">
      <c r="H27" s="200">
        <v>20</v>
      </c>
      <c r="I27" s="201"/>
      <c r="J27" s="201"/>
      <c r="K27" s="201">
        <v>179.33083727999997</v>
      </c>
      <c r="L27" s="201">
        <v>253.90305644</v>
      </c>
      <c r="M27" s="201">
        <v>179.33083727999997</v>
      </c>
      <c r="N27" s="201">
        <v>253.90305644</v>
      </c>
    </row>
    <row r="28" spans="1:14" x14ac:dyDescent="0.25">
      <c r="H28" s="200" t="s">
        <v>24</v>
      </c>
      <c r="I28" s="201">
        <v>68.040000000000006</v>
      </c>
      <c r="J28" s="201">
        <v>97.405000000000001</v>
      </c>
      <c r="K28" s="201"/>
      <c r="L28" s="201"/>
      <c r="M28" s="201">
        <v>68.040000000000006</v>
      </c>
      <c r="N28" s="201">
        <v>97.405000000000001</v>
      </c>
    </row>
    <row r="29" spans="1:14" x14ac:dyDescent="0.25">
      <c r="H29" s="200" t="s">
        <v>44</v>
      </c>
      <c r="I29" s="203">
        <v>68.040000000000006</v>
      </c>
      <c r="J29" s="203">
        <v>97.405000000000001</v>
      </c>
      <c r="K29" s="203">
        <v>180.34078750799998</v>
      </c>
      <c r="L29" s="203">
        <v>255.49012108400001</v>
      </c>
      <c r="M29" s="203">
        <v>248.38078750799997</v>
      </c>
      <c r="N29" s="203">
        <v>352.89512108400004</v>
      </c>
    </row>
    <row r="32" spans="1:14" ht="16.5" thickBot="1" x14ac:dyDescent="0.3"/>
    <row r="33" spans="1:14" ht="24.75" customHeight="1" thickBot="1" x14ac:dyDescent="0.3">
      <c r="A33" s="459" t="s">
        <v>181</v>
      </c>
      <c r="B33" s="460"/>
      <c r="C33" s="460"/>
      <c r="D33" s="460"/>
      <c r="E33" s="193" t="str">
        <f>I33</f>
        <v>DT14077</v>
      </c>
      <c r="F33" s="194"/>
      <c r="H33" s="191" t="s">
        <v>167</v>
      </c>
      <c r="I33" s="192" t="s">
        <v>163</v>
      </c>
    </row>
    <row r="34" spans="1:14" x14ac:dyDescent="0.25">
      <c r="A34" s="186" t="s">
        <v>13</v>
      </c>
      <c r="B34" s="186" t="s">
        <v>46</v>
      </c>
      <c r="C34" s="186" t="s">
        <v>47</v>
      </c>
      <c r="D34" s="186" t="s">
        <v>48</v>
      </c>
      <c r="E34" s="186" t="s">
        <v>180</v>
      </c>
      <c r="F34" s="186" t="s">
        <v>49</v>
      </c>
    </row>
    <row r="35" spans="1:14" ht="31.5" x14ac:dyDescent="0.25">
      <c r="A35" s="187" t="s">
        <v>50</v>
      </c>
      <c r="B35" s="187" t="s">
        <v>166</v>
      </c>
      <c r="C35" s="188" t="s">
        <v>171</v>
      </c>
      <c r="D35" s="187">
        <v>6</v>
      </c>
      <c r="E35" s="189">
        <f>GETPIVOTDATA("Sum of Total Weight 
(Kg)",$H$35,"Alt. Material","IS 2062 
E250 A/BO/BR","IS Thk
(mm)",6)</f>
        <v>0.45775031030399987</v>
      </c>
      <c r="F35" s="189">
        <f>GETPIVOTDATA("Sum of Gross Wt 
(kg)",$H$35,"Alt. Material","IS 2062 
E250 A/BO/BR","IS Thk
(mm)",6)</f>
        <v>0.71932191619199992</v>
      </c>
      <c r="H35" s="196"/>
      <c r="I35" s="197" t="s">
        <v>176</v>
      </c>
      <c r="J35" s="196"/>
      <c r="K35" s="196"/>
      <c r="L35" s="196"/>
      <c r="M35" s="196"/>
      <c r="N35" s="196"/>
    </row>
    <row r="36" spans="1:14" ht="47.25" x14ac:dyDescent="0.25">
      <c r="A36" s="187" t="s">
        <v>50</v>
      </c>
      <c r="B36" s="187" t="s">
        <v>166</v>
      </c>
      <c r="C36" s="188" t="s">
        <v>171</v>
      </c>
      <c r="D36" s="187">
        <v>20</v>
      </c>
      <c r="E36" s="189">
        <f>GETPIVOTDATA("Sum of Total Weight 
(Kg)",$H$35,"Alt. Material","IS 2062 
E250 A/BO/BR","IS Thk
(mm)",20)</f>
        <v>73.946178513999996</v>
      </c>
      <c r="F36" s="189">
        <f>GETPIVOTDATA("Sum of Gross Wt 
(kg)",$H$35,"Alt. Material","IS 2062 
E250 A/BO/BR","IS Thk
(mm)",20)</f>
        <v>104.51114581599998</v>
      </c>
      <c r="H36" s="196"/>
      <c r="I36" s="196" t="s">
        <v>175</v>
      </c>
      <c r="J36" s="196"/>
      <c r="K36" s="196" t="s">
        <v>171</v>
      </c>
      <c r="L36" s="196"/>
      <c r="M36" s="196" t="s">
        <v>177</v>
      </c>
      <c r="N36" s="196" t="s">
        <v>178</v>
      </c>
    </row>
    <row r="37" spans="1:14" ht="31.5" x14ac:dyDescent="0.25">
      <c r="A37" s="187" t="s">
        <v>51</v>
      </c>
      <c r="B37" s="187" t="s">
        <v>168</v>
      </c>
      <c r="C37" s="188" t="s">
        <v>175</v>
      </c>
      <c r="D37" s="187" t="s">
        <v>24</v>
      </c>
      <c r="E37" s="189">
        <f>GETPIVOTDATA("Sum of Total Weight 
(Kg)",$H$35,"Alt. Material","42CrMo4 / EN 19","IS Thk
(mm)","Dia 65")</f>
        <v>30.028320000000001</v>
      </c>
      <c r="F37" s="189">
        <f>GETPIVOTDATA("Sum of Gross Wt 
(kg)",$H$35,"Alt. Material","42CrMo4 / EN 19","IS Thk
(mm)","Dia 65")</f>
        <v>41.887999999999998</v>
      </c>
      <c r="H37" s="197" t="s">
        <v>43</v>
      </c>
      <c r="I37" s="196" t="s">
        <v>179</v>
      </c>
      <c r="J37" s="196" t="s">
        <v>45</v>
      </c>
      <c r="K37" s="196" t="s">
        <v>179</v>
      </c>
      <c r="L37" s="196" t="s">
        <v>45</v>
      </c>
      <c r="M37" s="196"/>
      <c r="N37" s="196"/>
    </row>
    <row r="38" spans="1:14" x14ac:dyDescent="0.25">
      <c r="H38" s="204">
        <v>6</v>
      </c>
      <c r="I38" s="205"/>
      <c r="J38" s="205"/>
      <c r="K38" s="205">
        <v>0.45775031030399987</v>
      </c>
      <c r="L38" s="205">
        <v>0.71932191619199992</v>
      </c>
      <c r="M38" s="205">
        <v>0.45775031030399987</v>
      </c>
      <c r="N38" s="205">
        <v>0.71932191619199992</v>
      </c>
    </row>
    <row r="39" spans="1:14" x14ac:dyDescent="0.25">
      <c r="H39" s="200">
        <v>20</v>
      </c>
      <c r="I39" s="201"/>
      <c r="J39" s="201"/>
      <c r="K39" s="201">
        <v>73.946178513999996</v>
      </c>
      <c r="L39" s="201">
        <v>104.51114581599998</v>
      </c>
      <c r="M39" s="201">
        <v>73.946178513999996</v>
      </c>
      <c r="N39" s="201">
        <v>104.51114581599998</v>
      </c>
    </row>
    <row r="40" spans="1:14" x14ac:dyDescent="0.25">
      <c r="H40" s="200" t="s">
        <v>24</v>
      </c>
      <c r="I40" s="201">
        <v>30.028320000000001</v>
      </c>
      <c r="J40" s="201">
        <v>41.887999999999998</v>
      </c>
      <c r="K40" s="201"/>
      <c r="L40" s="201"/>
      <c r="M40" s="201">
        <v>30.028320000000001</v>
      </c>
      <c r="N40" s="201">
        <v>41.887999999999998</v>
      </c>
    </row>
    <row r="41" spans="1:14" x14ac:dyDescent="0.25">
      <c r="H41" s="200" t="s">
        <v>44</v>
      </c>
      <c r="I41" s="203">
        <v>30.028320000000001</v>
      </c>
      <c r="J41" s="203">
        <v>41.887999999999998</v>
      </c>
      <c r="K41" s="203">
        <v>74.403928824303989</v>
      </c>
      <c r="L41" s="203">
        <v>105.23046773219198</v>
      </c>
      <c r="M41" s="203">
        <v>104.432248824304</v>
      </c>
      <c r="N41" s="203">
        <v>147.11846773219199</v>
      </c>
    </row>
    <row r="43" spans="1:14" ht="16.5" thickBot="1" x14ac:dyDescent="0.3"/>
    <row r="44" spans="1:14" ht="24.75" customHeight="1" thickBot="1" x14ac:dyDescent="0.3">
      <c r="A44" s="459" t="s">
        <v>181</v>
      </c>
      <c r="B44" s="460"/>
      <c r="C44" s="460"/>
      <c r="D44" s="460"/>
      <c r="E44" s="193" t="str">
        <f>I44</f>
        <v>DT14647</v>
      </c>
      <c r="F44" s="194"/>
      <c r="H44" s="191" t="s">
        <v>167</v>
      </c>
      <c r="I44" s="192" t="s">
        <v>164</v>
      </c>
    </row>
    <row r="45" spans="1:14" x14ac:dyDescent="0.25">
      <c r="A45" s="186" t="s">
        <v>13</v>
      </c>
      <c r="B45" s="186" t="s">
        <v>46</v>
      </c>
      <c r="C45" s="186" t="s">
        <v>47</v>
      </c>
      <c r="D45" s="186" t="s">
        <v>48</v>
      </c>
      <c r="E45" s="186" t="s">
        <v>180</v>
      </c>
      <c r="F45" s="186" t="s">
        <v>49</v>
      </c>
    </row>
    <row r="46" spans="1:14" ht="31.5" customHeight="1" x14ac:dyDescent="0.25">
      <c r="A46" s="187" t="s">
        <v>50</v>
      </c>
      <c r="B46" s="153" t="s">
        <v>169</v>
      </c>
      <c r="C46" s="153" t="s">
        <v>169</v>
      </c>
      <c r="D46" s="187">
        <v>25</v>
      </c>
      <c r="E46" s="189">
        <f>GETPIVOTDATA("Sum of Total Weight 
(Kg)",$H$46,"Alt. Material","ASTM 
A514 GR B","IS Thk
(mm)",25)</f>
        <v>17.907125624999999</v>
      </c>
      <c r="F46" s="189">
        <f>GETPIVOTDATA("Sum of Gross Wt 
(kg)",$H$46,"Alt. Material","ASTM 
A514 GR B","IS Thk
(mm)",25)</f>
        <v>26.071439625</v>
      </c>
      <c r="H46" s="196"/>
      <c r="I46" s="197" t="s">
        <v>176</v>
      </c>
      <c r="J46" s="196"/>
      <c r="K46" s="196"/>
      <c r="L46" s="196"/>
      <c r="M46" s="196"/>
      <c r="N46" s="196"/>
    </row>
    <row r="47" spans="1:14" ht="47.25" x14ac:dyDescent="0.25">
      <c r="A47" s="187" t="s">
        <v>50</v>
      </c>
      <c r="B47" s="153" t="s">
        <v>169</v>
      </c>
      <c r="C47" s="153" t="s">
        <v>169</v>
      </c>
      <c r="D47" s="187">
        <v>32</v>
      </c>
      <c r="E47" s="189">
        <f>GETPIVOTDATA("Sum of Total Weight 
(Kg)",$H$46,"Alt. Material","ASTM 
A514 GR B","IS Thk
(mm)",32)</f>
        <v>105.19452159999997</v>
      </c>
      <c r="F47" s="189">
        <f>GETPIVOTDATA("Sum of Gross Wt 
(kg)",$H$46,"Alt. Material","ASTM 
A514 GR B","IS Thk
(mm)",32)</f>
        <v>120.7573664</v>
      </c>
      <c r="H47" s="196"/>
      <c r="I47" s="196" t="s">
        <v>174</v>
      </c>
      <c r="J47" s="196"/>
      <c r="K47" s="196" t="s">
        <v>173</v>
      </c>
      <c r="L47" s="196"/>
      <c r="M47" s="196" t="s">
        <v>177</v>
      </c>
      <c r="N47" s="196" t="s">
        <v>178</v>
      </c>
    </row>
    <row r="48" spans="1:14" ht="31.5" x14ac:dyDescent="0.25">
      <c r="A48" s="187" t="s">
        <v>50</v>
      </c>
      <c r="B48" s="159" t="s">
        <v>170</v>
      </c>
      <c r="C48" s="188" t="s">
        <v>174</v>
      </c>
      <c r="D48" s="187" t="s">
        <v>182</v>
      </c>
      <c r="E48" s="189">
        <f>GETPIVOTDATA("Sum of Total Weight 
(Kg)",$H$46,"Alt. Material","1.7218 (25CrMo4)","IS Thk
(mm)","Dia 90")</f>
        <v>3.3</v>
      </c>
      <c r="F48" s="189">
        <f>GETPIVOTDATA("Sum of Gross Wt 
(kg)",$H$46,"Alt. Material","1.7218 (25CrMo4)","IS Thk
(mm)","Dia 90")</f>
        <v>4.0150000000000006</v>
      </c>
      <c r="H48" s="197" t="s">
        <v>43</v>
      </c>
      <c r="I48" s="196" t="s">
        <v>179</v>
      </c>
      <c r="J48" s="196" t="s">
        <v>45</v>
      </c>
      <c r="K48" s="196" t="s">
        <v>179</v>
      </c>
      <c r="L48" s="196" t="s">
        <v>45</v>
      </c>
      <c r="M48" s="196"/>
      <c r="N48" s="196"/>
    </row>
    <row r="49" spans="8:14" x14ac:dyDescent="0.25">
      <c r="H49" s="200">
        <v>25</v>
      </c>
      <c r="I49" s="201"/>
      <c r="J49" s="201"/>
      <c r="K49" s="201">
        <v>17.907125624999999</v>
      </c>
      <c r="L49" s="201">
        <v>26.071439625</v>
      </c>
      <c r="M49" s="201">
        <v>17.907125624999999</v>
      </c>
      <c r="N49" s="201">
        <v>26.071439625</v>
      </c>
    </row>
    <row r="50" spans="8:14" x14ac:dyDescent="0.25">
      <c r="H50" s="200">
        <v>32</v>
      </c>
      <c r="I50" s="201"/>
      <c r="J50" s="201"/>
      <c r="K50" s="201">
        <v>105.19452159999997</v>
      </c>
      <c r="L50" s="201">
        <v>120.7573664</v>
      </c>
      <c r="M50" s="201">
        <v>105.19452159999997</v>
      </c>
      <c r="N50" s="201">
        <v>120.7573664</v>
      </c>
    </row>
    <row r="51" spans="8:14" x14ac:dyDescent="0.25">
      <c r="H51" s="200" t="s">
        <v>182</v>
      </c>
      <c r="I51" s="201">
        <v>3.3</v>
      </c>
      <c r="J51" s="201">
        <v>4.0150000000000006</v>
      </c>
      <c r="K51" s="201"/>
      <c r="L51" s="201"/>
      <c r="M51" s="201">
        <v>3.3</v>
      </c>
      <c r="N51" s="201">
        <v>4.0150000000000006</v>
      </c>
    </row>
    <row r="52" spans="8:14" x14ac:dyDescent="0.25">
      <c r="H52" s="200" t="s">
        <v>44</v>
      </c>
      <c r="I52" s="203">
        <v>3.3</v>
      </c>
      <c r="J52" s="203">
        <v>4.0150000000000006</v>
      </c>
      <c r="K52" s="203">
        <v>123.10164722499997</v>
      </c>
      <c r="L52" s="203">
        <v>146.82880602500001</v>
      </c>
      <c r="M52" s="203">
        <v>126.40164722499996</v>
      </c>
      <c r="N52" s="203">
        <v>150.84380602499999</v>
      </c>
    </row>
    <row r="63" spans="8:14" x14ac:dyDescent="0.25">
      <c r="H63" s="365" t="s">
        <v>167</v>
      </c>
      <c r="I63" s="366" t="s">
        <v>205</v>
      </c>
    </row>
    <row r="65" spans="2:20" x14ac:dyDescent="0.25">
      <c r="H65" s="367"/>
      <c r="I65" s="368" t="s">
        <v>176</v>
      </c>
      <c r="J65" s="367"/>
      <c r="K65" s="367"/>
      <c r="L65" s="367"/>
      <c r="M65" s="367"/>
      <c r="N65" s="367"/>
      <c r="O65" s="367"/>
      <c r="P65" s="367"/>
      <c r="Q65" s="367"/>
      <c r="R65" s="367"/>
      <c r="S65" s="367"/>
      <c r="T65" s="367"/>
    </row>
    <row r="66" spans="2:20" ht="63" x14ac:dyDescent="0.25">
      <c r="H66" s="367"/>
      <c r="I66" s="367" t="s">
        <v>174</v>
      </c>
      <c r="J66" s="367"/>
      <c r="K66" s="367" t="s">
        <v>175</v>
      </c>
      <c r="L66" s="367"/>
      <c r="M66" s="367" t="s">
        <v>173</v>
      </c>
      <c r="N66" s="367"/>
      <c r="O66" s="367" t="s">
        <v>172</v>
      </c>
      <c r="P66" s="367"/>
      <c r="Q66" s="367" t="s">
        <v>171</v>
      </c>
      <c r="R66" s="367"/>
      <c r="S66" s="367" t="s">
        <v>177</v>
      </c>
      <c r="T66" s="367" t="s">
        <v>178</v>
      </c>
    </row>
    <row r="67" spans="2:20" ht="37.5" customHeight="1" x14ac:dyDescent="0.25">
      <c r="B67" s="376" t="s">
        <v>206</v>
      </c>
      <c r="C67" s="376" t="s">
        <v>207</v>
      </c>
      <c r="D67" s="377" t="s">
        <v>208</v>
      </c>
      <c r="H67" s="368" t="s">
        <v>43</v>
      </c>
      <c r="I67" s="367" t="s">
        <v>179</v>
      </c>
      <c r="J67" s="367" t="s">
        <v>45</v>
      </c>
      <c r="K67" s="367" t="s">
        <v>179</v>
      </c>
      <c r="L67" s="367" t="s">
        <v>45</v>
      </c>
      <c r="M67" s="367" t="s">
        <v>179</v>
      </c>
      <c r="N67" s="367" t="s">
        <v>45</v>
      </c>
      <c r="O67" s="367" t="s">
        <v>179</v>
      </c>
      <c r="P67" s="367" t="s">
        <v>45</v>
      </c>
      <c r="Q67" s="367" t="s">
        <v>179</v>
      </c>
      <c r="R67" s="367" t="s">
        <v>45</v>
      </c>
      <c r="S67" s="367"/>
      <c r="T67" s="367"/>
    </row>
    <row r="68" spans="2:20" ht="18.75" x14ac:dyDescent="0.25">
      <c r="B68" s="375">
        <v>6</v>
      </c>
      <c r="C68" s="375" t="s">
        <v>209</v>
      </c>
      <c r="D68" s="374">
        <v>2.3063865601919993</v>
      </c>
      <c r="H68" s="369">
        <v>6</v>
      </c>
      <c r="I68" s="370"/>
      <c r="J68" s="370"/>
      <c r="K68" s="370"/>
      <c r="L68" s="370"/>
      <c r="M68" s="370"/>
      <c r="N68" s="370"/>
      <c r="O68" s="370"/>
      <c r="P68" s="370"/>
      <c r="Q68" s="370">
        <v>1.4677005383039996</v>
      </c>
      <c r="R68" s="370">
        <v>2.3063865601919993</v>
      </c>
      <c r="S68" s="370">
        <v>1.4677005383039996</v>
      </c>
      <c r="T68" s="370">
        <v>2.3063865601919993</v>
      </c>
    </row>
    <row r="69" spans="2:20" ht="18.75" x14ac:dyDescent="0.25">
      <c r="B69" s="375">
        <v>8</v>
      </c>
      <c r="C69" s="375" t="s">
        <v>209</v>
      </c>
      <c r="D69" s="374">
        <v>461.98890649999993</v>
      </c>
      <c r="H69" s="371">
        <v>8</v>
      </c>
      <c r="I69" s="372"/>
      <c r="J69" s="372"/>
      <c r="K69" s="372"/>
      <c r="L69" s="372"/>
      <c r="M69" s="372"/>
      <c r="N69" s="372"/>
      <c r="O69" s="372"/>
      <c r="P69" s="372"/>
      <c r="Q69" s="372">
        <v>335.99193199999996</v>
      </c>
      <c r="R69" s="372">
        <v>461.98890649999993</v>
      </c>
      <c r="S69" s="372">
        <v>335.99193199999996</v>
      </c>
      <c r="T69" s="372">
        <v>461.98890649999993</v>
      </c>
    </row>
    <row r="70" spans="2:20" ht="18.75" x14ac:dyDescent="0.25">
      <c r="B70" s="375">
        <v>20</v>
      </c>
      <c r="C70" s="375" t="s">
        <v>209</v>
      </c>
      <c r="D70" s="374">
        <v>358.41420225600001</v>
      </c>
      <c r="H70" s="371">
        <v>20</v>
      </c>
      <c r="I70" s="372"/>
      <c r="J70" s="372"/>
      <c r="K70" s="372"/>
      <c r="L70" s="372"/>
      <c r="M70" s="372"/>
      <c r="N70" s="372"/>
      <c r="O70" s="372">
        <v>17.236799999999999</v>
      </c>
      <c r="P70" s="372">
        <v>20.169632999999997</v>
      </c>
      <c r="Q70" s="372">
        <v>253.27701579399996</v>
      </c>
      <c r="R70" s="372">
        <v>358.41420225600001</v>
      </c>
      <c r="S70" s="372">
        <v>270.51381579399998</v>
      </c>
      <c r="T70" s="372">
        <v>378.58383525599999</v>
      </c>
    </row>
    <row r="71" spans="2:20" ht="18.75" x14ac:dyDescent="0.25">
      <c r="B71" s="375">
        <v>20</v>
      </c>
      <c r="C71" s="375" t="s">
        <v>173</v>
      </c>
      <c r="D71" s="374">
        <v>20.169632999999997</v>
      </c>
      <c r="H71" s="371">
        <v>25</v>
      </c>
      <c r="I71" s="372"/>
      <c r="J71" s="372"/>
      <c r="K71" s="372"/>
      <c r="L71" s="372"/>
      <c r="M71" s="372">
        <v>17.907125624999999</v>
      </c>
      <c r="N71" s="372">
        <v>26.071439625</v>
      </c>
      <c r="O71" s="372"/>
      <c r="P71" s="372"/>
      <c r="Q71" s="372"/>
      <c r="R71" s="372"/>
      <c r="S71" s="372">
        <v>17.907125624999999</v>
      </c>
      <c r="T71" s="372">
        <v>26.071439625</v>
      </c>
    </row>
    <row r="72" spans="2:20" ht="18.75" x14ac:dyDescent="0.25">
      <c r="B72" s="375">
        <v>25</v>
      </c>
      <c r="C72" s="375" t="s">
        <v>173</v>
      </c>
      <c r="D72" s="374">
        <v>26.071439625</v>
      </c>
      <c r="H72" s="371">
        <v>32</v>
      </c>
      <c r="I72" s="372"/>
      <c r="J72" s="372"/>
      <c r="K72" s="372"/>
      <c r="L72" s="372"/>
      <c r="M72" s="372">
        <v>105.19452159999997</v>
      </c>
      <c r="N72" s="372">
        <v>120.7573664</v>
      </c>
      <c r="O72" s="372"/>
      <c r="P72" s="372"/>
      <c r="Q72" s="372"/>
      <c r="R72" s="372"/>
      <c r="S72" s="372">
        <v>105.19452159999997</v>
      </c>
      <c r="T72" s="372">
        <v>120.7573664</v>
      </c>
    </row>
    <row r="73" spans="2:20" ht="18.75" x14ac:dyDescent="0.25">
      <c r="B73" s="375">
        <v>32</v>
      </c>
      <c r="C73" s="375" t="s">
        <v>173</v>
      </c>
      <c r="D73" s="374">
        <v>120.7573664</v>
      </c>
      <c r="H73" s="371" t="s">
        <v>24</v>
      </c>
      <c r="I73" s="372"/>
      <c r="J73" s="372"/>
      <c r="K73" s="372">
        <v>98.06832</v>
      </c>
      <c r="L73" s="372">
        <v>139.29300000000001</v>
      </c>
      <c r="M73" s="372"/>
      <c r="N73" s="372"/>
      <c r="O73" s="372"/>
      <c r="P73" s="372"/>
      <c r="Q73" s="372"/>
      <c r="R73" s="372"/>
      <c r="S73" s="372">
        <v>98.06832</v>
      </c>
      <c r="T73" s="372">
        <v>139.29300000000001</v>
      </c>
    </row>
    <row r="74" spans="2:20" ht="18.75" x14ac:dyDescent="0.25">
      <c r="B74" s="375" t="s">
        <v>24</v>
      </c>
      <c r="C74" s="375" t="s">
        <v>175</v>
      </c>
      <c r="D74" s="374">
        <v>139.29300000000001</v>
      </c>
      <c r="H74" s="371" t="s">
        <v>182</v>
      </c>
      <c r="I74" s="372">
        <v>3.3</v>
      </c>
      <c r="J74" s="372">
        <v>4.0150000000000006</v>
      </c>
      <c r="K74" s="372"/>
      <c r="L74" s="372"/>
      <c r="M74" s="372"/>
      <c r="N74" s="372"/>
      <c r="O74" s="372"/>
      <c r="P74" s="372"/>
      <c r="Q74" s="372"/>
      <c r="R74" s="372"/>
      <c r="S74" s="372">
        <v>3.3</v>
      </c>
      <c r="T74" s="372">
        <v>4.0150000000000006</v>
      </c>
    </row>
    <row r="75" spans="2:20" ht="18.75" x14ac:dyDescent="0.25">
      <c r="B75" s="375" t="s">
        <v>182</v>
      </c>
      <c r="C75" s="375" t="s">
        <v>174</v>
      </c>
      <c r="D75" s="374">
        <v>4.0150000000000006</v>
      </c>
      <c r="H75" s="371" t="s">
        <v>44</v>
      </c>
      <c r="I75" s="373">
        <v>3.3</v>
      </c>
      <c r="J75" s="373">
        <v>4.0150000000000006</v>
      </c>
      <c r="K75" s="373">
        <v>98.06832</v>
      </c>
      <c r="L75" s="373">
        <v>139.29300000000001</v>
      </c>
      <c r="M75" s="373">
        <v>123.10164722499997</v>
      </c>
      <c r="N75" s="373">
        <v>146.82880602500001</v>
      </c>
      <c r="O75" s="373">
        <v>17.236799999999999</v>
      </c>
      <c r="P75" s="373">
        <v>20.169632999999997</v>
      </c>
      <c r="Q75" s="373">
        <v>590.73664833230396</v>
      </c>
      <c r="R75" s="373">
        <v>822.70949531619192</v>
      </c>
      <c r="S75" s="373">
        <v>832.44341555730387</v>
      </c>
      <c r="T75" s="373">
        <v>1133.0159343411922</v>
      </c>
    </row>
    <row r="76" spans="2:20" ht="18.75" x14ac:dyDescent="0.25">
      <c r="B76" s="375" t="s">
        <v>44</v>
      </c>
      <c r="C76" s="375"/>
      <c r="D76" s="374">
        <f>SUM(D68:D75)</f>
        <v>1133.0159343411922</v>
      </c>
    </row>
  </sheetData>
  <mergeCells count="5">
    <mergeCell ref="A44:D44"/>
    <mergeCell ref="A2:D2"/>
    <mergeCell ref="A11:D11"/>
    <mergeCell ref="A33:D33"/>
    <mergeCell ref="A21:D21"/>
  </mergeCells>
  <pageMargins left="0.7" right="0.7" top="0.75" bottom="0.75" header="0.3" footer="0.3"/>
  <ignoredErrors>
    <ignoredError sqref="E4:F5 E13:F14 E23:F25 E46:F48 E35:F37" emptyCellReferenc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FCDAD-8F68-4FF6-94F2-E6EFF5F61BFF}">
  <dimension ref="B2:G29"/>
  <sheetViews>
    <sheetView zoomScale="85" zoomScaleNormal="85" workbookViewId="0">
      <pane ySplit="2" topLeftCell="A9" activePane="bottomLeft" state="frozen"/>
      <selection pane="bottomLeft" activeCell="B3" sqref="B3:I29"/>
    </sheetView>
  </sheetViews>
  <sheetFormatPr defaultRowHeight="15" x14ac:dyDescent="0.25"/>
  <cols>
    <col min="2" max="2" width="12.5703125" bestFit="1" customWidth="1"/>
    <col min="3" max="3" width="9.5703125" style="2" customWidth="1"/>
    <col min="4" max="4" width="15.85546875" style="2" bestFit="1" customWidth="1"/>
    <col min="5" max="5" width="13.42578125" bestFit="1" customWidth="1"/>
    <col min="6" max="6" width="16.85546875" bestFit="1" customWidth="1"/>
    <col min="7" max="7" width="14.28515625" style="2" bestFit="1" customWidth="1"/>
  </cols>
  <sheetData>
    <row r="2" spans="2:7" x14ac:dyDescent="0.25">
      <c r="B2" s="3" t="s">
        <v>37</v>
      </c>
      <c r="C2" s="3" t="s">
        <v>38</v>
      </c>
      <c r="D2" s="3" t="s">
        <v>39</v>
      </c>
      <c r="E2" s="3" t="s">
        <v>40</v>
      </c>
      <c r="F2" s="3" t="s">
        <v>41</v>
      </c>
      <c r="G2" s="131" t="s">
        <v>42</v>
      </c>
    </row>
    <row r="3" spans="2:7" ht="15.75" x14ac:dyDescent="0.25">
      <c r="B3" s="183"/>
      <c r="C3" s="131"/>
      <c r="D3" s="131"/>
      <c r="E3" s="131"/>
      <c r="F3" s="131"/>
      <c r="G3" s="131"/>
    </row>
    <row r="4" spans="2:7" ht="15.75" x14ac:dyDescent="0.25">
      <c r="B4" s="183"/>
      <c r="C4" s="132"/>
      <c r="D4" s="132"/>
      <c r="E4" s="132"/>
      <c r="F4" s="132"/>
      <c r="G4" s="132"/>
    </row>
    <row r="5" spans="2:7" ht="15.75" x14ac:dyDescent="0.25">
      <c r="B5" s="183"/>
      <c r="C5" s="132"/>
      <c r="D5" s="132"/>
      <c r="E5" s="132"/>
      <c r="F5" s="132"/>
      <c r="G5" s="132"/>
    </row>
    <row r="6" spans="2:7" ht="15.75" x14ac:dyDescent="0.25">
      <c r="B6" s="183"/>
      <c r="C6" s="132"/>
      <c r="D6" s="132"/>
      <c r="E6" s="132"/>
      <c r="F6" s="132"/>
      <c r="G6" s="132"/>
    </row>
    <row r="7" spans="2:7" ht="15.75" x14ac:dyDescent="0.25">
      <c r="B7" s="183"/>
      <c r="C7" s="132"/>
      <c r="D7" s="132"/>
      <c r="E7" s="132"/>
      <c r="F7" s="132"/>
      <c r="G7" s="131"/>
    </row>
    <row r="8" spans="2:7" ht="15.75" x14ac:dyDescent="0.25">
      <c r="B8" s="183"/>
      <c r="C8" s="132"/>
      <c r="D8" s="132"/>
      <c r="E8" s="132"/>
      <c r="F8" s="132"/>
      <c r="G8" s="132"/>
    </row>
    <row r="9" spans="2:7" ht="15.75" x14ac:dyDescent="0.25">
      <c r="B9" s="183"/>
      <c r="C9" s="132"/>
      <c r="D9" s="132"/>
      <c r="E9" s="132"/>
      <c r="F9" s="132"/>
      <c r="G9" s="132"/>
    </row>
    <row r="10" spans="2:7" ht="15.75" x14ac:dyDescent="0.25">
      <c r="B10" s="183"/>
      <c r="C10" s="132"/>
      <c r="D10" s="132"/>
      <c r="E10" s="132"/>
      <c r="F10" s="132"/>
      <c r="G10" s="132"/>
    </row>
    <row r="11" spans="2:7" ht="15.75" x14ac:dyDescent="0.25">
      <c r="B11" s="183"/>
      <c r="C11" s="132"/>
      <c r="D11" s="132"/>
      <c r="E11" s="132"/>
      <c r="F11" s="132"/>
      <c r="G11" s="131"/>
    </row>
    <row r="12" spans="2:7" ht="15.75" x14ac:dyDescent="0.25">
      <c r="B12" s="183"/>
      <c r="C12" s="132"/>
      <c r="D12" s="132"/>
      <c r="E12" s="132"/>
      <c r="F12" s="132"/>
      <c r="G12" s="132"/>
    </row>
    <row r="13" spans="2:7" ht="15.75" x14ac:dyDescent="0.25">
      <c r="B13" s="183"/>
      <c r="C13" s="132"/>
      <c r="D13" s="132"/>
      <c r="E13" s="132"/>
      <c r="F13" s="132"/>
      <c r="G13" s="132"/>
    </row>
    <row r="14" spans="2:7" ht="15.75" x14ac:dyDescent="0.25">
      <c r="B14" s="183"/>
      <c r="C14" s="132"/>
      <c r="D14" s="132"/>
      <c r="E14" s="132"/>
      <c r="F14" s="132"/>
      <c r="G14" s="132"/>
    </row>
    <row r="15" spans="2:7" ht="15.75" x14ac:dyDescent="0.25">
      <c r="B15" s="183"/>
      <c r="C15" s="132"/>
      <c r="D15" s="132"/>
      <c r="E15" s="132"/>
      <c r="F15" s="132"/>
      <c r="G15" s="132"/>
    </row>
    <row r="16" spans="2:7" ht="15.75" x14ac:dyDescent="0.25">
      <c r="B16" s="183"/>
      <c r="C16" s="132"/>
      <c r="D16" s="132"/>
      <c r="E16" s="132"/>
      <c r="F16" s="132"/>
      <c r="G16" s="131"/>
    </row>
    <row r="17" spans="2:7" ht="15.75" x14ac:dyDescent="0.25">
      <c r="B17" s="183"/>
      <c r="C17" s="132"/>
      <c r="D17" s="132"/>
      <c r="E17" s="132"/>
      <c r="F17" s="132"/>
      <c r="G17" s="132"/>
    </row>
    <row r="18" spans="2:7" ht="15.75" x14ac:dyDescent="0.25">
      <c r="B18" s="183"/>
      <c r="C18" s="132"/>
      <c r="D18" s="132"/>
      <c r="E18" s="132"/>
      <c r="F18" s="132"/>
      <c r="G18" s="132"/>
    </row>
    <row r="19" spans="2:7" ht="15.75" x14ac:dyDescent="0.25">
      <c r="B19" s="183"/>
      <c r="C19" s="132"/>
      <c r="D19" s="132"/>
      <c r="E19" s="132"/>
      <c r="F19" s="132"/>
      <c r="G19" s="132"/>
    </row>
    <row r="20" spans="2:7" ht="15.75" x14ac:dyDescent="0.25">
      <c r="B20" s="183"/>
      <c r="C20" s="132"/>
      <c r="D20" s="132"/>
      <c r="E20" s="132"/>
      <c r="F20" s="132"/>
      <c r="G20" s="132"/>
    </row>
    <row r="21" spans="2:7" ht="15.75" x14ac:dyDescent="0.25">
      <c r="B21" s="183"/>
      <c r="C21" s="132"/>
      <c r="D21" s="132"/>
      <c r="E21" s="132"/>
      <c r="F21" s="132"/>
      <c r="G21" s="131"/>
    </row>
    <row r="22" spans="2:7" ht="15.75" x14ac:dyDescent="0.25">
      <c r="B22" s="183"/>
      <c r="C22" s="132"/>
      <c r="D22" s="132"/>
      <c r="E22" s="132"/>
      <c r="F22" s="132"/>
      <c r="G22" s="132"/>
    </row>
    <row r="23" spans="2:7" x14ac:dyDescent="0.25">
      <c r="B23" s="5"/>
      <c r="C23" s="132"/>
      <c r="D23" s="132"/>
      <c r="E23" s="132"/>
      <c r="F23" s="132"/>
      <c r="G23" s="132"/>
    </row>
    <row r="24" spans="2:7" x14ac:dyDescent="0.25">
      <c r="B24" s="5"/>
      <c r="C24" s="132"/>
      <c r="D24" s="132"/>
      <c r="E24" s="132"/>
      <c r="F24" s="132"/>
      <c r="G24" s="132"/>
    </row>
    <row r="25" spans="2:7" x14ac:dyDescent="0.25">
      <c r="B25" s="5"/>
      <c r="C25" s="132"/>
      <c r="D25" s="132"/>
      <c r="E25" s="132"/>
      <c r="F25" s="132"/>
      <c r="G25" s="132"/>
    </row>
    <row r="26" spans="2:7" x14ac:dyDescent="0.25">
      <c r="B26" s="5"/>
      <c r="C26" s="132"/>
      <c r="D26" s="132"/>
      <c r="E26" s="132"/>
      <c r="F26" s="132"/>
      <c r="G26" s="132"/>
    </row>
    <row r="27" spans="2:7" x14ac:dyDescent="0.25">
      <c r="C27" s="487"/>
      <c r="D27" s="487"/>
      <c r="E27" s="182"/>
      <c r="F27" s="182"/>
      <c r="G27" s="11"/>
    </row>
    <row r="28" spans="2:7" x14ac:dyDescent="0.25">
      <c r="C28" s="488"/>
      <c r="D28" s="488"/>
      <c r="E28" s="5"/>
      <c r="F28" s="6"/>
      <c r="G28" s="7"/>
    </row>
    <row r="29" spans="2:7" x14ac:dyDescent="0.25">
      <c r="C29" s="489"/>
      <c r="D29" s="489"/>
      <c r="E29" s="8"/>
      <c r="F29" s="8"/>
      <c r="G29" s="184"/>
    </row>
  </sheetData>
  <mergeCells count="3">
    <mergeCell ref="C27:D27"/>
    <mergeCell ref="C28:D28"/>
    <mergeCell ref="C29:D2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C4FE7-A82F-4C19-8B18-B8DE594F96F3}">
  <dimension ref="B2:L28"/>
  <sheetViews>
    <sheetView topLeftCell="A4" zoomScale="85" zoomScaleNormal="85" workbookViewId="0">
      <selection activeCell="G18" sqref="G18"/>
    </sheetView>
  </sheetViews>
  <sheetFormatPr defaultRowHeight="15" x14ac:dyDescent="0.25"/>
  <cols>
    <col min="2" max="2" width="8.140625" bestFit="1" customWidth="1"/>
    <col min="3" max="3" width="21.42578125" bestFit="1" customWidth="1"/>
    <col min="4" max="4" width="5.85546875" bestFit="1" customWidth="1"/>
    <col min="5" max="5" width="12.140625" bestFit="1" customWidth="1"/>
    <col min="6" max="6" width="14.5703125" bestFit="1" customWidth="1"/>
    <col min="7" max="7" width="15.7109375" bestFit="1" customWidth="1"/>
    <col min="8" max="8" width="11" bestFit="1" customWidth="1"/>
    <col min="9" max="9" width="17.85546875" bestFit="1" customWidth="1"/>
    <col min="10" max="10" width="15.28515625" bestFit="1" customWidth="1"/>
    <col min="11" max="13" width="19" customWidth="1"/>
  </cols>
  <sheetData>
    <row r="2" spans="2:11" x14ac:dyDescent="0.25">
      <c r="B2" s="5"/>
      <c r="C2" s="5"/>
      <c r="D2" s="5"/>
      <c r="E2" s="5"/>
      <c r="F2" s="5"/>
      <c r="G2" s="5"/>
      <c r="H2" s="91" t="s">
        <v>131</v>
      </c>
      <c r="I2" s="92"/>
      <c r="J2" s="5"/>
    </row>
    <row r="3" spans="2:11" x14ac:dyDescent="0.25">
      <c r="B3" s="5"/>
      <c r="C3" s="5"/>
      <c r="D3" s="5"/>
      <c r="E3" s="5"/>
      <c r="F3" s="5"/>
      <c r="G3" s="5" t="s">
        <v>132</v>
      </c>
      <c r="H3" s="93">
        <f>'BOM R2D CatWalk'!AH3</f>
        <v>0</v>
      </c>
      <c r="I3" s="5" t="s">
        <v>133</v>
      </c>
      <c r="J3" s="5" t="s">
        <v>134</v>
      </c>
    </row>
    <row r="4" spans="2:11" ht="30.75" thickBot="1" x14ac:dyDescent="0.3">
      <c r="B4" s="94"/>
      <c r="C4" s="94" t="s">
        <v>135</v>
      </c>
      <c r="D4" s="94" t="s">
        <v>136</v>
      </c>
      <c r="E4" s="94" t="s">
        <v>137</v>
      </c>
      <c r="F4" s="94" t="s">
        <v>138</v>
      </c>
      <c r="G4" s="94" t="s">
        <v>139</v>
      </c>
      <c r="H4" s="94" t="s">
        <v>140</v>
      </c>
      <c r="I4" s="94" t="s">
        <v>141</v>
      </c>
      <c r="J4" s="94" t="s">
        <v>142</v>
      </c>
    </row>
    <row r="5" spans="2:11" ht="15.75" thickBot="1" x14ac:dyDescent="0.3">
      <c r="B5" s="95" t="s">
        <v>143</v>
      </c>
      <c r="C5" s="95" t="s">
        <v>144</v>
      </c>
      <c r="D5" s="96" t="s">
        <v>145</v>
      </c>
      <c r="E5" s="96">
        <f>75*7.33/75</f>
        <v>7.33</v>
      </c>
      <c r="F5" s="97">
        <v>0.35</v>
      </c>
      <c r="G5" s="98">
        <f>E5*(100%-F5)</f>
        <v>4.7645</v>
      </c>
      <c r="H5" s="98">
        <f>(1/G5)*$H$3</f>
        <v>0</v>
      </c>
      <c r="I5" s="99">
        <v>1000</v>
      </c>
      <c r="J5" s="100">
        <f>H5*I5</f>
        <v>0</v>
      </c>
      <c r="K5">
        <v>1</v>
      </c>
    </row>
    <row r="6" spans="2:11" ht="15.75" thickBot="1" x14ac:dyDescent="0.3">
      <c r="B6" s="101" t="s">
        <v>20</v>
      </c>
      <c r="C6" s="101" t="s">
        <v>158</v>
      </c>
      <c r="D6" s="102" t="s">
        <v>145</v>
      </c>
      <c r="E6" s="102">
        <f>50*11.4/50</f>
        <v>11.4</v>
      </c>
      <c r="F6" s="103">
        <v>0.35</v>
      </c>
      <c r="G6" s="102">
        <f>E6*(100%-F6)</f>
        <v>7.41</v>
      </c>
      <c r="H6" s="102">
        <f>(1/G6)*$H$3</f>
        <v>0</v>
      </c>
      <c r="I6" s="99">
        <v>1000</v>
      </c>
      <c r="J6" s="104">
        <f>H6*I6</f>
        <v>0</v>
      </c>
      <c r="K6">
        <v>1</v>
      </c>
    </row>
    <row r="7" spans="2:11" x14ac:dyDescent="0.25">
      <c r="B7" s="10" t="s">
        <v>146</v>
      </c>
      <c r="C7" s="9"/>
      <c r="D7" s="9"/>
      <c r="E7" s="105"/>
      <c r="F7" s="106"/>
      <c r="G7" s="105"/>
      <c r="H7" s="7">
        <f>SUM(H5:H6)*0.3</f>
        <v>0</v>
      </c>
      <c r="I7" s="107">
        <v>400</v>
      </c>
      <c r="J7" s="108">
        <f>H7*I7</f>
        <v>0</v>
      </c>
    </row>
    <row r="8" spans="2:11" ht="15.75" x14ac:dyDescent="0.25">
      <c r="B8" s="109" t="s">
        <v>147</v>
      </c>
      <c r="C8" s="110"/>
      <c r="D8" s="110"/>
      <c r="E8" s="111"/>
      <c r="F8" s="111"/>
      <c r="G8" s="111"/>
      <c r="H8" s="112">
        <f>SUM(H5:H7)</f>
        <v>0</v>
      </c>
      <c r="I8" s="111"/>
      <c r="J8" s="113">
        <f>SUM(J5:J7)</f>
        <v>0</v>
      </c>
    </row>
    <row r="9" spans="2:11" x14ac:dyDescent="0.25">
      <c r="B9" s="4"/>
      <c r="C9" s="5"/>
      <c r="D9" s="5"/>
      <c r="E9" s="5"/>
      <c r="F9" s="5"/>
      <c r="G9" s="490" t="s">
        <v>148</v>
      </c>
      <c r="H9" s="494"/>
      <c r="I9" s="491"/>
      <c r="J9" s="108">
        <f>H3*250</f>
        <v>0</v>
      </c>
      <c r="K9" t="s">
        <v>149</v>
      </c>
    </row>
    <row r="10" spans="2:11" x14ac:dyDescent="0.25">
      <c r="B10" s="490" t="s">
        <v>150</v>
      </c>
      <c r="C10" s="491"/>
      <c r="D10" s="5"/>
      <c r="E10" s="5"/>
      <c r="F10" s="5"/>
      <c r="G10" s="5"/>
      <c r="H10" s="5"/>
      <c r="I10" s="5"/>
      <c r="J10" s="108">
        <f>J8+J9</f>
        <v>0</v>
      </c>
    </row>
    <row r="11" spans="2:11" x14ac:dyDescent="0.25">
      <c r="B11" s="490" t="s">
        <v>151</v>
      </c>
      <c r="C11" s="491"/>
      <c r="D11" s="5"/>
      <c r="E11" s="5"/>
      <c r="F11" s="5"/>
      <c r="G11" s="5"/>
      <c r="H11" s="5"/>
      <c r="I11" s="6">
        <v>0.05</v>
      </c>
      <c r="J11" s="108">
        <f>J10*I11</f>
        <v>0</v>
      </c>
    </row>
    <row r="12" spans="2:11" ht="15.75" x14ac:dyDescent="0.25">
      <c r="B12" s="492" t="s">
        <v>152</v>
      </c>
      <c r="C12" s="493"/>
      <c r="D12" s="114"/>
      <c r="E12" s="114"/>
      <c r="F12" s="114"/>
      <c r="G12" s="114"/>
      <c r="H12" s="114"/>
      <c r="I12" s="114"/>
      <c r="J12" s="115">
        <f>J11+J10</f>
        <v>0</v>
      </c>
      <c r="K12" t="e">
        <f>J12/H3</f>
        <v>#DIV/0!</v>
      </c>
    </row>
    <row r="13" spans="2:11" x14ac:dyDescent="0.25">
      <c r="J13" s="12"/>
    </row>
    <row r="17" spans="2:12" x14ac:dyDescent="0.25">
      <c r="B17" s="5"/>
      <c r="C17" s="5"/>
      <c r="D17" s="5"/>
      <c r="E17" s="5"/>
      <c r="F17" s="5"/>
      <c r="G17" s="5"/>
      <c r="H17" s="91" t="s">
        <v>131</v>
      </c>
      <c r="I17" s="126"/>
      <c r="J17" s="120"/>
      <c r="K17" s="5"/>
    </row>
    <row r="18" spans="2:12" x14ac:dyDescent="0.25">
      <c r="B18" s="5"/>
      <c r="C18" s="5"/>
      <c r="D18" s="5"/>
      <c r="E18" s="5"/>
      <c r="F18" s="5"/>
      <c r="G18" s="5" t="s">
        <v>132</v>
      </c>
      <c r="H18" s="93">
        <f>H3</f>
        <v>0</v>
      </c>
      <c r="I18" s="93"/>
      <c r="J18" s="5" t="s">
        <v>133</v>
      </c>
      <c r="K18" s="5" t="s">
        <v>134</v>
      </c>
    </row>
    <row r="19" spans="2:12" ht="30" x14ac:dyDescent="0.25">
      <c r="B19" s="94"/>
      <c r="C19" s="94" t="s">
        <v>135</v>
      </c>
      <c r="D19" s="94" t="s">
        <v>136</v>
      </c>
      <c r="E19" s="94" t="s">
        <v>137</v>
      </c>
      <c r="F19" s="94" t="s">
        <v>138</v>
      </c>
      <c r="G19" s="94" t="s">
        <v>139</v>
      </c>
      <c r="H19" s="94" t="s">
        <v>140</v>
      </c>
      <c r="I19" s="94" t="s">
        <v>159</v>
      </c>
      <c r="J19" s="94" t="s">
        <v>141</v>
      </c>
      <c r="K19" s="94" t="s">
        <v>142</v>
      </c>
    </row>
    <row r="20" spans="2:12" x14ac:dyDescent="0.25">
      <c r="B20" s="9" t="s">
        <v>143</v>
      </c>
      <c r="C20" s="9" t="s">
        <v>144</v>
      </c>
      <c r="D20" s="122">
        <v>75</v>
      </c>
      <c r="E20" s="121">
        <f>75*7.33/D20</f>
        <v>7.33</v>
      </c>
      <c r="F20" s="106">
        <v>0.35</v>
      </c>
      <c r="G20" s="105">
        <f>E20*(100%-F20)</f>
        <v>4.7645</v>
      </c>
      <c r="H20" s="105">
        <f>(1/G20)*$H$3</f>
        <v>0</v>
      </c>
      <c r="I20" s="105">
        <f>H20</f>
        <v>0</v>
      </c>
      <c r="J20" s="107">
        <v>787.5</v>
      </c>
      <c r="K20" s="108">
        <f>J20*I20</f>
        <v>0</v>
      </c>
      <c r="L20">
        <v>1</v>
      </c>
    </row>
    <row r="21" spans="2:12" x14ac:dyDescent="0.25">
      <c r="B21" s="9" t="s">
        <v>20</v>
      </c>
      <c r="C21" s="9" t="s">
        <v>158</v>
      </c>
      <c r="D21" s="105">
        <v>75</v>
      </c>
      <c r="E21" s="121">
        <f>50*13.6/D21</f>
        <v>9.0666666666666664</v>
      </c>
      <c r="F21" s="106">
        <v>0.35</v>
      </c>
      <c r="G21" s="105">
        <f>E21*(100%-F21)</f>
        <v>5.8933333333333335</v>
      </c>
      <c r="H21" s="105">
        <f>(1/G21)*$H$3</f>
        <v>0</v>
      </c>
      <c r="I21" s="105">
        <v>20</v>
      </c>
      <c r="J21" s="107">
        <v>1200</v>
      </c>
      <c r="K21" s="108">
        <f t="shared" ref="K21:K22" si="0">J21*I21</f>
        <v>24000</v>
      </c>
      <c r="L21">
        <v>1</v>
      </c>
    </row>
    <row r="22" spans="2:12" x14ac:dyDescent="0.25">
      <c r="B22" s="4" t="s">
        <v>146</v>
      </c>
      <c r="C22" s="9"/>
      <c r="D22" s="9"/>
      <c r="E22" s="105"/>
      <c r="F22" s="106"/>
      <c r="G22" s="105"/>
      <c r="H22" s="7">
        <f>SUM(H20:H21)*0.3</f>
        <v>0</v>
      </c>
      <c r="I22" s="7">
        <f>H22</f>
        <v>0</v>
      </c>
      <c r="J22" s="107">
        <v>200</v>
      </c>
      <c r="K22" s="108">
        <f t="shared" si="0"/>
        <v>0</v>
      </c>
    </row>
    <row r="23" spans="2:12" ht="15.75" x14ac:dyDescent="0.25">
      <c r="B23" s="109" t="s">
        <v>147</v>
      </c>
      <c r="C23" s="110"/>
      <c r="D23" s="110"/>
      <c r="E23" s="111"/>
      <c r="F23" s="111"/>
      <c r="G23" s="111"/>
      <c r="H23" s="112">
        <f>SUM(H20:H22)</f>
        <v>0</v>
      </c>
      <c r="I23" s="112"/>
      <c r="J23" s="111"/>
      <c r="K23" s="113">
        <f>SUM(K20:K22)</f>
        <v>24000</v>
      </c>
    </row>
    <row r="24" spans="2:12" x14ac:dyDescent="0.25">
      <c r="B24" s="4"/>
      <c r="C24" s="5"/>
      <c r="D24" s="5"/>
      <c r="E24" s="5"/>
      <c r="F24" s="5"/>
      <c r="G24" s="123" t="s">
        <v>148</v>
      </c>
      <c r="H24" s="124"/>
      <c r="I24" s="124"/>
      <c r="J24" s="125"/>
      <c r="K24" s="108">
        <f>H18*250</f>
        <v>0</v>
      </c>
      <c r="L24" t="s">
        <v>149</v>
      </c>
    </row>
    <row r="25" spans="2:12" x14ac:dyDescent="0.25">
      <c r="B25" s="490" t="s">
        <v>150</v>
      </c>
      <c r="C25" s="491"/>
      <c r="D25" s="5"/>
      <c r="E25" s="5"/>
      <c r="F25" s="5"/>
      <c r="G25" s="5"/>
      <c r="H25" s="5"/>
      <c r="I25" s="5"/>
      <c r="J25" s="5"/>
      <c r="K25" s="108">
        <f>K23+K24</f>
        <v>24000</v>
      </c>
    </row>
    <row r="26" spans="2:12" x14ac:dyDescent="0.25">
      <c r="B26" s="490" t="s">
        <v>151</v>
      </c>
      <c r="C26" s="491"/>
      <c r="D26" s="5"/>
      <c r="E26" s="5"/>
      <c r="F26" s="5"/>
      <c r="G26" s="5"/>
      <c r="H26" s="5"/>
      <c r="I26" s="5"/>
      <c r="J26" s="6">
        <v>0.05</v>
      </c>
      <c r="K26" s="108">
        <f>K25*J26</f>
        <v>1200</v>
      </c>
    </row>
    <row r="27" spans="2:12" ht="15.75" x14ac:dyDescent="0.25">
      <c r="B27" s="492" t="s">
        <v>152</v>
      </c>
      <c r="C27" s="493"/>
      <c r="D27" s="114"/>
      <c r="E27" s="114"/>
      <c r="F27" s="114"/>
      <c r="G27" s="114"/>
      <c r="H27" s="114"/>
      <c r="I27" s="114"/>
      <c r="J27" s="114"/>
      <c r="K27" s="115">
        <f>K26+K25</f>
        <v>25200</v>
      </c>
      <c r="L27" t="e">
        <f>K27/H18</f>
        <v>#DIV/0!</v>
      </c>
    </row>
    <row r="28" spans="2:12" x14ac:dyDescent="0.25">
      <c r="K28" s="12"/>
    </row>
  </sheetData>
  <mergeCells count="7">
    <mergeCell ref="B25:C25"/>
    <mergeCell ref="B26:C26"/>
    <mergeCell ref="B27:C27"/>
    <mergeCell ref="G9:I9"/>
    <mergeCell ref="B10:C10"/>
    <mergeCell ref="B11:C11"/>
    <mergeCell ref="B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Customer Data </vt:lpstr>
      <vt:lpstr>Quote Buggy Parts </vt:lpstr>
      <vt:lpstr>Summary</vt:lpstr>
      <vt:lpstr>BOM R2D CatWalk</vt:lpstr>
      <vt:lpstr>RM Details</vt:lpstr>
      <vt:lpstr>Welding Details</vt:lpstr>
      <vt:lpstr>Paint Details</vt:lpstr>
      <vt:lpstr>Summary!Print_Area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Anshul Guleria</dc:creator>
  <cp:lastModifiedBy>Anshul Guleria</cp:lastModifiedBy>
  <dcterms:created xsi:type="dcterms:W3CDTF">2025-02-06T12:28:45Z</dcterms:created>
  <dcterms:modified xsi:type="dcterms:W3CDTF">2025-05-29T13:41:50Z</dcterms:modified>
</cp:coreProperties>
</file>