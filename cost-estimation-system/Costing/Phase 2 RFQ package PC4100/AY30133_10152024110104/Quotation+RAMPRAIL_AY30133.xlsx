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133_10152024110104\"/>
    </mc:Choice>
  </mc:AlternateContent>
  <xr:revisionPtr revIDLastSave="0" documentId="13_ncr:1_{04CD489D-DC8B-4B7D-8A4C-74E291A82869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RAMPRAIL_AY30133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RAMPRAIL_AY30133'!$A$2:$AK$10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1" l="1"/>
  <c r="AB9" i="1"/>
  <c r="AB6" i="1"/>
  <c r="AB5" i="1"/>
  <c r="AB4" i="1"/>
  <c r="M11" i="1"/>
  <c r="M10" i="1"/>
  <c r="M9" i="1"/>
  <c r="M8" i="1"/>
  <c r="M7" i="1"/>
  <c r="M6" i="1"/>
  <c r="M5" i="1"/>
  <c r="M4" i="1"/>
  <c r="L11" i="1"/>
  <c r="L10" i="1"/>
  <c r="L9" i="1"/>
  <c r="L8" i="1"/>
  <c r="L7" i="1"/>
  <c r="L6" i="1"/>
  <c r="L5" i="1"/>
  <c r="L4" i="1"/>
  <c r="J11" i="1" l="1"/>
  <c r="J10" i="1"/>
  <c r="J9" i="1"/>
  <c r="J8" i="1"/>
  <c r="J7" i="1"/>
  <c r="J6" i="1"/>
  <c r="J5" i="1"/>
  <c r="J4" i="1"/>
  <c r="I3" i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AE3" i="1" l="1"/>
  <c r="F3" i="7"/>
  <c r="M3" i="1"/>
  <c r="AB3" i="1" l="1"/>
  <c r="C4" i="7"/>
  <c r="AH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35" i="18"/>
  <c r="E37" i="18"/>
  <c r="E38" i="18"/>
  <c r="E34" i="18"/>
  <c r="E31" i="18"/>
  <c r="E32" i="18"/>
  <c r="E49" i="18"/>
  <c r="E48" i="18"/>
  <c r="E50" i="18"/>
  <c r="E51" i="18"/>
  <c r="E21" i="18"/>
  <c r="E26" i="18"/>
  <c r="E25" i="18"/>
  <c r="E20" i="18"/>
  <c r="E22" i="18"/>
  <c r="E28" i="18"/>
  <c r="E27" i="18"/>
</calcChain>
</file>

<file path=xl/sharedStrings.xml><?xml version="1.0" encoding="utf-8"?>
<sst xmlns="http://schemas.openxmlformats.org/spreadsheetml/2006/main" count="489" uniqueCount="265">
  <si>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</si>
  <si>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</si>
  <si>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</si>
  <si>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</si>
  <si>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</si>
  <si>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</si>
  <si>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</si>
  <si>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</si>
  <si>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</si>
  <si>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</si>
  <si>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</si>
  <si>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</si>
  <si>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</si>
  <si>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</si>
  <si>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</si>
  <si>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</si>
  <si>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</si>
  <si>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</si>
  <si>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</si>
  <si>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</si>
  <si>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</si>
  <si>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</si>
  <si>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</si>
  <si>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</si>
  <si>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</si>
  <si>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</si>
  <si>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</si>
  <si>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</si>
  <si>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</si>
  <si>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</si>
  <si>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</si>
  <si>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</si>
  <si>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</si>
  <si>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</si>
  <si>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</si>
  <si>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</si>
  <si>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</si>
  <si>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</si>
  <si>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</si>
  <si>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</si>
  <si>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</si>
  <si>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</si>
  <si>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</si>
  <si>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</si>
  <si>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</si>
  <si>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</si>
  <si>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</si>
  <si>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</si>
  <si>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</si>
  <si>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</si>
  <si>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</si>
  <si>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</si>
  <si>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</si>
  <si>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</si>
  <si>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</si>
  <si>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</si>
  <si>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</si>
  <si>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</si>
  <si>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</si>
  <si>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</si>
  <si>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</si>
  <si>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</si>
  <si>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</si>
  <si>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</si>
  <si>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</si>
  <si>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</si>
  <si>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</si>
  <si>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</si>
  <si>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</si>
  <si>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</si>
  <si>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</si>
  <si>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</si>
  <si>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</si>
  <si>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</si>
  <si>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</si>
  <si>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</si>
  <si>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</si>
  <si>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</si>
  <si>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</si>
  <si>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</si>
  <si>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</si>
  <si>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</si>
  <si>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</si>
  <si>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</si>
  <si>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</si>
  <si>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</si>
  <si>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</si>
  <si>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</si>
  <si>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</si>
  <si>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</si>
  <si>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</si>
  <si>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</si>
  <si>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</si>
  <si>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</si>
  <si>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</si>
  <si>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</si>
  <si>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</si>
  <si>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</si>
  <si>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</si>
  <si>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</si>
  <si>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</si>
  <si>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</si>
  <si>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</si>
  <si>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</si>
  <si>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</si>
  <si>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</si>
  <si>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</si>
  <si>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</si>
  <si>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</si>
  <si>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</si>
  <si>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</si>
  <si>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</si>
  <si>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</si>
  <si>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</si>
  <si>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</si>
  <si>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</si>
  <si>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</si>
  <si>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</si>
  <si>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</si>
  <si>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</si>
  <si>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</si>
  <si>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</si>
  <si>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</si>
  <si>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</si>
  <si>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</si>
  <si>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</si>
  <si>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</si>
  <si>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</si>
  <si>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</si>
  <si>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</si>
  <si>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</si>
  <si>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</si>
  <si>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</si>
  <si>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</si>
  <si>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</si>
  <si>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</si>
  <si>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</si>
  <si>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</si>
  <si>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</si>
  <si>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</si>
  <si>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</si>
  <si>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</si>
  <si>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</si>
  <si>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</si>
  <si>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</si>
  <si>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</si>
  <si>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</si>
  <si>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</si>
  <si>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</si>
  <si>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</si>
  <si>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</si>
  <si>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</si>
  <si>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</si>
  <si>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</si>
  <si>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</si>
  <si>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</si>
  <si>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</si>
  <si>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</si>
  <si>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</si>
  <si>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</si>
  <si>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</si>
  <si>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</si>
  <si>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</si>
  <si>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</si>
  <si>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</si>
  <si>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</si>
  <si>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</si>
  <si>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</si>
  <si>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</si>
  <si>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</si>
  <si>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</si>
  <si>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</si>
  <si>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</si>
  <si>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</si>
  <si>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</si>
  <si>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</si>
  <si>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</si>
  <si>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</si>
  <si>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</si>
  <si>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</si>
  <si>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</si>
  <si>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</si>
  <si>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</si>
  <si>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</si>
  <si>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</si>
  <si>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</si>
  <si>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</si>
  <si>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</si>
  <si>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</si>
  <si>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</si>
  <si>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</si>
  <si>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</si>
  <si>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</si>
  <si>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</si>
  <si>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</si>
  <si>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</si>
  <si>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</si>
  <si>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</si>
  <si>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</si>
  <si>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</si>
  <si>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</si>
  <si>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</si>
  <si>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</si>
  <si>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</si>
  <si>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</si>
  <si>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</si>
  <si>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</si>
  <si>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</si>
  <si>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</si>
  <si>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</si>
  <si>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</si>
  <si>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</si>
  <si>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</si>
  <si>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</si>
  <si>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</si>
  <si>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</si>
  <si>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</si>
  <si>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</si>
  <si>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</si>
  <si>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</si>
  <si>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</si>
  <si>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</si>
  <si>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</si>
  <si>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</si>
  <si>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</si>
  <si>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</si>
  <si>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</si>
  <si>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</si>
  <si>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</si>
  <si>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</si>
  <si>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</si>
  <si>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</si>
  <si>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</si>
  <si>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</si>
  <si>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</si>
  <si>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</si>
  <si>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</si>
  <si>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</si>
  <si>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</si>
  <si>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</si>
  <si>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</si>
  <si>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</si>
  <si>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</si>
  <si>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</si>
  <si>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</si>
  <si>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</si>
  <si>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</si>
  <si>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</si>
  <si>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</si>
  <si>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</si>
  <si>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</si>
  <si>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</si>
  <si>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WELDMENT,RAMPRAIL, PC4100</t>
  </si>
  <si>
    <t>BOM WELDMENT,RAMPRAIL, PC4100_AY30133</t>
  </si>
  <si>
    <t>HSS 50x50x5x12187 LG</t>
  </si>
  <si>
    <t>HSS 50x50x5x219 LG</t>
  </si>
  <si>
    <t>HSS 50x50x5x87 LG</t>
  </si>
  <si>
    <t>HSS 50x50x5x191 LG</t>
  </si>
  <si>
    <t>HSS 50x50x5x397 LG</t>
  </si>
  <si>
    <t>HSS 50x50x5x410 LG</t>
  </si>
  <si>
    <t>HSS 50x50x5x51 LG</t>
  </si>
  <si>
    <t>HSS 50x50x5x319 LG</t>
  </si>
  <si>
    <t>ASTM A516 Gr. 70/S275JR</t>
  </si>
  <si>
    <t>Sq. Tube</t>
  </si>
  <si>
    <t>50x50x5 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</si>
</sst>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3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left" vertical="center" wrapText="1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10" sheet="BOM RAMPRAIL_AY30133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C10" sqref="A10:C10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4" t="s">
        <v>218</v>
      </c>
      <c r="B1" s="414" t="s">
        <v>219</v>
      </c>
      <c r="C1" s="414" t="s">
        <v>220</v>
      </c>
    </row>
    <row r="2" spans="1:3" x14ac:dyDescent="0.25">
      <c r="A2" s="413" t="s">
        <v>221</v>
      </c>
      <c r="B2" s="413" t="s">
        <v>222</v>
      </c>
      <c r="C2" s="413">
        <v>1</v>
      </c>
    </row>
    <row r="3" spans="1:3" x14ac:dyDescent="0.25">
      <c r="A3" s="413" t="s">
        <v>223</v>
      </c>
      <c r="B3" s="413" t="s">
        <v>224</v>
      </c>
      <c r="C3" s="413">
        <v>2</v>
      </c>
    </row>
    <row r="4" spans="1:3" x14ac:dyDescent="0.25">
      <c r="A4" s="413" t="s">
        <v>225</v>
      </c>
      <c r="B4" s="413" t="s">
        <v>226</v>
      </c>
      <c r="C4" s="413">
        <v>1</v>
      </c>
    </row>
    <row r="5" spans="1:3" x14ac:dyDescent="0.25">
      <c r="A5" s="413" t="s">
        <v>227</v>
      </c>
      <c r="B5" s="413" t="s">
        <v>226</v>
      </c>
      <c r="C5" s="413">
        <v>23</v>
      </c>
    </row>
    <row r="6" spans="1:3" x14ac:dyDescent="0.25">
      <c r="A6" s="413" t="s">
        <v>228</v>
      </c>
      <c r="B6" s="413" t="s">
        <v>229</v>
      </c>
      <c r="C6" s="413">
        <v>1</v>
      </c>
    </row>
    <row r="7" spans="1:3" x14ac:dyDescent="0.25">
      <c r="A7" s="413" t="s">
        <v>230</v>
      </c>
      <c r="B7" s="413" t="s">
        <v>231</v>
      </c>
      <c r="C7" s="413">
        <v>4</v>
      </c>
    </row>
    <row r="8" spans="1:3" x14ac:dyDescent="0.25">
      <c r="A8" s="413" t="s">
        <v>232</v>
      </c>
      <c r="B8" s="413" t="s">
        <v>233</v>
      </c>
      <c r="C8" s="413">
        <v>1</v>
      </c>
    </row>
    <row r="9" spans="1:3" x14ac:dyDescent="0.25">
      <c r="A9" s="413" t="s">
        <v>234</v>
      </c>
      <c r="B9" s="413" t="s">
        <v>235</v>
      </c>
      <c r="C9" s="413">
        <v>0</v>
      </c>
    </row>
    <row r="10" spans="1:3" x14ac:dyDescent="0.25">
      <c r="A10" s="413" t="s">
        <v>236</v>
      </c>
      <c r="B10" s="413" t="s">
        <v>237</v>
      </c>
      <c r="C10" s="413">
        <v>1</v>
      </c>
    </row>
    <row r="11" spans="1:3" x14ac:dyDescent="0.25">
      <c r="A11" s="413" t="s">
        <v>238</v>
      </c>
      <c r="B11" s="413" t="s">
        <v>239</v>
      </c>
      <c r="C11" s="413">
        <v>1</v>
      </c>
    </row>
    <row r="12" spans="1:3" x14ac:dyDescent="0.25">
      <c r="A12" s="413" t="s">
        <v>240</v>
      </c>
      <c r="B12" s="413" t="s">
        <v>241</v>
      </c>
      <c r="C12" s="413">
        <v>1</v>
      </c>
    </row>
    <row r="13" spans="1:3" x14ac:dyDescent="0.25">
      <c r="A13" s="413" t="s">
        <v>242</v>
      </c>
      <c r="B13" s="413" t="s">
        <v>243</v>
      </c>
      <c r="C13" s="413">
        <v>1</v>
      </c>
    </row>
    <row r="14" spans="1:3" x14ac:dyDescent="0.25">
      <c r="A14" s="413" t="s">
        <v>244</v>
      </c>
      <c r="B14" s="413" t="s">
        <v>245</v>
      </c>
      <c r="C14" s="413">
        <v>1</v>
      </c>
    </row>
    <row r="15" spans="1:3" x14ac:dyDescent="0.25">
      <c r="A15" s="413" t="s">
        <v>246</v>
      </c>
      <c r="B15" s="413" t="s">
        <v>247</v>
      </c>
      <c r="C15" s="413">
        <v>1</v>
      </c>
    </row>
    <row r="16" spans="1:3" x14ac:dyDescent="0.25">
      <c r="A16" s="413" t="s">
        <v>248</v>
      </c>
      <c r="B16" s="413" t="s">
        <v>249</v>
      </c>
      <c r="C16" s="4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0"/>
    <col min="2" max="2" width="37.7109375" style="220" customWidth="1"/>
    <col min="3" max="3" width="18" style="355" customWidth="1"/>
    <col min="4" max="5" width="15" style="354" bestFit="1" customWidth="1"/>
    <col min="6" max="6" width="7.7109375" style="220"/>
    <col min="7" max="7" width="11.140625" style="220" bestFit="1" customWidth="1"/>
    <col min="8" max="8" width="10.42578125" style="220" bestFit="1" customWidth="1"/>
    <col min="9" max="9" width="12.42578125" style="220" bestFit="1" customWidth="1"/>
    <col min="10" max="16384" width="7.7109375" style="220"/>
  </cols>
  <sheetData>
    <row r="1" spans="1:5" ht="18.75" customHeight="1" thickBot="1" x14ac:dyDescent="0.35">
      <c r="A1" s="420" t="s">
        <v>92</v>
      </c>
      <c r="B1" s="421"/>
      <c r="C1" s="422"/>
      <c r="D1" s="423" t="s">
        <v>186</v>
      </c>
      <c r="E1" s="424"/>
    </row>
    <row r="2" spans="1:5" x14ac:dyDescent="0.25">
      <c r="A2" s="425"/>
      <c r="B2" s="426"/>
      <c r="C2" s="426"/>
      <c r="D2" s="221" t="s">
        <v>187</v>
      </c>
      <c r="E2" s="222" t="s">
        <v>8</v>
      </c>
    </row>
    <row r="3" spans="1:5" ht="18" customHeight="1" x14ac:dyDescent="0.25">
      <c r="A3" s="427"/>
      <c r="B3" s="428"/>
      <c r="C3" s="428"/>
      <c r="D3" s="223" t="str">
        <f>'BOM RAMPRAIL_AY30133'!F3</f>
        <v>AY30133</v>
      </c>
      <c r="E3" s="224">
        <v>5</v>
      </c>
    </row>
    <row r="4" spans="1:5" x14ac:dyDescent="0.25">
      <c r="A4" s="225" t="s">
        <v>93</v>
      </c>
      <c r="B4" s="226" t="s">
        <v>94</v>
      </c>
      <c r="C4" s="227"/>
      <c r="D4" s="225" t="s">
        <v>95</v>
      </c>
      <c r="E4" s="228" t="s">
        <v>96</v>
      </c>
    </row>
    <row r="5" spans="1:5" x14ac:dyDescent="0.25">
      <c r="A5" s="229" t="s">
        <v>97</v>
      </c>
      <c r="B5" s="230" t="s">
        <v>98</v>
      </c>
      <c r="C5" s="231"/>
      <c r="D5" s="232">
        <f>Summary!G8</f>
        <v>228.15241569999998</v>
      </c>
      <c r="E5" s="233"/>
    </row>
    <row r="6" spans="1:5" x14ac:dyDescent="0.25">
      <c r="A6" s="229" t="s">
        <v>99</v>
      </c>
      <c r="B6" s="230" t="s">
        <v>100</v>
      </c>
      <c r="C6" s="234"/>
      <c r="D6" s="232">
        <f>Summary!G9</f>
        <v>167.2130176</v>
      </c>
      <c r="E6" s="233"/>
    </row>
    <row r="7" spans="1:5" x14ac:dyDescent="0.25">
      <c r="A7" s="235" t="s">
        <v>101</v>
      </c>
      <c r="B7" s="236" t="s">
        <v>188</v>
      </c>
      <c r="C7" s="237"/>
      <c r="D7" s="238"/>
      <c r="E7" s="239">
        <f>Summary!G13</f>
        <v>18585.922852599997</v>
      </c>
    </row>
    <row r="8" spans="1:5" ht="16.5" thickBot="1" x14ac:dyDescent="0.3">
      <c r="A8" s="235" t="s">
        <v>102</v>
      </c>
      <c r="B8" s="236" t="s">
        <v>103</v>
      </c>
      <c r="C8" s="237" t="s">
        <v>202</v>
      </c>
      <c r="D8" s="240"/>
      <c r="E8" s="241">
        <v>0</v>
      </c>
    </row>
    <row r="9" spans="1:5" ht="16.5" thickBot="1" x14ac:dyDescent="0.3">
      <c r="A9" s="242"/>
      <c r="B9" s="243" t="s">
        <v>104</v>
      </c>
      <c r="C9" s="244"/>
      <c r="D9" s="245"/>
      <c r="E9" s="246">
        <f>SUM(E7:E8)</f>
        <v>18585.922852599997</v>
      </c>
    </row>
    <row r="10" spans="1:5" ht="16.5" thickBot="1" x14ac:dyDescent="0.3">
      <c r="A10" s="247"/>
      <c r="B10" s="248"/>
      <c r="C10" s="249"/>
      <c r="D10" s="250">
        <f>(D5-D6)/D6</f>
        <v>0.36444171018895588</v>
      </c>
      <c r="E10" s="251"/>
    </row>
    <row r="11" spans="1:5" x14ac:dyDescent="0.25">
      <c r="A11" s="252" t="s">
        <v>105</v>
      </c>
      <c r="B11" s="253" t="s">
        <v>106</v>
      </c>
      <c r="C11" s="254"/>
      <c r="D11" s="255"/>
      <c r="E11" s="256"/>
    </row>
    <row r="12" spans="1:5" x14ac:dyDescent="0.25">
      <c r="A12" s="229" t="s">
        <v>97</v>
      </c>
      <c r="B12" s="257" t="s">
        <v>107</v>
      </c>
      <c r="C12" s="258">
        <v>0</v>
      </c>
      <c r="D12" s="229"/>
      <c r="E12" s="241">
        <v>0</v>
      </c>
    </row>
    <row r="13" spans="1:5" x14ac:dyDescent="0.25">
      <c r="A13" s="229" t="s">
        <v>99</v>
      </c>
      <c r="B13" s="257" t="s">
        <v>108</v>
      </c>
      <c r="C13" s="258">
        <v>0</v>
      </c>
      <c r="D13" s="229"/>
      <c r="E13" s="259">
        <f>Summary!F33</f>
        <v>3873.1881000421054</v>
      </c>
    </row>
    <row r="14" spans="1:5" x14ac:dyDescent="0.25">
      <c r="A14" s="229" t="s">
        <v>101</v>
      </c>
      <c r="B14" s="257" t="s">
        <v>109</v>
      </c>
      <c r="C14" s="258">
        <v>0</v>
      </c>
      <c r="D14" s="229"/>
      <c r="E14" s="241">
        <f>D6*20</f>
        <v>3344.2603520000002</v>
      </c>
    </row>
    <row r="15" spans="1:5" x14ac:dyDescent="0.25">
      <c r="A15" s="229" t="s">
        <v>102</v>
      </c>
      <c r="B15" s="257" t="s">
        <v>110</v>
      </c>
      <c r="C15" s="258">
        <v>0</v>
      </c>
      <c r="D15" s="229"/>
      <c r="E15" s="241">
        <f>D6*12</f>
        <v>2006.5562112</v>
      </c>
    </row>
    <row r="16" spans="1:5" x14ac:dyDescent="0.25">
      <c r="A16" s="260" t="s">
        <v>111</v>
      </c>
      <c r="B16" s="257" t="s">
        <v>189</v>
      </c>
      <c r="C16" s="258" t="s">
        <v>201</v>
      </c>
      <c r="D16" s="229"/>
      <c r="E16" s="241">
        <v>0</v>
      </c>
    </row>
    <row r="17" spans="1:5" ht="16.5" thickBot="1" x14ac:dyDescent="0.3">
      <c r="A17" s="261"/>
      <c r="B17" s="262" t="s">
        <v>112</v>
      </c>
      <c r="C17" s="263"/>
      <c r="D17" s="264"/>
      <c r="E17" s="265">
        <f>SUM(E9:E16)</f>
        <v>27809.927515842104</v>
      </c>
    </row>
    <row r="18" spans="1:5" ht="16.5" thickBot="1" x14ac:dyDescent="0.3">
      <c r="A18" s="266"/>
      <c r="B18" s="248"/>
      <c r="C18" s="249"/>
      <c r="D18" s="267"/>
      <c r="E18" s="251"/>
    </row>
    <row r="19" spans="1:5" x14ac:dyDescent="0.25">
      <c r="A19" s="268" t="s">
        <v>113</v>
      </c>
      <c r="B19" s="269" t="s">
        <v>114</v>
      </c>
      <c r="C19" s="270"/>
      <c r="D19" s="271"/>
      <c r="E19" s="272"/>
    </row>
    <row r="20" spans="1:5" x14ac:dyDescent="0.25">
      <c r="A20" s="260" t="s">
        <v>115</v>
      </c>
      <c r="B20" s="230" t="s">
        <v>116</v>
      </c>
      <c r="C20" s="273">
        <v>1.4999999999999999E-2</v>
      </c>
      <c r="D20" s="274"/>
      <c r="E20" s="275">
        <f ca="1">E22*$C$20</f>
        <v>627.63894676559948</v>
      </c>
    </row>
    <row r="21" spans="1:5" ht="16.5" thickBot="1" x14ac:dyDescent="0.3">
      <c r="A21" s="260" t="s">
        <v>117</v>
      </c>
      <c r="B21" s="230" t="s">
        <v>118</v>
      </c>
      <c r="C21" s="273">
        <v>1.4999999999999999E-2</v>
      </c>
      <c r="D21" s="274"/>
      <c r="E21" s="275">
        <f ca="1">E22*$C$21</f>
        <v>627.63894676559948</v>
      </c>
    </row>
    <row r="22" spans="1:5" ht="16.5" thickBot="1" x14ac:dyDescent="0.3">
      <c r="A22" s="245"/>
      <c r="B22" s="276" t="s">
        <v>119</v>
      </c>
      <c r="C22" s="277"/>
      <c r="D22" s="278"/>
      <c r="E22" s="279">
        <f ca="1">SUM(E20:E21)+E17</f>
        <v>41842.596451039964</v>
      </c>
    </row>
    <row r="23" spans="1:5" ht="16.5" thickBot="1" x14ac:dyDescent="0.3">
      <c r="A23" s="280"/>
      <c r="B23" s="248"/>
      <c r="C23" s="281"/>
      <c r="D23" s="266"/>
      <c r="E23" s="282"/>
    </row>
    <row r="24" spans="1:5" x14ac:dyDescent="0.25">
      <c r="A24" s="283" t="s">
        <v>120</v>
      </c>
      <c r="B24" s="284" t="s">
        <v>121</v>
      </c>
      <c r="C24" s="285"/>
      <c r="D24" s="286"/>
      <c r="E24" s="287"/>
    </row>
    <row r="25" spans="1:5" x14ac:dyDescent="0.25">
      <c r="A25" s="229" t="s">
        <v>97</v>
      </c>
      <c r="B25" s="257" t="s">
        <v>122</v>
      </c>
      <c r="C25" s="288">
        <v>0.02</v>
      </c>
      <c r="D25" s="289"/>
      <c r="E25" s="259">
        <f ca="1">E28*$C$25</f>
        <v>1101.1209592378939</v>
      </c>
    </row>
    <row r="26" spans="1:5" x14ac:dyDescent="0.25">
      <c r="A26" s="229" t="s">
        <v>99</v>
      </c>
      <c r="B26" s="257" t="s">
        <v>123</v>
      </c>
      <c r="C26" s="288">
        <v>0.1</v>
      </c>
      <c r="D26" s="289"/>
      <c r="E26" s="259">
        <f ca="1">E28*$C$26</f>
        <v>5505.6047961894692</v>
      </c>
    </row>
    <row r="27" spans="1:5" ht="16.5" thickBot="1" x14ac:dyDescent="0.3">
      <c r="A27" s="229" t="s">
        <v>101</v>
      </c>
      <c r="B27" s="290" t="s">
        <v>124</v>
      </c>
      <c r="C27" s="291">
        <v>0.12</v>
      </c>
      <c r="D27" s="292"/>
      <c r="E27" s="259">
        <f ca="1">E28*$C$27</f>
        <v>6606.7257554273629</v>
      </c>
    </row>
    <row r="28" spans="1:5" ht="16.5" thickBot="1" x14ac:dyDescent="0.3">
      <c r="A28" s="293"/>
      <c r="B28" s="243" t="s">
        <v>125</v>
      </c>
      <c r="C28" s="294"/>
      <c r="D28" s="245"/>
      <c r="E28" s="246">
        <f ca="1">SUM(E22:E27)</f>
        <v>55056.047961894692</v>
      </c>
    </row>
    <row r="29" spans="1:5" x14ac:dyDescent="0.25">
      <c r="A29" s="295"/>
      <c r="B29" s="296"/>
      <c r="C29" s="297"/>
      <c r="D29" s="298"/>
      <c r="E29" s="299"/>
    </row>
    <row r="30" spans="1:5" ht="16.5" thickBot="1" x14ac:dyDescent="0.3">
      <c r="A30" s="300" t="s">
        <v>190</v>
      </c>
      <c r="B30" s="301" t="s">
        <v>191</v>
      </c>
      <c r="C30" s="302" t="s">
        <v>192</v>
      </c>
      <c r="D30" s="303"/>
      <c r="E30" s="304">
        <v>0</v>
      </c>
    </row>
    <row r="31" spans="1:5" ht="27" customHeight="1" thickBot="1" x14ac:dyDescent="0.3">
      <c r="A31" s="305"/>
      <c r="B31" s="306" t="s">
        <v>193</v>
      </c>
      <c r="C31" s="307"/>
      <c r="D31" s="307">
        <f>E3</f>
        <v>5</v>
      </c>
      <c r="E31" s="308">
        <f ca="1">SUM(E28:E30)</f>
        <v>55056.047961894692</v>
      </c>
    </row>
    <row r="32" spans="1:5" ht="27" customHeight="1" thickBot="1" x14ac:dyDescent="0.3">
      <c r="A32" s="309"/>
      <c r="B32" s="310" t="s">
        <v>194</v>
      </c>
      <c r="C32" s="311"/>
      <c r="D32" s="312"/>
      <c r="E32" s="313">
        <f ca="1">E31/E3</f>
        <v>11011.209592378938</v>
      </c>
    </row>
    <row r="33" spans="1:5" ht="16.5" thickBot="1" x14ac:dyDescent="0.3">
      <c r="A33" s="314"/>
      <c r="B33" s="315"/>
      <c r="C33" s="316"/>
      <c r="D33" s="317"/>
      <c r="E33" s="318"/>
    </row>
    <row r="34" spans="1:5" x14ac:dyDescent="0.25">
      <c r="A34" s="319"/>
      <c r="B34" s="320" t="s">
        <v>195</v>
      </c>
      <c r="C34" s="321"/>
      <c r="D34" s="322"/>
      <c r="E34" s="323">
        <f ca="1">E31/D5</f>
        <v>241.31257954458161</v>
      </c>
    </row>
    <row r="35" spans="1:5" ht="16.5" thickBot="1" x14ac:dyDescent="0.3">
      <c r="A35" s="324"/>
      <c r="B35" s="325" t="s">
        <v>196</v>
      </c>
      <c r="C35" s="326"/>
      <c r="D35" s="327"/>
      <c r="E35" s="328">
        <f ca="1">E31/D6</f>
        <v>329.25694872391739</v>
      </c>
    </row>
    <row r="36" spans="1:5" x14ac:dyDescent="0.25">
      <c r="A36" s="319"/>
      <c r="B36" s="331" t="s">
        <v>197</v>
      </c>
      <c r="C36" s="323"/>
      <c r="D36" s="322">
        <f>E3</f>
        <v>5</v>
      </c>
      <c r="E36" s="323">
        <f>Summary!F36</f>
        <v>24705.022047906314</v>
      </c>
    </row>
    <row r="37" spans="1:5" x14ac:dyDescent="0.25">
      <c r="A37" s="229"/>
      <c r="B37" s="332" t="s">
        <v>198</v>
      </c>
      <c r="C37" s="333"/>
      <c r="D37" s="334"/>
      <c r="E37" s="333">
        <f ca="1">E31-E36</f>
        <v>16295.895768155046</v>
      </c>
    </row>
    <row r="38" spans="1:5" ht="16.5" thickBot="1" x14ac:dyDescent="0.3">
      <c r="A38" s="335"/>
      <c r="B38" s="336" t="s">
        <v>199</v>
      </c>
      <c r="C38" s="337"/>
      <c r="D38" s="338"/>
      <c r="E38" s="339">
        <f ca="1">(E31-E36)/E31</f>
        <v>0.29598738687952569</v>
      </c>
    </row>
    <row r="39" spans="1:5" x14ac:dyDescent="0.25">
      <c r="A39" s="314"/>
      <c r="B39" s="315"/>
      <c r="C39" s="316"/>
      <c r="D39" s="317"/>
      <c r="E39" s="318"/>
    </row>
    <row r="40" spans="1:5" x14ac:dyDescent="0.25">
      <c r="A40" s="314"/>
      <c r="B40" s="315"/>
      <c r="C40" s="316"/>
      <c r="D40" s="317"/>
      <c r="E40" s="318"/>
    </row>
    <row r="41" spans="1:5" x14ac:dyDescent="0.25">
      <c r="A41" s="314"/>
      <c r="B41" s="315"/>
      <c r="C41" s="316"/>
      <c r="D41" s="317"/>
      <c r="E41" s="318"/>
    </row>
    <row r="42" spans="1:5" x14ac:dyDescent="0.25">
      <c r="A42" s="314"/>
      <c r="B42" s="314"/>
      <c r="C42" s="316"/>
      <c r="D42" s="317"/>
      <c r="E42" s="340"/>
    </row>
    <row r="43" spans="1:5" ht="16.5" thickBot="1" x14ac:dyDescent="0.3">
      <c r="A43" s="314"/>
      <c r="B43" s="315"/>
      <c r="C43" s="316"/>
      <c r="D43" s="317"/>
      <c r="E43" s="318"/>
    </row>
    <row r="44" spans="1:5" ht="23.25" customHeight="1" thickBot="1" x14ac:dyDescent="0.3">
      <c r="A44" s="429" t="s">
        <v>126</v>
      </c>
      <c r="B44" s="430"/>
      <c r="C44" s="430"/>
      <c r="D44" s="423" t="s">
        <v>186</v>
      </c>
      <c r="E44" s="424"/>
    </row>
    <row r="45" spans="1:5" ht="25.5" customHeight="1" x14ac:dyDescent="0.25">
      <c r="A45" s="341">
        <v>1</v>
      </c>
      <c r="B45" s="342" t="s">
        <v>127</v>
      </c>
      <c r="C45" s="343"/>
      <c r="D45" s="386"/>
      <c r="E45" s="387">
        <f>Summary!D51</f>
        <v>5000</v>
      </c>
    </row>
    <row r="46" spans="1:5" ht="31.5" x14ac:dyDescent="0.25">
      <c r="A46" s="341">
        <v>2</v>
      </c>
      <c r="B46" s="346" t="s">
        <v>128</v>
      </c>
      <c r="C46" s="343"/>
      <c r="D46" s="344"/>
      <c r="E46" s="345">
        <f>Summary!D50+Summary!D52</f>
        <v>23961.295000000002</v>
      </c>
    </row>
    <row r="47" spans="1:5" x14ac:dyDescent="0.25">
      <c r="A47" s="377"/>
      <c r="B47" s="381" t="s">
        <v>119</v>
      </c>
      <c r="C47" s="378"/>
      <c r="D47" s="379"/>
      <c r="E47" s="380">
        <f>SUM(E45:E46)</f>
        <v>28961.295000000002</v>
      </c>
    </row>
    <row r="48" spans="1:5" x14ac:dyDescent="0.25">
      <c r="A48" s="377"/>
      <c r="B48" s="384" t="s">
        <v>123</v>
      </c>
      <c r="C48" s="385">
        <v>0.1</v>
      </c>
      <c r="D48" s="388"/>
      <c r="E48" s="259">
        <f ca="1">E50*$C$48</f>
        <v>3712.9865384615391</v>
      </c>
    </row>
    <row r="49" spans="1:8" x14ac:dyDescent="0.25">
      <c r="A49" s="377"/>
      <c r="B49" s="384" t="s">
        <v>124</v>
      </c>
      <c r="C49" s="385">
        <v>0.12</v>
      </c>
      <c r="D49" s="388"/>
      <c r="E49" s="259">
        <f ca="1">E50*$C$49</f>
        <v>4455.5838461538469</v>
      </c>
    </row>
    <row r="50" spans="1:8" ht="16.5" thickBot="1" x14ac:dyDescent="0.3">
      <c r="A50" s="347"/>
      <c r="B50" s="296" t="s">
        <v>51</v>
      </c>
      <c r="C50" s="348"/>
      <c r="D50" s="382"/>
      <c r="E50" s="383">
        <f ca="1">SUM(E47:E49)</f>
        <v>37129.86538461539</v>
      </c>
    </row>
    <row r="51" spans="1:8" ht="24" customHeight="1" x14ac:dyDescent="0.25">
      <c r="A51" s="349"/>
      <c r="B51" s="320" t="s">
        <v>200</v>
      </c>
      <c r="C51" s="350"/>
      <c r="D51" s="329"/>
      <c r="E51" s="330">
        <f ca="1">E50*80%</f>
        <v>29703.892307692313</v>
      </c>
    </row>
    <row r="52" spans="1:8" x14ac:dyDescent="0.25">
      <c r="B52" s="351"/>
      <c r="C52" s="352"/>
      <c r="D52" s="353"/>
    </row>
    <row r="53" spans="1:8" x14ac:dyDescent="0.25">
      <c r="B53" s="351"/>
      <c r="C53" s="352"/>
      <c r="D53" s="353"/>
    </row>
    <row r="54" spans="1:8" x14ac:dyDescent="0.25">
      <c r="B54" s="351"/>
      <c r="C54" s="352"/>
      <c r="D54" s="353"/>
    </row>
    <row r="55" spans="1:8" x14ac:dyDescent="0.25">
      <c r="B55" s="351"/>
      <c r="C55" s="352"/>
      <c r="D55" s="353"/>
    </row>
    <row r="56" spans="1:8" x14ac:dyDescent="0.25">
      <c r="B56" s="351"/>
      <c r="C56" s="352"/>
      <c r="D56" s="353"/>
    </row>
    <row r="57" spans="1:8" x14ac:dyDescent="0.25">
      <c r="D57" s="356"/>
      <c r="H57" s="357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34" t="s">
        <v>52</v>
      </c>
      <c r="B1" s="435"/>
      <c r="C1" s="435"/>
      <c r="D1" s="435"/>
      <c r="E1" s="436"/>
      <c r="F1" s="437"/>
      <c r="G1" s="13"/>
    </row>
    <row r="2" spans="1:14" ht="26.45" customHeight="1" x14ac:dyDescent="0.2">
      <c r="A2" s="16" t="s">
        <v>53</v>
      </c>
      <c r="B2" s="455" t="str">
        <f>'BOM RAMPRAIL_AY30133'!H3</f>
        <v>WELDMENT,RAMPRAIL, PC4100</v>
      </c>
      <c r="C2" s="456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55" t="str">
        <f>'BOM RAMPRAIL_AY30133'!F3</f>
        <v>AY30133</v>
      </c>
      <c r="C3" s="456"/>
      <c r="D3" s="17"/>
      <c r="E3" s="17" t="s">
        <v>56</v>
      </c>
      <c r="F3" s="19">
        <f>'BOM RAMPRAIL_AY30133'!J3</f>
        <v>1</v>
      </c>
      <c r="G3" s="13"/>
    </row>
    <row r="4" spans="1:14" ht="25.5" customHeight="1" thickBot="1" x14ac:dyDescent="0.25">
      <c r="A4" s="16" t="s">
        <v>57</v>
      </c>
      <c r="B4" s="129"/>
      <c r="C4" s="129">
        <f>'BOM RAMPRAIL_AY30133'!M3</f>
        <v>113.7</v>
      </c>
      <c r="D4" s="20"/>
      <c r="E4" s="206"/>
      <c r="F4" s="21"/>
      <c r="G4" s="13"/>
      <c r="I4" s="459" t="s">
        <v>180</v>
      </c>
      <c r="J4" s="460"/>
      <c r="K4" s="460"/>
      <c r="L4" s="460"/>
      <c r="M4" s="460"/>
      <c r="N4" s="461"/>
    </row>
    <row r="5" spans="1:14" ht="21.75" customHeight="1" thickBot="1" x14ac:dyDescent="0.25">
      <c r="A5" s="438" t="s">
        <v>58</v>
      </c>
      <c r="B5" s="439"/>
      <c r="C5" s="439"/>
      <c r="D5" s="439"/>
      <c r="E5" s="440"/>
      <c r="F5" s="441"/>
      <c r="G5" s="22"/>
      <c r="I5" s="181" t="s">
        <v>13</v>
      </c>
      <c r="J5" s="181" t="s">
        <v>45</v>
      </c>
      <c r="K5" s="181" t="s">
        <v>46</v>
      </c>
      <c r="L5" s="181" t="s">
        <v>47</v>
      </c>
      <c r="M5" s="181" t="s">
        <v>179</v>
      </c>
      <c r="N5" s="181" t="s">
        <v>48</v>
      </c>
    </row>
    <row r="6" spans="1:14" ht="28.5" customHeight="1" thickBot="1" x14ac:dyDescent="0.25">
      <c r="A6" s="442" t="s">
        <v>59</v>
      </c>
      <c r="B6" s="443"/>
      <c r="C6" s="443"/>
      <c r="D6" s="443"/>
      <c r="E6" s="444"/>
      <c r="F6" s="445"/>
      <c r="G6" s="22"/>
      <c r="H6" s="23"/>
      <c r="I6" s="182" t="s">
        <v>49</v>
      </c>
      <c r="J6" s="182" t="s">
        <v>165</v>
      </c>
      <c r="K6" s="183" t="s">
        <v>170</v>
      </c>
      <c r="L6" s="182">
        <v>8</v>
      </c>
      <c r="M6" s="184">
        <f>'RM Details'!E4</f>
        <v>158.59461759999999</v>
      </c>
      <c r="N6" s="184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2" t="s">
        <v>49</v>
      </c>
      <c r="J7" s="182" t="s">
        <v>164</v>
      </c>
      <c r="K7" s="183" t="s">
        <v>171</v>
      </c>
      <c r="L7" s="182">
        <v>20</v>
      </c>
      <c r="M7" s="184">
        <f>'RM Details'!E5</f>
        <v>8.6183999999999994</v>
      </c>
      <c r="N7" s="184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7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1"/>
      <c r="D9" s="32">
        <f>M6</f>
        <v>158.59461759999999</v>
      </c>
      <c r="E9" s="208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2"/>
      <c r="D10" s="34">
        <f t="shared" ref="D10:F10" si="0">(D8-D9)*80%</f>
        <v>47.578385279999999</v>
      </c>
      <c r="E10" s="209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3"/>
      <c r="D11" s="39">
        <v>85</v>
      </c>
      <c r="E11" s="210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4"/>
      <c r="D12" s="42">
        <v>30</v>
      </c>
      <c r="E12" s="211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5"/>
      <c r="D13" s="45">
        <f t="shared" ref="D13:F13" si="1">(D8*D11)-(D10*D12)</f>
        <v>17108.394373599996</v>
      </c>
      <c r="E13" s="212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46">
        <f>SUM(B13:F13)</f>
        <v>18585.922852599997</v>
      </c>
      <c r="C14" s="447"/>
      <c r="D14" s="448"/>
      <c r="E14" s="449"/>
      <c r="F14" s="450"/>
      <c r="G14" s="48">
        <f>G13/G8</f>
        <v>81.462748468281944</v>
      </c>
      <c r="H14" s="36"/>
    </row>
    <row r="15" spans="1:14" ht="15" x14ac:dyDescent="0.25">
      <c r="A15" s="451" t="s">
        <v>68</v>
      </c>
      <c r="B15" s="452"/>
      <c r="C15" s="452"/>
      <c r="D15" s="452"/>
      <c r="E15" s="453"/>
      <c r="F15" s="454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3"/>
      <c r="F16" s="52"/>
      <c r="G16" s="22"/>
      <c r="H16" s="36"/>
    </row>
    <row r="17" spans="1:9" ht="20.25" customHeight="1" x14ac:dyDescent="0.2">
      <c r="A17" s="475" t="s">
        <v>70</v>
      </c>
      <c r="B17" s="476"/>
      <c r="C17" s="476"/>
      <c r="D17" s="476"/>
      <c r="E17" s="214"/>
      <c r="F17" s="54">
        <f>SUM(F16:F16)</f>
        <v>0</v>
      </c>
      <c r="G17" s="127"/>
      <c r="I17" s="53"/>
    </row>
    <row r="18" spans="1:9" ht="13.5" thickBot="1" x14ac:dyDescent="0.25">
      <c r="A18" s="473" t="s">
        <v>71</v>
      </c>
      <c r="B18" s="474"/>
      <c r="C18" s="474"/>
      <c r="D18" s="474"/>
      <c r="E18" s="215"/>
      <c r="F18" s="55">
        <f>B14+F17</f>
        <v>18585.922852599997</v>
      </c>
      <c r="G18" s="22"/>
      <c r="I18" s="53"/>
    </row>
    <row r="19" spans="1:9" ht="22.5" customHeight="1" x14ac:dyDescent="0.2">
      <c r="A19" s="462" t="s">
        <v>72</v>
      </c>
      <c r="B19" s="463"/>
      <c r="C19" s="463"/>
      <c r="D19" s="463"/>
      <c r="E19" s="464"/>
      <c r="F19" s="465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RAMPRAIL_AY30133'!W3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RAMPRAIL_AY30133'!AA3/60</f>
        <v>0.2</v>
      </c>
      <c r="C22" s="62"/>
      <c r="D22" s="63">
        <v>550</v>
      </c>
      <c r="E22" s="64"/>
      <c r="F22" s="54">
        <f t="shared" si="2"/>
        <v>110</v>
      </c>
      <c r="G22" s="65"/>
      <c r="H22" s="78">
        <f t="shared" ref="H22:H35" si="3">F22/$G$9</f>
        <v>0.65784351947488562</v>
      </c>
    </row>
    <row r="23" spans="1:9" ht="18" customHeight="1" x14ac:dyDescent="0.2">
      <c r="A23" s="61" t="s">
        <v>77</v>
      </c>
      <c r="B23" s="62">
        <f>'BOM RAMPRAIL_AY30133'!Y3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78</v>
      </c>
      <c r="B24" s="62">
        <f>'BOM RAMPRAIL_AY30133'!AE3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>
        <f>'BOM RAMPRAIL_AY30133'!AH3</f>
        <v>0</v>
      </c>
      <c r="C30" s="63"/>
      <c r="D30" s="63">
        <v>1250</v>
      </c>
      <c r="E30" s="64"/>
      <c r="F30" s="71">
        <f>B30*D30</f>
        <v>0</v>
      </c>
      <c r="G30" s="72" t="s">
        <v>183</v>
      </c>
      <c r="H30" s="78">
        <f t="shared" si="3"/>
        <v>0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>
        <f>SUM(F21:F32)</f>
        <v>3873.1881000421054</v>
      </c>
      <c r="G33" s="22"/>
      <c r="H33" s="78">
        <f t="shared" si="3"/>
        <v>23.163197193817673</v>
      </c>
    </row>
    <row r="34" spans="1:13" ht="22.5" customHeight="1" x14ac:dyDescent="0.2">
      <c r="A34" s="466" t="s">
        <v>86</v>
      </c>
      <c r="B34" s="467"/>
      <c r="C34" s="467"/>
      <c r="D34" s="468"/>
      <c r="E34" s="118"/>
      <c r="F34" s="217">
        <f>F18+F33</f>
        <v>22459.110952642102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9">
        <v>0.1</v>
      </c>
      <c r="F35" s="218">
        <f>F34*E35</f>
        <v>2245.9110952642104</v>
      </c>
      <c r="G35" s="79"/>
      <c r="H35" s="78">
        <f t="shared" si="3"/>
        <v>13.431436903057303</v>
      </c>
    </row>
    <row r="36" spans="1:13" x14ac:dyDescent="0.2">
      <c r="A36" s="119" t="s">
        <v>156</v>
      </c>
      <c r="B36" s="119"/>
      <c r="C36" s="119"/>
      <c r="D36" s="130"/>
      <c r="E36" s="130"/>
      <c r="F36" s="218">
        <f>SUM(F34:F35)</f>
        <v>24705.022047906314</v>
      </c>
      <c r="G36" s="79"/>
      <c r="H36" s="78">
        <f>F36/G9</f>
        <v>147.74580593363032</v>
      </c>
      <c r="I36" s="78">
        <f>F36/G8</f>
        <v>108.28297378359214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69" t="s">
        <v>88</v>
      </c>
      <c r="B40" s="470"/>
      <c r="C40" s="470"/>
      <c r="D40" s="470"/>
      <c r="E40" s="216"/>
      <c r="F40" s="80" t="s">
        <v>89</v>
      </c>
      <c r="G40" s="15" t="s">
        <v>87</v>
      </c>
      <c r="H40" s="53"/>
    </row>
    <row r="41" spans="1:13" x14ac:dyDescent="0.2">
      <c r="A41" s="471" t="s">
        <v>184</v>
      </c>
      <c r="B41" s="472"/>
      <c r="C41" s="472"/>
      <c r="D41" s="472"/>
      <c r="E41" s="166"/>
      <c r="F41" s="81"/>
    </row>
    <row r="42" spans="1:13" ht="13.5" thickBot="1" x14ac:dyDescent="0.25">
      <c r="A42" s="457" t="s">
        <v>90</v>
      </c>
      <c r="B42" s="458"/>
      <c r="C42" s="458"/>
      <c r="D42" s="458"/>
      <c r="E42" s="358"/>
      <c r="F42" s="359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31" t="s">
        <v>215</v>
      </c>
      <c r="B45" s="432"/>
      <c r="C45" s="432"/>
      <c r="D45" s="433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8" t="s">
        <v>154</v>
      </c>
      <c r="B46" s="399" t="s">
        <v>213</v>
      </c>
      <c r="C46" s="399" t="s">
        <v>209</v>
      </c>
      <c r="D46" s="400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4" t="s">
        <v>153</v>
      </c>
      <c r="B47" s="405">
        <f>20*2000*500*0.00000785</f>
        <v>157</v>
      </c>
      <c r="C47" s="406">
        <v>100</v>
      </c>
      <c r="D47" s="407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0" t="s">
        <v>211</v>
      </c>
      <c r="B48" s="116">
        <f>6*1000*1000*0.00000785</f>
        <v>47.099999999999994</v>
      </c>
      <c r="C48" s="117">
        <v>100</v>
      </c>
      <c r="D48" s="389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0" t="s">
        <v>216</v>
      </c>
      <c r="B49" s="116">
        <f>B47+B48</f>
        <v>204.1</v>
      </c>
      <c r="C49" s="117">
        <v>4.5</v>
      </c>
      <c r="D49" s="389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8" t="s">
        <v>217</v>
      </c>
      <c r="B50" s="402"/>
      <c r="C50" s="403"/>
      <c r="D50" s="409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0" t="s">
        <v>212</v>
      </c>
      <c r="B51" s="116">
        <v>2</v>
      </c>
      <c r="C51" s="117">
        <f>75000/30</f>
        <v>2500</v>
      </c>
      <c r="D51" s="389">
        <f>B51*C51</f>
        <v>5000</v>
      </c>
      <c r="E51" s="410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1" t="s">
        <v>155</v>
      </c>
      <c r="B52" s="392"/>
      <c r="C52" s="401">
        <v>0.1</v>
      </c>
      <c r="D52" s="393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6" customFormat="1" ht="16.5" thickBot="1" x14ac:dyDescent="0.25">
      <c r="A53" s="394" t="s">
        <v>214</v>
      </c>
      <c r="B53" s="395"/>
      <c r="C53" s="396"/>
      <c r="D53" s="397">
        <f>SUM(D50:D52)</f>
        <v>28961.295000000002</v>
      </c>
      <c r="E53" s="411"/>
      <c r="F53" s="373"/>
      <c r="G53" s="374"/>
      <c r="H53" s="375"/>
      <c r="I53" s="375"/>
      <c r="J53" s="375"/>
      <c r="K53" s="375"/>
      <c r="L53" s="375"/>
      <c r="M53" s="375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I4:N4"/>
    <mergeCell ref="A19:F19"/>
    <mergeCell ref="A34:D34"/>
    <mergeCell ref="A40:D40"/>
    <mergeCell ref="A41:D41"/>
    <mergeCell ref="A18:D18"/>
    <mergeCell ref="A17:D17"/>
    <mergeCell ref="A45:D45"/>
    <mergeCell ref="A1:F1"/>
    <mergeCell ref="A5:F5"/>
    <mergeCell ref="A6:F6"/>
    <mergeCell ref="B14:F14"/>
    <mergeCell ref="A15:F15"/>
    <mergeCell ref="B2:C2"/>
    <mergeCell ref="B3:C3"/>
    <mergeCell ref="A42:D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20"/>
  <sheetViews>
    <sheetView tabSelected="1" zoomScale="70" zoomScaleNormal="70" workbookViewId="0">
      <selection activeCell="R13" sqref="R13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32.42578125" style="162" bestFit="1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27.85546875" style="163" customWidth="1"/>
    <col min="16" max="16" width="23.42578125" style="168" hidden="1" customWidth="1"/>
    <col min="17" max="17" width="10.85546875" style="161" hidden="1" customWidth="1"/>
    <col min="18" max="18" width="19.28515625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7" t="s">
        <v>0</v>
      </c>
      <c r="B1" s="133"/>
      <c r="C1" s="479" t="s">
        <v>1</v>
      </c>
      <c r="D1" s="480"/>
      <c r="E1" s="480"/>
      <c r="F1" s="481" t="s">
        <v>253</v>
      </c>
      <c r="G1" s="481"/>
      <c r="H1" s="481"/>
      <c r="I1" s="481"/>
      <c r="J1" s="481"/>
      <c r="K1" s="481"/>
      <c r="L1" s="169">
        <v>0.4536</v>
      </c>
      <c r="M1" s="170"/>
      <c r="N1" s="170"/>
      <c r="O1" s="412"/>
      <c r="P1" s="171"/>
      <c r="Q1" s="170"/>
      <c r="R1" s="170">
        <v>25.4</v>
      </c>
      <c r="S1" s="170"/>
      <c r="T1" s="172"/>
      <c r="U1" s="172">
        <v>0.1</v>
      </c>
      <c r="V1" s="173">
        <v>0.15</v>
      </c>
      <c r="W1" s="173"/>
      <c r="X1" s="174"/>
      <c r="Y1" s="173"/>
      <c r="Z1" s="173"/>
      <c r="AA1" s="175"/>
      <c r="AB1" s="175">
        <v>550</v>
      </c>
      <c r="AC1" s="175"/>
      <c r="AD1" s="175"/>
      <c r="AE1" s="173">
        <v>0.2</v>
      </c>
      <c r="AF1" s="176"/>
      <c r="AG1" s="134"/>
      <c r="AH1" s="134"/>
    </row>
    <row r="2" spans="1:34" s="135" customFormat="1" ht="30" customHeight="1" thickBot="1" x14ac:dyDescent="0.3">
      <c r="A2" s="478"/>
      <c r="B2" s="180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236</v>
      </c>
      <c r="G3" s="145" t="s">
        <v>21</v>
      </c>
      <c r="H3" s="146" t="s">
        <v>252</v>
      </c>
      <c r="I3" s="145">
        <f>'Customer Data '!C8</f>
        <v>1</v>
      </c>
      <c r="J3" s="147">
        <f>I3</f>
        <v>1</v>
      </c>
      <c r="K3" s="148">
        <v>7057.6</v>
      </c>
      <c r="L3" s="148">
        <v>113.7</v>
      </c>
      <c r="M3" s="148">
        <f>L3*J3</f>
        <v>113.7</v>
      </c>
      <c r="N3" s="164" t="s">
        <v>250</v>
      </c>
      <c r="O3" s="151"/>
      <c r="P3" s="167"/>
      <c r="Q3" s="149"/>
      <c r="R3" s="145"/>
      <c r="S3" s="145"/>
      <c r="T3" s="148"/>
      <c r="U3" s="148">
        <f>SUM(U4:U10)</f>
        <v>0</v>
      </c>
      <c r="V3" s="150"/>
      <c r="W3" s="148">
        <f>SUMPRODUCT(W4:W10,$J$4:$J$10)</f>
        <v>0</v>
      </c>
      <c r="X3" s="148">
        <f>SUM(X4:X10)</f>
        <v>0</v>
      </c>
      <c r="Y3" s="148">
        <f>SUMPRODUCT(Y4:Y10,$J$4:$J$10)</f>
        <v>0</v>
      </c>
      <c r="Z3" s="148"/>
      <c r="AA3" s="148">
        <f>SUMPRODUCT(AA4:AA10,$J$4:$J$10)</f>
        <v>12</v>
      </c>
      <c r="AB3" s="148">
        <f>SUM(AB4:AB10)</f>
        <v>109.99999999999999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>
        <f>SUM(AH4:AH10)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/>
      <c r="G4" s="153"/>
      <c r="H4" s="154" t="s">
        <v>254</v>
      </c>
      <c r="I4" s="153">
        <v>1</v>
      </c>
      <c r="J4" s="155">
        <f>I4*$J$3</f>
        <v>1</v>
      </c>
      <c r="K4" s="155"/>
      <c r="L4" s="156">
        <f>7.07*T4/1000</f>
        <v>86.162089999999992</v>
      </c>
      <c r="M4" s="156">
        <f t="shared" ref="M4:M11" si="0">L4*J4</f>
        <v>86.162089999999992</v>
      </c>
      <c r="N4" s="157" t="s">
        <v>263</v>
      </c>
      <c r="O4" s="159" t="s">
        <v>262</v>
      </c>
      <c r="P4" s="153"/>
      <c r="Q4" s="158"/>
      <c r="R4" s="153" t="s">
        <v>264</v>
      </c>
      <c r="S4" s="153"/>
      <c r="T4" s="415">
        <v>12187</v>
      </c>
      <c r="U4" s="156"/>
      <c r="V4" s="156"/>
      <c r="W4" s="156"/>
      <c r="X4" s="156"/>
      <c r="Y4" s="156"/>
      <c r="Z4" s="156"/>
      <c r="AA4" s="156">
        <v>2</v>
      </c>
      <c r="AB4" s="156">
        <f>AA4*$AB$1/60*J4</f>
        <v>18.333333333333332</v>
      </c>
      <c r="AC4" s="156"/>
      <c r="AD4" s="156"/>
      <c r="AE4" s="156"/>
      <c r="AF4" s="156"/>
      <c r="AG4" s="159"/>
      <c r="AH4" s="156"/>
    </row>
    <row r="5" spans="1:34" s="160" customFormat="1" ht="26.25" customHeight="1" x14ac:dyDescent="0.25">
      <c r="A5" s="153">
        <v>3</v>
      </c>
      <c r="B5" s="153"/>
      <c r="C5" s="153"/>
      <c r="D5" s="153">
        <v>1.2</v>
      </c>
      <c r="E5" s="153"/>
      <c r="F5" s="153"/>
      <c r="G5" s="153"/>
      <c r="H5" s="154" t="s">
        <v>255</v>
      </c>
      <c r="I5" s="153">
        <v>2</v>
      </c>
      <c r="J5" s="155">
        <f t="shared" ref="J5:J11" si="1">I5*$J$3</f>
        <v>2</v>
      </c>
      <c r="K5" s="155"/>
      <c r="L5" s="156">
        <f t="shared" ref="L5:L11" si="2">7.07*T5/1000</f>
        <v>1.5483300000000002</v>
      </c>
      <c r="M5" s="156">
        <f t="shared" si="0"/>
        <v>3.0966600000000004</v>
      </c>
      <c r="N5" s="157" t="s">
        <v>263</v>
      </c>
      <c r="O5" s="159" t="s">
        <v>262</v>
      </c>
      <c r="P5" s="153"/>
      <c r="Q5" s="158"/>
      <c r="R5" s="153" t="s">
        <v>264</v>
      </c>
      <c r="S5" s="153"/>
      <c r="T5" s="415">
        <v>219</v>
      </c>
      <c r="U5" s="156"/>
      <c r="V5" s="156"/>
      <c r="W5" s="156"/>
      <c r="X5" s="156"/>
      <c r="Y5" s="156"/>
      <c r="Z5" s="156"/>
      <c r="AA5" s="156">
        <v>2</v>
      </c>
      <c r="AB5" s="156">
        <f t="shared" ref="AB5:AB11" si="3">AA5*$AB$1/60*J5</f>
        <v>36.666666666666664</v>
      </c>
      <c r="AC5" s="156"/>
      <c r="AD5" s="156"/>
      <c r="AE5" s="156"/>
      <c r="AF5" s="156"/>
      <c r="AG5" s="159"/>
      <c r="AH5" s="156"/>
    </row>
    <row r="6" spans="1:34" s="160" customFormat="1" ht="26.25" customHeight="1" x14ac:dyDescent="0.25">
      <c r="A6" s="153">
        <v>4</v>
      </c>
      <c r="B6" s="153"/>
      <c r="C6" s="153"/>
      <c r="D6" s="153">
        <v>1.3</v>
      </c>
      <c r="E6" s="153"/>
      <c r="F6" s="153"/>
      <c r="G6" s="153"/>
      <c r="H6" s="154" t="s">
        <v>256</v>
      </c>
      <c r="I6" s="153">
        <v>2</v>
      </c>
      <c r="J6" s="155">
        <f t="shared" si="1"/>
        <v>2</v>
      </c>
      <c r="K6" s="155"/>
      <c r="L6" s="156">
        <f t="shared" si="2"/>
        <v>0.61509000000000003</v>
      </c>
      <c r="M6" s="156">
        <f t="shared" si="0"/>
        <v>1.2301800000000001</v>
      </c>
      <c r="N6" s="157" t="s">
        <v>263</v>
      </c>
      <c r="O6" s="159" t="s">
        <v>262</v>
      </c>
      <c r="P6" s="153"/>
      <c r="Q6" s="158"/>
      <c r="R6" s="153" t="s">
        <v>264</v>
      </c>
      <c r="S6" s="153"/>
      <c r="T6" s="415">
        <v>87</v>
      </c>
      <c r="U6" s="156"/>
      <c r="V6" s="156"/>
      <c r="W6" s="156"/>
      <c r="X6" s="156"/>
      <c r="Y6" s="156"/>
      <c r="Z6" s="156"/>
      <c r="AA6" s="156">
        <v>2</v>
      </c>
      <c r="AB6" s="156">
        <f t="shared" si="3"/>
        <v>36.666666666666664</v>
      </c>
      <c r="AC6" s="156"/>
      <c r="AD6" s="156"/>
      <c r="AE6" s="156"/>
      <c r="AF6" s="156"/>
      <c r="AG6" s="159"/>
      <c r="AH6" s="156"/>
    </row>
    <row r="7" spans="1:34" s="160" customFormat="1" ht="26.25" customHeight="1" x14ac:dyDescent="0.25">
      <c r="A7" s="153">
        <v>5</v>
      </c>
      <c r="B7" s="153"/>
      <c r="C7" s="153"/>
      <c r="D7" s="153">
        <v>1.4</v>
      </c>
      <c r="E7" s="153"/>
      <c r="F7" s="153"/>
      <c r="G7" s="153"/>
      <c r="H7" s="154" t="s">
        <v>257</v>
      </c>
      <c r="I7" s="153">
        <v>17</v>
      </c>
      <c r="J7" s="155">
        <f t="shared" si="1"/>
        <v>17</v>
      </c>
      <c r="K7" s="155"/>
      <c r="L7" s="156">
        <f t="shared" si="2"/>
        <v>1.3503700000000001</v>
      </c>
      <c r="M7" s="156">
        <f t="shared" si="0"/>
        <v>22.956290000000003</v>
      </c>
      <c r="N7" s="157" t="s">
        <v>263</v>
      </c>
      <c r="O7" s="159" t="s">
        <v>262</v>
      </c>
      <c r="P7" s="153"/>
      <c r="Q7" s="158"/>
      <c r="R7" s="153" t="s">
        <v>264</v>
      </c>
      <c r="S7" s="153"/>
      <c r="T7" s="415">
        <v>191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s="160" customFormat="1" ht="26.25" customHeight="1" x14ac:dyDescent="0.25">
      <c r="A8" s="153">
        <v>6</v>
      </c>
      <c r="B8" s="153"/>
      <c r="C8" s="153"/>
      <c r="D8" s="153">
        <v>1.5</v>
      </c>
      <c r="E8" s="153"/>
      <c r="F8" s="153"/>
      <c r="G8" s="153"/>
      <c r="H8" s="154" t="s">
        <v>258</v>
      </c>
      <c r="I8" s="153">
        <v>2</v>
      </c>
      <c r="J8" s="155">
        <f t="shared" si="1"/>
        <v>2</v>
      </c>
      <c r="K8" s="155"/>
      <c r="L8" s="156">
        <f t="shared" si="2"/>
        <v>2.8067899999999999</v>
      </c>
      <c r="M8" s="156">
        <f t="shared" si="0"/>
        <v>5.6135799999999998</v>
      </c>
      <c r="N8" s="157" t="s">
        <v>263</v>
      </c>
      <c r="O8" s="159" t="s">
        <v>262</v>
      </c>
      <c r="P8" s="153"/>
      <c r="Q8" s="158"/>
      <c r="R8" s="153" t="s">
        <v>264</v>
      </c>
      <c r="S8" s="153"/>
      <c r="T8" s="415">
        <v>397</v>
      </c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9"/>
      <c r="AH8" s="156"/>
    </row>
    <row r="9" spans="1:34" s="160" customFormat="1" ht="26.25" customHeight="1" x14ac:dyDescent="0.25">
      <c r="A9" s="153">
        <v>7</v>
      </c>
      <c r="B9" s="153"/>
      <c r="C9" s="153"/>
      <c r="D9" s="153">
        <v>1.6</v>
      </c>
      <c r="E9" s="153"/>
      <c r="F9" s="153"/>
      <c r="G9" s="153"/>
      <c r="H9" s="154" t="s">
        <v>259</v>
      </c>
      <c r="I9" s="153">
        <v>1</v>
      </c>
      <c r="J9" s="155">
        <f t="shared" si="1"/>
        <v>1</v>
      </c>
      <c r="K9" s="155"/>
      <c r="L9" s="156">
        <f t="shared" si="2"/>
        <v>2.8987000000000003</v>
      </c>
      <c r="M9" s="156">
        <f t="shared" si="0"/>
        <v>2.8987000000000003</v>
      </c>
      <c r="N9" s="157" t="s">
        <v>263</v>
      </c>
      <c r="O9" s="159" t="s">
        <v>262</v>
      </c>
      <c r="P9" s="153"/>
      <c r="Q9" s="158"/>
      <c r="R9" s="153" t="s">
        <v>264</v>
      </c>
      <c r="S9" s="153"/>
      <c r="T9" s="415">
        <v>410</v>
      </c>
      <c r="U9" s="156"/>
      <c r="V9" s="156"/>
      <c r="W9" s="156"/>
      <c r="X9" s="156"/>
      <c r="Y9" s="156"/>
      <c r="Z9" s="156"/>
      <c r="AA9" s="156">
        <v>2</v>
      </c>
      <c r="AB9" s="156">
        <f t="shared" si="3"/>
        <v>18.333333333333332</v>
      </c>
      <c r="AC9" s="156"/>
      <c r="AD9" s="156"/>
      <c r="AE9" s="156"/>
      <c r="AF9" s="156"/>
      <c r="AG9" s="159"/>
      <c r="AH9" s="156"/>
    </row>
    <row r="10" spans="1:34" s="160" customFormat="1" ht="26.25" customHeight="1" x14ac:dyDescent="0.25">
      <c r="A10" s="153">
        <v>8</v>
      </c>
      <c r="B10" s="153"/>
      <c r="C10" s="153"/>
      <c r="D10" s="153">
        <v>1.7</v>
      </c>
      <c r="E10" s="153"/>
      <c r="F10" s="153"/>
      <c r="G10" s="153"/>
      <c r="H10" s="154" t="s">
        <v>260</v>
      </c>
      <c r="I10" s="153">
        <v>1</v>
      </c>
      <c r="J10" s="155">
        <f t="shared" si="1"/>
        <v>1</v>
      </c>
      <c r="K10" s="155"/>
      <c r="L10" s="156">
        <f t="shared" si="2"/>
        <v>0.36057</v>
      </c>
      <c r="M10" s="156">
        <f t="shared" si="0"/>
        <v>0.36057</v>
      </c>
      <c r="N10" s="157" t="s">
        <v>263</v>
      </c>
      <c r="O10" s="159" t="s">
        <v>262</v>
      </c>
      <c r="P10" s="153"/>
      <c r="Q10" s="158"/>
      <c r="R10" s="153" t="s">
        <v>264</v>
      </c>
      <c r="S10" s="153"/>
      <c r="T10" s="415">
        <v>51</v>
      </c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9"/>
      <c r="AH10" s="156"/>
    </row>
    <row r="11" spans="1:34" s="160" customFormat="1" ht="26.25" customHeight="1" x14ac:dyDescent="0.25">
      <c r="A11" s="153">
        <v>9</v>
      </c>
      <c r="B11" s="153"/>
      <c r="C11" s="153"/>
      <c r="D11" s="153">
        <v>1.8</v>
      </c>
      <c r="E11" s="153"/>
      <c r="F11" s="153"/>
      <c r="G11" s="153"/>
      <c r="H11" s="154" t="s">
        <v>261</v>
      </c>
      <c r="I11" s="153">
        <v>1</v>
      </c>
      <c r="J11" s="155">
        <f t="shared" si="1"/>
        <v>1</v>
      </c>
      <c r="K11" s="155"/>
      <c r="L11" s="156">
        <f t="shared" si="2"/>
        <v>2.2553299999999998</v>
      </c>
      <c r="M11" s="156">
        <f t="shared" si="0"/>
        <v>2.2553299999999998</v>
      </c>
      <c r="N11" s="157" t="s">
        <v>263</v>
      </c>
      <c r="O11" s="159" t="s">
        <v>262</v>
      </c>
      <c r="P11" s="153"/>
      <c r="Q11" s="158"/>
      <c r="R11" s="153" t="s">
        <v>264</v>
      </c>
      <c r="S11" s="153"/>
      <c r="T11" s="415">
        <v>319</v>
      </c>
      <c r="U11" s="156"/>
      <c r="V11" s="156"/>
      <c r="W11" s="156"/>
      <c r="X11" s="156"/>
      <c r="Y11" s="156"/>
      <c r="Z11" s="156"/>
      <c r="AA11" s="156">
        <v>2</v>
      </c>
      <c r="AB11" s="156">
        <f t="shared" si="3"/>
        <v>18.333333333333332</v>
      </c>
      <c r="AC11" s="156"/>
      <c r="AD11" s="156"/>
      <c r="AE11" s="156"/>
      <c r="AF11" s="156"/>
      <c r="AG11" s="159"/>
      <c r="AH11" s="156"/>
    </row>
    <row r="12" spans="1:34" s="416" customFormat="1" x14ac:dyDescent="0.25">
      <c r="H12" s="419"/>
      <c r="O12" s="417"/>
      <c r="P12" s="418"/>
      <c r="AG12" s="417"/>
      <c r="AH12" s="417"/>
    </row>
    <row r="13" spans="1:34" s="416" customFormat="1" x14ac:dyDescent="0.25">
      <c r="H13" s="419"/>
      <c r="O13" s="417"/>
      <c r="P13" s="418"/>
      <c r="AG13" s="417"/>
      <c r="AH13" s="417"/>
    </row>
    <row r="14" spans="1:34" s="416" customFormat="1" x14ac:dyDescent="0.25">
      <c r="H14" s="419"/>
      <c r="O14" s="417"/>
      <c r="P14" s="418"/>
      <c r="AG14" s="417"/>
      <c r="AH14" s="417"/>
    </row>
    <row r="15" spans="1:34" s="416" customFormat="1" x14ac:dyDescent="0.25">
      <c r="H15" s="419"/>
      <c r="AG15" s="417"/>
      <c r="AH15" s="417"/>
    </row>
    <row r="16" spans="1:34" s="416" customFormat="1" x14ac:dyDescent="0.25">
      <c r="H16" s="419"/>
      <c r="AG16" s="417"/>
      <c r="AH16" s="417"/>
    </row>
    <row r="17" spans="8:34" s="416" customFormat="1" x14ac:dyDescent="0.25">
      <c r="H17" s="419"/>
      <c r="P17" s="418"/>
      <c r="AG17" s="417"/>
      <c r="AH17" s="417"/>
    </row>
    <row r="18" spans="8:34" s="416" customFormat="1" x14ac:dyDescent="0.25">
      <c r="H18" s="419"/>
      <c r="AG18" s="417"/>
      <c r="AH18" s="417"/>
    </row>
    <row r="19" spans="8:34" s="416" customFormat="1" x14ac:dyDescent="0.25">
      <c r="H19" s="419"/>
      <c r="AG19" s="417"/>
      <c r="AH19" s="417"/>
    </row>
    <row r="20" spans="8:34" s="416" customFormat="1" x14ac:dyDescent="0.25">
      <c r="H20" s="419"/>
      <c r="O20" s="417"/>
      <c r="P20" s="418"/>
      <c r="AG20" s="417"/>
      <c r="AH20" s="417"/>
    </row>
  </sheetData>
  <autoFilter ref="A2:AK10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 U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5" bestFit="1" customWidth="1"/>
    <col min="2" max="2" width="17" style="185" bestFit="1" customWidth="1"/>
    <col min="3" max="3" width="23.42578125" style="185" customWidth="1"/>
    <col min="4" max="4" width="19.28515625" style="185" bestFit="1" customWidth="1"/>
    <col min="5" max="5" width="19.28515625" style="185" customWidth="1"/>
    <col min="6" max="6" width="17.28515625" style="185" bestFit="1" customWidth="1"/>
    <col min="7" max="7" width="12.140625" style="185" customWidth="1"/>
    <col min="8" max="8" width="15" style="185" bestFit="1" customWidth="1"/>
    <col min="9" max="9" width="21.5703125" style="185" bestFit="1" customWidth="1"/>
    <col min="10" max="10" width="17.5703125" style="185" bestFit="1" customWidth="1"/>
    <col min="11" max="11" width="21.5703125" style="185" bestFit="1" customWidth="1"/>
    <col min="12" max="12" width="17.5703125" style="185" bestFit="1" customWidth="1"/>
    <col min="13" max="13" width="21.5703125" style="185" bestFit="1" customWidth="1"/>
    <col min="14" max="14" width="17.5703125" style="185" bestFit="1" customWidth="1"/>
    <col min="15" max="15" width="19.5703125" style="185" bestFit="1" customWidth="1"/>
    <col min="16" max="16" width="19.28515625" style="185" customWidth="1"/>
    <col min="17" max="17" width="12.85546875" style="185" bestFit="1" customWidth="1"/>
    <col min="18" max="18" width="9.7109375" style="185" bestFit="1" customWidth="1"/>
    <col min="19" max="19" width="10.5703125" style="185" bestFit="1" customWidth="1"/>
    <col min="20" max="20" width="14.42578125" style="185" bestFit="1" customWidth="1"/>
    <col min="21" max="16384" width="9.140625" style="185"/>
  </cols>
  <sheetData>
    <row r="1" spans="1:14" ht="16.5" thickBot="1" x14ac:dyDescent="0.3">
      <c r="H1" s="186" t="s">
        <v>166</v>
      </c>
      <c r="I1" s="187" t="s">
        <v>159</v>
      </c>
    </row>
    <row r="2" spans="1:14" ht="28.5" customHeight="1" thickBot="1" x14ac:dyDescent="0.3">
      <c r="A2" s="482" t="s">
        <v>180</v>
      </c>
      <c r="B2" s="483"/>
      <c r="C2" s="483"/>
      <c r="D2" s="483"/>
      <c r="E2" s="188" t="str">
        <f>I1</f>
        <v>DT34962</v>
      </c>
      <c r="F2" s="189"/>
    </row>
    <row r="3" spans="1:14" s="193" customFormat="1" x14ac:dyDescent="0.25">
      <c r="A3" s="181" t="s">
        <v>13</v>
      </c>
      <c r="B3" s="181" t="s">
        <v>45</v>
      </c>
      <c r="C3" s="181" t="s">
        <v>46</v>
      </c>
      <c r="D3" s="181" t="s">
        <v>47</v>
      </c>
      <c r="E3" s="181" t="s">
        <v>179</v>
      </c>
      <c r="F3" s="181" t="s">
        <v>48</v>
      </c>
      <c r="G3" s="190"/>
      <c r="H3" s="191"/>
      <c r="I3" s="192" t="s">
        <v>175</v>
      </c>
      <c r="J3" s="191"/>
      <c r="K3" s="191"/>
      <c r="L3" s="191"/>
      <c r="M3" s="191"/>
      <c r="N3" s="191"/>
    </row>
    <row r="4" spans="1:14" s="193" customFormat="1" ht="47.25" x14ac:dyDescent="0.25">
      <c r="A4" s="182" t="s">
        <v>49</v>
      </c>
      <c r="B4" s="182" t="s">
        <v>165</v>
      </c>
      <c r="C4" s="183" t="s">
        <v>170</v>
      </c>
      <c r="D4" s="182">
        <v>8</v>
      </c>
      <c r="E4" s="184">
        <f>GETPIVOTDATA("Sum of Total Weight 
(Kg)",$H$3,"Alt. Material","IS 2062 
E250 A/BO/BR","IS Thk
(mm)",8)</f>
        <v>158.59461759999999</v>
      </c>
      <c r="F4" s="184">
        <f>GETPIVOTDATA("Sum of Gross Wt 
(kg)",$H$3,"Alt. Material","IS 2062 
E250 A/BO/BR","IS Thk
(mm)",8)</f>
        <v>218.06759919999999</v>
      </c>
      <c r="G4" s="190"/>
      <c r="H4" s="191"/>
      <c r="I4" s="191" t="s">
        <v>171</v>
      </c>
      <c r="J4" s="191"/>
      <c r="K4" s="191" t="s">
        <v>170</v>
      </c>
      <c r="L4" s="191"/>
      <c r="M4" s="191" t="s">
        <v>176</v>
      </c>
      <c r="N4" s="191" t="s">
        <v>177</v>
      </c>
    </row>
    <row r="5" spans="1:14" s="193" customFormat="1" ht="31.5" x14ac:dyDescent="0.25">
      <c r="A5" s="182" t="s">
        <v>49</v>
      </c>
      <c r="B5" s="182" t="s">
        <v>164</v>
      </c>
      <c r="C5" s="183" t="s">
        <v>171</v>
      </c>
      <c r="D5" s="182">
        <v>20</v>
      </c>
      <c r="E5" s="184">
        <f>GETPIVOTDATA("Sum of Total Weight 
(Kg)",$H$3,"Alt. Material","ASTM A514","IS Thk
(mm)",20)</f>
        <v>8.6183999999999994</v>
      </c>
      <c r="F5" s="184">
        <f>GETPIVOTDATA("Sum of Gross Wt 
(kg)",$H$3,"Alt. Material","ASTM A514","IS Thk
(mm)",20)</f>
        <v>10.084816499999999</v>
      </c>
      <c r="G5" s="190"/>
      <c r="H5" s="192" t="s">
        <v>42</v>
      </c>
      <c r="I5" s="191" t="s">
        <v>178</v>
      </c>
      <c r="J5" s="191" t="s">
        <v>44</v>
      </c>
      <c r="K5" s="191" t="s">
        <v>178</v>
      </c>
      <c r="L5" s="191" t="s">
        <v>44</v>
      </c>
      <c r="M5" s="191"/>
      <c r="N5" s="191"/>
    </row>
    <row r="6" spans="1:14" s="193" customFormat="1" x14ac:dyDescent="0.25">
      <c r="A6" s="185"/>
      <c r="B6" s="185"/>
      <c r="C6" s="185"/>
      <c r="D6" s="185"/>
      <c r="E6" s="185"/>
      <c r="F6" s="185"/>
      <c r="G6" s="194"/>
      <c r="H6" s="195">
        <v>8</v>
      </c>
      <c r="I6" s="196"/>
      <c r="J6" s="196"/>
      <c r="K6" s="196">
        <v>158.59461759999999</v>
      </c>
      <c r="L6" s="196">
        <v>218.06759919999999</v>
      </c>
      <c r="M6" s="196">
        <v>158.59461759999999</v>
      </c>
      <c r="N6" s="196">
        <v>218.06759919999999</v>
      </c>
    </row>
    <row r="7" spans="1:14" x14ac:dyDescent="0.25">
      <c r="G7" s="194"/>
      <c r="H7" s="195">
        <v>20</v>
      </c>
      <c r="I7" s="196">
        <v>8.6183999999999994</v>
      </c>
      <c r="J7" s="196">
        <v>10.084816499999999</v>
      </c>
      <c r="K7" s="196"/>
      <c r="L7" s="196"/>
      <c r="M7" s="196">
        <v>8.6183999999999994</v>
      </c>
      <c r="N7" s="196">
        <v>10.084816499999999</v>
      </c>
    </row>
    <row r="8" spans="1:14" x14ac:dyDescent="0.25">
      <c r="G8" s="197"/>
      <c r="H8" s="195" t="s">
        <v>43</v>
      </c>
      <c r="I8" s="198">
        <v>8.6183999999999994</v>
      </c>
      <c r="J8" s="198">
        <v>10.084816499999999</v>
      </c>
      <c r="K8" s="198">
        <v>158.59461759999999</v>
      </c>
      <c r="L8" s="198">
        <v>218.06759919999999</v>
      </c>
      <c r="M8" s="198">
        <v>167.2130176</v>
      </c>
      <c r="N8" s="198">
        <v>228.15241569999998</v>
      </c>
    </row>
    <row r="10" spans="1:14" ht="16.5" thickBot="1" x14ac:dyDescent="0.3"/>
    <row r="11" spans="1:14" ht="24.75" customHeight="1" thickBot="1" x14ac:dyDescent="0.3">
      <c r="A11" s="482" t="s">
        <v>180</v>
      </c>
      <c r="B11" s="483"/>
      <c r="C11" s="483"/>
      <c r="D11" s="483"/>
      <c r="E11" s="188" t="str">
        <f>I11</f>
        <v>DT34961</v>
      </c>
      <c r="F11" s="189"/>
      <c r="H11" s="186" t="s">
        <v>166</v>
      </c>
      <c r="I11" s="187" t="s">
        <v>160</v>
      </c>
    </row>
    <row r="12" spans="1:14" x14ac:dyDescent="0.25">
      <c r="A12" s="181" t="s">
        <v>13</v>
      </c>
      <c r="B12" s="181" t="s">
        <v>45</v>
      </c>
      <c r="C12" s="181" t="s">
        <v>46</v>
      </c>
      <c r="D12" s="181" t="s">
        <v>47</v>
      </c>
      <c r="E12" s="181" t="s">
        <v>179</v>
      </c>
      <c r="F12" s="181" t="s">
        <v>48</v>
      </c>
    </row>
    <row r="13" spans="1:14" ht="31.5" x14ac:dyDescent="0.25">
      <c r="A13" s="182" t="s">
        <v>49</v>
      </c>
      <c r="B13" s="182" t="s">
        <v>165</v>
      </c>
      <c r="C13" s="183" t="s">
        <v>170</v>
      </c>
      <c r="D13" s="182">
        <v>8</v>
      </c>
      <c r="E13" s="184">
        <f>GETPIVOTDATA("Sum of Total Weight 
(Kg)",$H$13,"IS Thk
(mm)",8)</f>
        <v>177.39731439999997</v>
      </c>
      <c r="F13" s="184">
        <f>GETPIVOTDATA("Sum of Gross Wt 
(kg)",$H$13,"IS Thk
(mm)",8)</f>
        <v>243.92130729999997</v>
      </c>
      <c r="H13" s="191"/>
      <c r="I13" s="192" t="s">
        <v>175</v>
      </c>
      <c r="J13" s="191"/>
      <c r="K13" s="191"/>
      <c r="L13" s="191"/>
      <c r="M13" s="191"/>
      <c r="N13" s="191"/>
    </row>
    <row r="14" spans="1:14" ht="47.25" x14ac:dyDescent="0.25">
      <c r="A14" s="182" t="s">
        <v>49</v>
      </c>
      <c r="B14" s="182" t="s">
        <v>164</v>
      </c>
      <c r="C14" s="183" t="s">
        <v>171</v>
      </c>
      <c r="D14" s="182">
        <v>20</v>
      </c>
      <c r="E14" s="184">
        <f>GETPIVOTDATA("Sum of Total Weight 
(Kg)",$H$13,"Alt. Material","ASTM A514","IS Thk
(mm)",20)</f>
        <v>8.6183999999999994</v>
      </c>
      <c r="F14" s="184">
        <f>GETPIVOTDATA("Sum of Gross Wt 
(kg)",$H$13,"Alt. Material","ASTM A514","IS Thk
(mm)",20)</f>
        <v>10.084816499999999</v>
      </c>
      <c r="H14" s="191"/>
      <c r="I14" s="191" t="s">
        <v>171</v>
      </c>
      <c r="J14" s="191"/>
      <c r="K14" s="191" t="s">
        <v>170</v>
      </c>
      <c r="L14" s="191"/>
      <c r="M14" s="191" t="s">
        <v>176</v>
      </c>
      <c r="N14" s="191" t="s">
        <v>177</v>
      </c>
    </row>
    <row r="15" spans="1:14" ht="31.5" x14ac:dyDescent="0.25">
      <c r="H15" s="192" t="s">
        <v>42</v>
      </c>
      <c r="I15" s="191" t="s">
        <v>178</v>
      </c>
      <c r="J15" s="191" t="s">
        <v>44</v>
      </c>
      <c r="K15" s="191" t="s">
        <v>178</v>
      </c>
      <c r="L15" s="191" t="s">
        <v>44</v>
      </c>
      <c r="M15" s="191"/>
      <c r="N15" s="191"/>
    </row>
    <row r="16" spans="1:14" x14ac:dyDescent="0.25">
      <c r="H16" s="195">
        <v>8</v>
      </c>
      <c r="I16" s="196"/>
      <c r="J16" s="196"/>
      <c r="K16" s="196">
        <v>177.39731439999997</v>
      </c>
      <c r="L16" s="196">
        <v>243.92130729999997</v>
      </c>
      <c r="M16" s="196">
        <v>177.39731439999997</v>
      </c>
      <c r="N16" s="196">
        <v>243.92130729999997</v>
      </c>
    </row>
    <row r="17" spans="1:14" x14ac:dyDescent="0.25">
      <c r="H17" s="195">
        <v>20</v>
      </c>
      <c r="I17" s="196">
        <v>8.6183999999999994</v>
      </c>
      <c r="J17" s="196">
        <v>10.084816499999999</v>
      </c>
      <c r="K17" s="196"/>
      <c r="L17" s="196"/>
      <c r="M17" s="196">
        <v>8.6183999999999994</v>
      </c>
      <c r="N17" s="196">
        <v>10.084816499999999</v>
      </c>
    </row>
    <row r="18" spans="1:14" x14ac:dyDescent="0.25">
      <c r="H18" s="195" t="s">
        <v>43</v>
      </c>
      <c r="I18" s="198">
        <v>8.6183999999999994</v>
      </c>
      <c r="J18" s="198">
        <v>10.084816499999999</v>
      </c>
      <c r="K18" s="198">
        <v>177.39731439999997</v>
      </c>
      <c r="L18" s="198">
        <v>243.92130729999997</v>
      </c>
      <c r="M18" s="198">
        <v>186.01571439999998</v>
      </c>
      <c r="N18" s="198">
        <v>254.00612379999995</v>
      </c>
    </row>
    <row r="20" spans="1:14" ht="16.5" thickBot="1" x14ac:dyDescent="0.3"/>
    <row r="21" spans="1:14" ht="28.5" customHeight="1" thickBot="1" x14ac:dyDescent="0.3">
      <c r="A21" s="482" t="s">
        <v>180</v>
      </c>
      <c r="B21" s="483"/>
      <c r="C21" s="483"/>
      <c r="D21" s="484"/>
      <c r="E21" s="188" t="str">
        <f>I21</f>
        <v>DT14062</v>
      </c>
      <c r="F21" s="189"/>
      <c r="H21" s="186" t="s">
        <v>166</v>
      </c>
      <c r="I21" s="187" t="s">
        <v>161</v>
      </c>
    </row>
    <row r="22" spans="1:14" ht="31.5" customHeight="1" x14ac:dyDescent="0.25">
      <c r="A22" s="181" t="s">
        <v>13</v>
      </c>
      <c r="B22" s="181" t="s">
        <v>45</v>
      </c>
      <c r="C22" s="181" t="s">
        <v>46</v>
      </c>
      <c r="D22" s="181" t="s">
        <v>47</v>
      </c>
      <c r="E22" s="181" t="s">
        <v>179</v>
      </c>
      <c r="F22" s="181" t="s">
        <v>48</v>
      </c>
    </row>
    <row r="23" spans="1:14" ht="23.25" customHeight="1" x14ac:dyDescent="0.25">
      <c r="A23" s="182" t="s">
        <v>49</v>
      </c>
      <c r="B23" s="182" t="s">
        <v>165</v>
      </c>
      <c r="C23" s="183" t="s">
        <v>170</v>
      </c>
      <c r="D23" s="182">
        <v>6</v>
      </c>
      <c r="E23" s="184">
        <f>GETPIVOTDATA("Sum of Total Weight 
(Kg)",$H$23,"Alt. Material","IS 2062 
E250 A/BO/BR","IS Thk
(mm)",6)</f>
        <v>1.0099502279999997</v>
      </c>
      <c r="F23" s="184">
        <f>GETPIVOTDATA("Sum of Gross Wt 
(kg)",$H$23,"Alt. Material","IS 2062 
E250 A/BO/BR","IS Thk
(mm)",6)</f>
        <v>1.5870646439999996</v>
      </c>
      <c r="H23" s="191"/>
      <c r="I23" s="192" t="s">
        <v>175</v>
      </c>
      <c r="J23" s="191"/>
      <c r="K23" s="191"/>
      <c r="L23" s="191"/>
      <c r="M23" s="191"/>
      <c r="N23" s="191"/>
    </row>
    <row r="24" spans="1:14" ht="47.25" x14ac:dyDescent="0.25">
      <c r="A24" s="182" t="s">
        <v>49</v>
      </c>
      <c r="B24" s="182" t="s">
        <v>165</v>
      </c>
      <c r="C24" s="183" t="s">
        <v>170</v>
      </c>
      <c r="D24" s="182">
        <v>20</v>
      </c>
      <c r="E24" s="184">
        <f>GETPIVOTDATA("Sum of Total Weight 
(Kg)",$H$23,"Alt. Material","IS 2062 
E250 A/BO/BR","IS Thk
(mm)",20)</f>
        <v>179.33083727999997</v>
      </c>
      <c r="F24" s="184">
        <f>GETPIVOTDATA("Sum of Gross Wt 
(kg)",$H$23,"Alt. Material","IS 2062 
E250 A/BO/BR","IS Thk
(mm)",20)</f>
        <v>253.90305644</v>
      </c>
      <c r="H24" s="191"/>
      <c r="I24" s="191" t="s">
        <v>174</v>
      </c>
      <c r="J24" s="191"/>
      <c r="K24" s="191" t="s">
        <v>170</v>
      </c>
      <c r="L24" s="191"/>
      <c r="M24" s="191" t="s">
        <v>176</v>
      </c>
      <c r="N24" s="191" t="s">
        <v>177</v>
      </c>
    </row>
    <row r="25" spans="1:14" ht="31.5" x14ac:dyDescent="0.25">
      <c r="A25" s="182" t="s">
        <v>50</v>
      </c>
      <c r="B25" s="182" t="s">
        <v>167</v>
      </c>
      <c r="C25" s="183" t="s">
        <v>174</v>
      </c>
      <c r="D25" s="182" t="s">
        <v>23</v>
      </c>
      <c r="E25" s="184">
        <f>GETPIVOTDATA("Sum of Total Weight 
(Kg)",$H$23,"Alt. Material","42CrMo4 / EN 19","IS Thk
(mm)","Dia 65")</f>
        <v>68.040000000000006</v>
      </c>
      <c r="F25" s="184">
        <f>GETPIVOTDATA("Sum of Gross Wt 
(kg)",$H$23,"Alt. Material","42CrMo4 / EN 19","IS Thk
(mm)","Dia 65")</f>
        <v>97.405000000000001</v>
      </c>
      <c r="H25" s="192" t="s">
        <v>42</v>
      </c>
      <c r="I25" s="191" t="s">
        <v>178</v>
      </c>
      <c r="J25" s="191" t="s">
        <v>44</v>
      </c>
      <c r="K25" s="191" t="s">
        <v>178</v>
      </c>
      <c r="L25" s="191" t="s">
        <v>44</v>
      </c>
      <c r="M25" s="191"/>
      <c r="N25" s="191"/>
    </row>
    <row r="26" spans="1:14" x14ac:dyDescent="0.25">
      <c r="H26" s="199">
        <v>6</v>
      </c>
      <c r="I26" s="200"/>
      <c r="J26" s="200"/>
      <c r="K26" s="200">
        <v>1.0099502279999997</v>
      </c>
      <c r="L26" s="200">
        <v>1.5870646439999996</v>
      </c>
      <c r="M26" s="200">
        <v>1.0099502279999997</v>
      </c>
      <c r="N26" s="200">
        <v>1.5870646439999996</v>
      </c>
    </row>
    <row r="27" spans="1:14" ht="26.25" customHeight="1" x14ac:dyDescent="0.25">
      <c r="H27" s="195">
        <v>20</v>
      </c>
      <c r="I27" s="196"/>
      <c r="J27" s="196"/>
      <c r="K27" s="196">
        <v>179.33083727999997</v>
      </c>
      <c r="L27" s="196">
        <v>253.90305644</v>
      </c>
      <c r="M27" s="196">
        <v>179.33083727999997</v>
      </c>
      <c r="N27" s="196">
        <v>253.90305644</v>
      </c>
    </row>
    <row r="28" spans="1:14" x14ac:dyDescent="0.25">
      <c r="H28" s="195" t="s">
        <v>23</v>
      </c>
      <c r="I28" s="196">
        <v>68.040000000000006</v>
      </c>
      <c r="J28" s="196">
        <v>97.405000000000001</v>
      </c>
      <c r="K28" s="196"/>
      <c r="L28" s="196"/>
      <c r="M28" s="196">
        <v>68.040000000000006</v>
      </c>
      <c r="N28" s="196">
        <v>97.405000000000001</v>
      </c>
    </row>
    <row r="29" spans="1:14" x14ac:dyDescent="0.25">
      <c r="H29" s="195" t="s">
        <v>43</v>
      </c>
      <c r="I29" s="198">
        <v>68.040000000000006</v>
      </c>
      <c r="J29" s="198">
        <v>97.405000000000001</v>
      </c>
      <c r="K29" s="198">
        <v>180.34078750799998</v>
      </c>
      <c r="L29" s="198">
        <v>255.49012108400001</v>
      </c>
      <c r="M29" s="198">
        <v>248.38078750799997</v>
      </c>
      <c r="N29" s="198">
        <v>352.89512108400004</v>
      </c>
    </row>
    <row r="32" spans="1:14" ht="16.5" thickBot="1" x14ac:dyDescent="0.3"/>
    <row r="33" spans="1:14" ht="24.75" customHeight="1" thickBot="1" x14ac:dyDescent="0.3">
      <c r="A33" s="482" t="s">
        <v>180</v>
      </c>
      <c r="B33" s="483"/>
      <c r="C33" s="483"/>
      <c r="D33" s="483"/>
      <c r="E33" s="188" t="str">
        <f>I33</f>
        <v>DT14077</v>
      </c>
      <c r="F33" s="189"/>
      <c r="H33" s="186" t="s">
        <v>166</v>
      </c>
      <c r="I33" s="187" t="s">
        <v>162</v>
      </c>
    </row>
    <row r="34" spans="1:14" x14ac:dyDescent="0.25">
      <c r="A34" s="181" t="s">
        <v>13</v>
      </c>
      <c r="B34" s="181" t="s">
        <v>45</v>
      </c>
      <c r="C34" s="181" t="s">
        <v>46</v>
      </c>
      <c r="D34" s="181" t="s">
        <v>47</v>
      </c>
      <c r="E34" s="181" t="s">
        <v>179</v>
      </c>
      <c r="F34" s="181" t="s">
        <v>48</v>
      </c>
    </row>
    <row r="35" spans="1:14" ht="31.5" x14ac:dyDescent="0.25">
      <c r="A35" s="182" t="s">
        <v>49</v>
      </c>
      <c r="B35" s="182" t="s">
        <v>165</v>
      </c>
      <c r="C35" s="183" t="s">
        <v>170</v>
      </c>
      <c r="D35" s="182">
        <v>6</v>
      </c>
      <c r="E35" s="184">
        <f>GETPIVOTDATA("Sum of Total Weight 
(Kg)",$H$35,"Alt. Material","IS 2062 
E250 A/BO/BR","IS Thk
(mm)",6)</f>
        <v>0.45775031030399987</v>
      </c>
      <c r="F35" s="184">
        <f>GETPIVOTDATA("Sum of Gross Wt 
(kg)",$H$35,"Alt. Material","IS 2062 
E250 A/BO/BR","IS Thk
(mm)",6)</f>
        <v>0.71932191619199992</v>
      </c>
      <c r="H35" s="191"/>
      <c r="I35" s="192" t="s">
        <v>175</v>
      </c>
      <c r="J35" s="191"/>
      <c r="K35" s="191"/>
      <c r="L35" s="191"/>
      <c r="M35" s="191"/>
      <c r="N35" s="191"/>
    </row>
    <row r="36" spans="1:14" ht="47.25" x14ac:dyDescent="0.25">
      <c r="A36" s="182" t="s">
        <v>49</v>
      </c>
      <c r="B36" s="182" t="s">
        <v>165</v>
      </c>
      <c r="C36" s="183" t="s">
        <v>170</v>
      </c>
      <c r="D36" s="182">
        <v>20</v>
      </c>
      <c r="E36" s="184">
        <f>GETPIVOTDATA("Sum of Total Weight 
(Kg)",$H$35,"Alt. Material","IS 2062 
E250 A/BO/BR","IS Thk
(mm)",20)</f>
        <v>73.946178513999996</v>
      </c>
      <c r="F36" s="184">
        <f>GETPIVOTDATA("Sum of Gross Wt 
(kg)",$H$35,"Alt. Material","IS 2062 
E250 A/BO/BR","IS Thk
(mm)",20)</f>
        <v>104.51114581599998</v>
      </c>
      <c r="H36" s="191"/>
      <c r="I36" s="191" t="s">
        <v>174</v>
      </c>
      <c r="J36" s="191"/>
      <c r="K36" s="191" t="s">
        <v>170</v>
      </c>
      <c r="L36" s="191"/>
      <c r="M36" s="191" t="s">
        <v>176</v>
      </c>
      <c r="N36" s="191" t="s">
        <v>177</v>
      </c>
    </row>
    <row r="37" spans="1:14" ht="31.5" x14ac:dyDescent="0.25">
      <c r="A37" s="182" t="s">
        <v>50</v>
      </c>
      <c r="B37" s="182" t="s">
        <v>167</v>
      </c>
      <c r="C37" s="183" t="s">
        <v>174</v>
      </c>
      <c r="D37" s="182" t="s">
        <v>23</v>
      </c>
      <c r="E37" s="184">
        <f>GETPIVOTDATA("Sum of Total Weight 
(Kg)",$H$35,"Alt. Material","42CrMo4 / EN 19","IS Thk
(mm)","Dia 65")</f>
        <v>30.028320000000001</v>
      </c>
      <c r="F37" s="184">
        <f>GETPIVOTDATA("Sum of Gross Wt 
(kg)",$H$35,"Alt. Material","42CrMo4 / EN 19","IS Thk
(mm)","Dia 65")</f>
        <v>41.887999999999998</v>
      </c>
      <c r="H37" s="192" t="s">
        <v>42</v>
      </c>
      <c r="I37" s="191" t="s">
        <v>178</v>
      </c>
      <c r="J37" s="191" t="s">
        <v>44</v>
      </c>
      <c r="K37" s="191" t="s">
        <v>178</v>
      </c>
      <c r="L37" s="191" t="s">
        <v>44</v>
      </c>
      <c r="M37" s="191"/>
      <c r="N37" s="191"/>
    </row>
    <row r="38" spans="1:14" x14ac:dyDescent="0.25">
      <c r="H38" s="199">
        <v>6</v>
      </c>
      <c r="I38" s="200"/>
      <c r="J38" s="200"/>
      <c r="K38" s="200">
        <v>0.45775031030399987</v>
      </c>
      <c r="L38" s="200">
        <v>0.71932191619199992</v>
      </c>
      <c r="M38" s="200">
        <v>0.45775031030399987</v>
      </c>
      <c r="N38" s="200">
        <v>0.71932191619199992</v>
      </c>
    </row>
    <row r="39" spans="1:14" x14ac:dyDescent="0.25">
      <c r="H39" s="195">
        <v>20</v>
      </c>
      <c r="I39" s="196"/>
      <c r="J39" s="196"/>
      <c r="K39" s="196">
        <v>73.946178513999996</v>
      </c>
      <c r="L39" s="196">
        <v>104.51114581599998</v>
      </c>
      <c r="M39" s="196">
        <v>73.946178513999996</v>
      </c>
      <c r="N39" s="196">
        <v>104.51114581599998</v>
      </c>
    </row>
    <row r="40" spans="1:14" x14ac:dyDescent="0.25">
      <c r="H40" s="195" t="s">
        <v>23</v>
      </c>
      <c r="I40" s="196">
        <v>30.028320000000001</v>
      </c>
      <c r="J40" s="196">
        <v>41.887999999999998</v>
      </c>
      <c r="K40" s="196"/>
      <c r="L40" s="196"/>
      <c r="M40" s="196">
        <v>30.028320000000001</v>
      </c>
      <c r="N40" s="196">
        <v>41.887999999999998</v>
      </c>
    </row>
    <row r="41" spans="1:14" x14ac:dyDescent="0.25">
      <c r="H41" s="195" t="s">
        <v>43</v>
      </c>
      <c r="I41" s="198">
        <v>30.028320000000001</v>
      </c>
      <c r="J41" s="198">
        <v>41.887999999999998</v>
      </c>
      <c r="K41" s="198">
        <v>74.403928824303989</v>
      </c>
      <c r="L41" s="198">
        <v>105.23046773219198</v>
      </c>
      <c r="M41" s="198">
        <v>104.432248824304</v>
      </c>
      <c r="N41" s="198">
        <v>147.11846773219199</v>
      </c>
    </row>
    <row r="43" spans="1:14" ht="16.5" thickBot="1" x14ac:dyDescent="0.3"/>
    <row r="44" spans="1:14" ht="24.75" customHeight="1" thickBot="1" x14ac:dyDescent="0.3">
      <c r="A44" s="482" t="s">
        <v>180</v>
      </c>
      <c r="B44" s="483"/>
      <c r="C44" s="483"/>
      <c r="D44" s="483"/>
      <c r="E44" s="188" t="str">
        <f>I44</f>
        <v>DT14647</v>
      </c>
      <c r="F44" s="189"/>
      <c r="H44" s="186" t="s">
        <v>166</v>
      </c>
      <c r="I44" s="187" t="s">
        <v>163</v>
      </c>
    </row>
    <row r="45" spans="1:14" x14ac:dyDescent="0.25">
      <c r="A45" s="181" t="s">
        <v>13</v>
      </c>
      <c r="B45" s="181" t="s">
        <v>45</v>
      </c>
      <c r="C45" s="181" t="s">
        <v>46</v>
      </c>
      <c r="D45" s="181" t="s">
        <v>47</v>
      </c>
      <c r="E45" s="181" t="s">
        <v>179</v>
      </c>
      <c r="F45" s="181" t="s">
        <v>48</v>
      </c>
    </row>
    <row r="46" spans="1:14" ht="31.5" customHeight="1" x14ac:dyDescent="0.25">
      <c r="A46" s="182" t="s">
        <v>49</v>
      </c>
      <c r="B46" s="153" t="s">
        <v>168</v>
      </c>
      <c r="C46" s="153" t="s">
        <v>168</v>
      </c>
      <c r="D46" s="182">
        <v>25</v>
      </c>
      <c r="E46" s="184">
        <f>GETPIVOTDATA("Sum of Total Weight 
(Kg)",$H$46,"Alt. Material","ASTM 
A514 GR B","IS Thk
(mm)",25)</f>
        <v>17.907125624999999</v>
      </c>
      <c r="F46" s="184">
        <f>GETPIVOTDATA("Sum of Gross Wt 
(kg)",$H$46,"Alt. Material","ASTM 
A514 GR B","IS Thk
(mm)",25)</f>
        <v>26.071439625</v>
      </c>
      <c r="H46" s="191"/>
      <c r="I46" s="192" t="s">
        <v>175</v>
      </c>
      <c r="J46" s="191"/>
      <c r="K46" s="191"/>
      <c r="L46" s="191"/>
      <c r="M46" s="191"/>
      <c r="N46" s="191"/>
    </row>
    <row r="47" spans="1:14" ht="47.25" x14ac:dyDescent="0.25">
      <c r="A47" s="182" t="s">
        <v>49</v>
      </c>
      <c r="B47" s="153" t="s">
        <v>168</v>
      </c>
      <c r="C47" s="153" t="s">
        <v>168</v>
      </c>
      <c r="D47" s="182">
        <v>32</v>
      </c>
      <c r="E47" s="184">
        <f>GETPIVOTDATA("Sum of Total Weight 
(Kg)",$H$46,"Alt. Material","ASTM 
A514 GR B","IS Thk
(mm)",32)</f>
        <v>105.19452159999997</v>
      </c>
      <c r="F47" s="184">
        <f>GETPIVOTDATA("Sum of Gross Wt 
(kg)",$H$46,"Alt. Material","ASTM 
A514 GR B","IS Thk
(mm)",32)</f>
        <v>120.7573664</v>
      </c>
      <c r="H47" s="191"/>
      <c r="I47" s="191" t="s">
        <v>173</v>
      </c>
      <c r="J47" s="191"/>
      <c r="K47" s="191" t="s">
        <v>172</v>
      </c>
      <c r="L47" s="191"/>
      <c r="M47" s="191" t="s">
        <v>176</v>
      </c>
      <c r="N47" s="191" t="s">
        <v>177</v>
      </c>
    </row>
    <row r="48" spans="1:14" ht="31.5" x14ac:dyDescent="0.25">
      <c r="A48" s="182" t="s">
        <v>49</v>
      </c>
      <c r="B48" s="159" t="s">
        <v>169</v>
      </c>
      <c r="C48" s="183" t="s">
        <v>173</v>
      </c>
      <c r="D48" s="182" t="s">
        <v>181</v>
      </c>
      <c r="E48" s="184">
        <f>GETPIVOTDATA("Sum of Total Weight 
(Kg)",$H$46,"Alt. Material","1.7218 (25CrMo4)","IS Thk
(mm)","Dia 90")</f>
        <v>3.3</v>
      </c>
      <c r="F48" s="184">
        <f>GETPIVOTDATA("Sum of Gross Wt 
(kg)",$H$46,"Alt. Material","1.7218 (25CrMo4)","IS Thk
(mm)","Dia 90")</f>
        <v>4.0150000000000006</v>
      </c>
      <c r="H48" s="192" t="s">
        <v>42</v>
      </c>
      <c r="I48" s="191" t="s">
        <v>178</v>
      </c>
      <c r="J48" s="191" t="s">
        <v>44</v>
      </c>
      <c r="K48" s="191" t="s">
        <v>178</v>
      </c>
      <c r="L48" s="191" t="s">
        <v>44</v>
      </c>
      <c r="M48" s="191"/>
      <c r="N48" s="191"/>
    </row>
    <row r="49" spans="8:14" x14ac:dyDescent="0.25">
      <c r="H49" s="195">
        <v>25</v>
      </c>
      <c r="I49" s="196"/>
      <c r="J49" s="196"/>
      <c r="K49" s="196">
        <v>17.907125624999999</v>
      </c>
      <c r="L49" s="196">
        <v>26.071439625</v>
      </c>
      <c r="M49" s="196">
        <v>17.907125624999999</v>
      </c>
      <c r="N49" s="196">
        <v>26.071439625</v>
      </c>
    </row>
    <row r="50" spans="8:14" x14ac:dyDescent="0.25">
      <c r="H50" s="195">
        <v>32</v>
      </c>
      <c r="I50" s="196"/>
      <c r="J50" s="196"/>
      <c r="K50" s="196">
        <v>105.19452159999997</v>
      </c>
      <c r="L50" s="196">
        <v>120.7573664</v>
      </c>
      <c r="M50" s="196">
        <v>105.19452159999997</v>
      </c>
      <c r="N50" s="196">
        <v>120.7573664</v>
      </c>
    </row>
    <row r="51" spans="8:14" x14ac:dyDescent="0.25">
      <c r="H51" s="195" t="s">
        <v>181</v>
      </c>
      <c r="I51" s="196">
        <v>3.3</v>
      </c>
      <c r="J51" s="196">
        <v>4.0150000000000006</v>
      </c>
      <c r="K51" s="196"/>
      <c r="L51" s="196"/>
      <c r="M51" s="196">
        <v>3.3</v>
      </c>
      <c r="N51" s="196">
        <v>4.0150000000000006</v>
      </c>
    </row>
    <row r="52" spans="8:14" x14ac:dyDescent="0.25">
      <c r="H52" s="195" t="s">
        <v>43</v>
      </c>
      <c r="I52" s="198">
        <v>3.3</v>
      </c>
      <c r="J52" s="198">
        <v>4.0150000000000006</v>
      </c>
      <c r="K52" s="198">
        <v>123.10164722499997</v>
      </c>
      <c r="L52" s="198">
        <v>146.82880602500001</v>
      </c>
      <c r="M52" s="198">
        <v>126.40164722499996</v>
      </c>
      <c r="N52" s="198">
        <v>150.84380602499999</v>
      </c>
    </row>
    <row r="63" spans="8:14" x14ac:dyDescent="0.25">
      <c r="H63" s="360" t="s">
        <v>166</v>
      </c>
      <c r="I63" s="361" t="s">
        <v>204</v>
      </c>
    </row>
    <row r="65" spans="2:20" x14ac:dyDescent="0.25">
      <c r="H65" s="362"/>
      <c r="I65" s="363" t="s">
        <v>175</v>
      </c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</row>
    <row r="66" spans="2:20" ht="63" x14ac:dyDescent="0.25">
      <c r="H66" s="362"/>
      <c r="I66" s="362" t="s">
        <v>173</v>
      </c>
      <c r="J66" s="362"/>
      <c r="K66" s="362" t="s">
        <v>174</v>
      </c>
      <c r="L66" s="362"/>
      <c r="M66" s="362" t="s">
        <v>172</v>
      </c>
      <c r="N66" s="362"/>
      <c r="O66" s="362" t="s">
        <v>171</v>
      </c>
      <c r="P66" s="362"/>
      <c r="Q66" s="362" t="s">
        <v>170</v>
      </c>
      <c r="R66" s="362"/>
      <c r="S66" s="362" t="s">
        <v>176</v>
      </c>
      <c r="T66" s="362" t="s">
        <v>177</v>
      </c>
    </row>
    <row r="67" spans="2:20" ht="37.5" customHeight="1" x14ac:dyDescent="0.25">
      <c r="B67" s="371" t="s">
        <v>205</v>
      </c>
      <c r="C67" s="371" t="s">
        <v>206</v>
      </c>
      <c r="D67" s="372" t="s">
        <v>207</v>
      </c>
      <c r="H67" s="363" t="s">
        <v>42</v>
      </c>
      <c r="I67" s="362" t="s">
        <v>178</v>
      </c>
      <c r="J67" s="362" t="s">
        <v>44</v>
      </c>
      <c r="K67" s="362" t="s">
        <v>178</v>
      </c>
      <c r="L67" s="362" t="s">
        <v>44</v>
      </c>
      <c r="M67" s="362" t="s">
        <v>178</v>
      </c>
      <c r="N67" s="362" t="s">
        <v>44</v>
      </c>
      <c r="O67" s="362" t="s">
        <v>178</v>
      </c>
      <c r="P67" s="362" t="s">
        <v>44</v>
      </c>
      <c r="Q67" s="362" t="s">
        <v>178</v>
      </c>
      <c r="R67" s="362" t="s">
        <v>44</v>
      </c>
      <c r="S67" s="362"/>
      <c r="T67" s="362"/>
    </row>
    <row r="68" spans="2:20" ht="18.75" x14ac:dyDescent="0.25">
      <c r="B68" s="370">
        <v>6</v>
      </c>
      <c r="C68" s="370" t="s">
        <v>208</v>
      </c>
      <c r="D68" s="369">
        <v>2.3063865601919993</v>
      </c>
      <c r="H68" s="364">
        <v>6</v>
      </c>
      <c r="I68" s="365"/>
      <c r="J68" s="365"/>
      <c r="K68" s="365"/>
      <c r="L68" s="365"/>
      <c r="M68" s="365"/>
      <c r="N68" s="365"/>
      <c r="O68" s="365"/>
      <c r="P68" s="365"/>
      <c r="Q68" s="365">
        <v>1.4677005383039996</v>
      </c>
      <c r="R68" s="365">
        <v>2.3063865601919993</v>
      </c>
      <c r="S68" s="365">
        <v>1.4677005383039996</v>
      </c>
      <c r="T68" s="365">
        <v>2.3063865601919993</v>
      </c>
    </row>
    <row r="69" spans="2:20" ht="18.75" x14ac:dyDescent="0.25">
      <c r="B69" s="370">
        <v>8</v>
      </c>
      <c r="C69" s="370" t="s">
        <v>208</v>
      </c>
      <c r="D69" s="369">
        <v>461.98890649999993</v>
      </c>
      <c r="H69" s="366">
        <v>8</v>
      </c>
      <c r="I69" s="367"/>
      <c r="J69" s="367"/>
      <c r="K69" s="367"/>
      <c r="L69" s="367"/>
      <c r="M69" s="367"/>
      <c r="N69" s="367"/>
      <c r="O69" s="367"/>
      <c r="P69" s="367"/>
      <c r="Q69" s="367">
        <v>335.99193199999996</v>
      </c>
      <c r="R69" s="367">
        <v>461.98890649999993</v>
      </c>
      <c r="S69" s="367">
        <v>335.99193199999996</v>
      </c>
      <c r="T69" s="367">
        <v>461.98890649999993</v>
      </c>
    </row>
    <row r="70" spans="2:20" ht="18.75" x14ac:dyDescent="0.25">
      <c r="B70" s="370">
        <v>20</v>
      </c>
      <c r="C70" s="370" t="s">
        <v>208</v>
      </c>
      <c r="D70" s="369">
        <v>358.41420225600001</v>
      </c>
      <c r="H70" s="366">
        <v>20</v>
      </c>
      <c r="I70" s="367"/>
      <c r="J70" s="367"/>
      <c r="K70" s="367"/>
      <c r="L70" s="367"/>
      <c r="M70" s="367"/>
      <c r="N70" s="367"/>
      <c r="O70" s="367">
        <v>17.236799999999999</v>
      </c>
      <c r="P70" s="367">
        <v>20.169632999999997</v>
      </c>
      <c r="Q70" s="367">
        <v>253.27701579399996</v>
      </c>
      <c r="R70" s="367">
        <v>358.41420225600001</v>
      </c>
      <c r="S70" s="367">
        <v>270.51381579399998</v>
      </c>
      <c r="T70" s="367">
        <v>378.58383525599999</v>
      </c>
    </row>
    <row r="71" spans="2:20" ht="18.75" x14ac:dyDescent="0.25">
      <c r="B71" s="370">
        <v>20</v>
      </c>
      <c r="C71" s="370" t="s">
        <v>172</v>
      </c>
      <c r="D71" s="369">
        <v>20.169632999999997</v>
      </c>
      <c r="H71" s="366">
        <v>25</v>
      </c>
      <c r="I71" s="367"/>
      <c r="J71" s="367"/>
      <c r="K71" s="367"/>
      <c r="L71" s="367"/>
      <c r="M71" s="367">
        <v>17.907125624999999</v>
      </c>
      <c r="N71" s="367">
        <v>26.071439625</v>
      </c>
      <c r="O71" s="367"/>
      <c r="P71" s="367"/>
      <c r="Q71" s="367"/>
      <c r="R71" s="367"/>
      <c r="S71" s="367">
        <v>17.907125624999999</v>
      </c>
      <c r="T71" s="367">
        <v>26.071439625</v>
      </c>
    </row>
    <row r="72" spans="2:20" ht="18.75" x14ac:dyDescent="0.25">
      <c r="B72" s="370">
        <v>25</v>
      </c>
      <c r="C72" s="370" t="s">
        <v>172</v>
      </c>
      <c r="D72" s="369">
        <v>26.071439625</v>
      </c>
      <c r="H72" s="366">
        <v>32</v>
      </c>
      <c r="I72" s="367"/>
      <c r="J72" s="367"/>
      <c r="K72" s="367"/>
      <c r="L72" s="367"/>
      <c r="M72" s="367">
        <v>105.19452159999997</v>
      </c>
      <c r="N72" s="367">
        <v>120.7573664</v>
      </c>
      <c r="O72" s="367"/>
      <c r="P72" s="367"/>
      <c r="Q72" s="367"/>
      <c r="R72" s="367"/>
      <c r="S72" s="367">
        <v>105.19452159999997</v>
      </c>
      <c r="T72" s="367">
        <v>120.7573664</v>
      </c>
    </row>
    <row r="73" spans="2:20" ht="18.75" x14ac:dyDescent="0.25">
      <c r="B73" s="370">
        <v>32</v>
      </c>
      <c r="C73" s="370" t="s">
        <v>172</v>
      </c>
      <c r="D73" s="369">
        <v>120.7573664</v>
      </c>
      <c r="H73" s="366" t="s">
        <v>23</v>
      </c>
      <c r="I73" s="367"/>
      <c r="J73" s="367"/>
      <c r="K73" s="367">
        <v>98.06832</v>
      </c>
      <c r="L73" s="367">
        <v>139.29300000000001</v>
      </c>
      <c r="M73" s="367"/>
      <c r="N73" s="367"/>
      <c r="O73" s="367"/>
      <c r="P73" s="367"/>
      <c r="Q73" s="367"/>
      <c r="R73" s="367"/>
      <c r="S73" s="367">
        <v>98.06832</v>
      </c>
      <c r="T73" s="367">
        <v>139.29300000000001</v>
      </c>
    </row>
    <row r="74" spans="2:20" ht="18.75" x14ac:dyDescent="0.25">
      <c r="B74" s="370" t="s">
        <v>23</v>
      </c>
      <c r="C74" s="370" t="s">
        <v>174</v>
      </c>
      <c r="D74" s="369">
        <v>139.29300000000001</v>
      </c>
      <c r="H74" s="366" t="s">
        <v>181</v>
      </c>
      <c r="I74" s="367">
        <v>3.3</v>
      </c>
      <c r="J74" s="367">
        <v>4.0150000000000006</v>
      </c>
      <c r="K74" s="367"/>
      <c r="L74" s="367"/>
      <c r="M74" s="367"/>
      <c r="N74" s="367"/>
      <c r="O74" s="367"/>
      <c r="P74" s="367"/>
      <c r="Q74" s="367"/>
      <c r="R74" s="367"/>
      <c r="S74" s="367">
        <v>3.3</v>
      </c>
      <c r="T74" s="367">
        <v>4.0150000000000006</v>
      </c>
    </row>
    <row r="75" spans="2:20" ht="18.75" x14ac:dyDescent="0.25">
      <c r="B75" s="370" t="s">
        <v>181</v>
      </c>
      <c r="C75" s="370" t="s">
        <v>173</v>
      </c>
      <c r="D75" s="369">
        <v>4.0150000000000006</v>
      </c>
      <c r="H75" s="366" t="s">
        <v>43</v>
      </c>
      <c r="I75" s="368">
        <v>3.3</v>
      </c>
      <c r="J75" s="368">
        <v>4.0150000000000006</v>
      </c>
      <c r="K75" s="368">
        <v>98.06832</v>
      </c>
      <c r="L75" s="368">
        <v>139.29300000000001</v>
      </c>
      <c r="M75" s="368">
        <v>123.10164722499997</v>
      </c>
      <c r="N75" s="368">
        <v>146.82880602500001</v>
      </c>
      <c r="O75" s="368">
        <v>17.236799999999999</v>
      </c>
      <c r="P75" s="368">
        <v>20.169632999999997</v>
      </c>
      <c r="Q75" s="368">
        <v>590.73664833230396</v>
      </c>
      <c r="R75" s="368">
        <v>822.70949531619192</v>
      </c>
      <c r="S75" s="368">
        <v>832.44341555730387</v>
      </c>
      <c r="T75" s="368">
        <v>1133.0159343411922</v>
      </c>
    </row>
    <row r="76" spans="2:20" ht="18.75" x14ac:dyDescent="0.25">
      <c r="B76" s="370" t="s">
        <v>43</v>
      </c>
      <c r="C76" s="370"/>
      <c r="D76" s="369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8"/>
      <c r="C3" s="131"/>
      <c r="D3" s="131"/>
      <c r="E3" s="131"/>
      <c r="F3" s="131"/>
      <c r="G3" s="131"/>
    </row>
    <row r="4" spans="2:7" ht="15.75" x14ac:dyDescent="0.25">
      <c r="B4" s="178"/>
      <c r="C4" s="132"/>
      <c r="D4" s="132"/>
      <c r="E4" s="132"/>
      <c r="F4" s="132"/>
      <c r="G4" s="132"/>
    </row>
    <row r="5" spans="2:7" ht="15.75" x14ac:dyDescent="0.25">
      <c r="B5" s="178"/>
      <c r="C5" s="132"/>
      <c r="D5" s="132"/>
      <c r="E5" s="132"/>
      <c r="F5" s="132"/>
      <c r="G5" s="132"/>
    </row>
    <row r="6" spans="2:7" ht="15.75" x14ac:dyDescent="0.25">
      <c r="B6" s="178"/>
      <c r="C6" s="132"/>
      <c r="D6" s="132"/>
      <c r="E6" s="132"/>
      <c r="F6" s="132"/>
      <c r="G6" s="132"/>
    </row>
    <row r="7" spans="2:7" ht="15.75" x14ac:dyDescent="0.25">
      <c r="B7" s="178"/>
      <c r="C7" s="132"/>
      <c r="D7" s="132"/>
      <c r="E7" s="132"/>
      <c r="F7" s="132"/>
      <c r="G7" s="131"/>
    </row>
    <row r="8" spans="2:7" ht="15.75" x14ac:dyDescent="0.25">
      <c r="B8" s="178"/>
      <c r="C8" s="132"/>
      <c r="D8" s="132"/>
      <c r="E8" s="132"/>
      <c r="F8" s="132"/>
      <c r="G8" s="132"/>
    </row>
    <row r="9" spans="2:7" ht="15.75" x14ac:dyDescent="0.25">
      <c r="B9" s="178"/>
      <c r="C9" s="132"/>
      <c r="D9" s="132"/>
      <c r="E9" s="132"/>
      <c r="F9" s="132"/>
      <c r="G9" s="132"/>
    </row>
    <row r="10" spans="2:7" ht="15.75" x14ac:dyDescent="0.25">
      <c r="B10" s="178"/>
      <c r="C10" s="132"/>
      <c r="D10" s="132"/>
      <c r="E10" s="132"/>
      <c r="F10" s="132"/>
      <c r="G10" s="132"/>
    </row>
    <row r="11" spans="2:7" ht="15.75" x14ac:dyDescent="0.25">
      <c r="B11" s="178"/>
      <c r="C11" s="132"/>
      <c r="D11" s="132"/>
      <c r="E11" s="132"/>
      <c r="F11" s="132"/>
      <c r="G11" s="131"/>
    </row>
    <row r="12" spans="2:7" ht="15.75" x14ac:dyDescent="0.25">
      <c r="B12" s="178"/>
      <c r="C12" s="132"/>
      <c r="D12" s="132"/>
      <c r="E12" s="132"/>
      <c r="F12" s="132"/>
      <c r="G12" s="132"/>
    </row>
    <row r="13" spans="2:7" ht="15.75" x14ac:dyDescent="0.25">
      <c r="B13" s="178"/>
      <c r="C13" s="132"/>
      <c r="D13" s="132"/>
      <c r="E13" s="132"/>
      <c r="F13" s="132"/>
      <c r="G13" s="132"/>
    </row>
    <row r="14" spans="2:7" ht="15.75" x14ac:dyDescent="0.25">
      <c r="B14" s="178"/>
      <c r="C14" s="132"/>
      <c r="D14" s="132"/>
      <c r="E14" s="132"/>
      <c r="F14" s="132"/>
      <c r="G14" s="132"/>
    </row>
    <row r="15" spans="2:7" ht="15.75" x14ac:dyDescent="0.25">
      <c r="B15" s="178"/>
      <c r="C15" s="132"/>
      <c r="D15" s="132"/>
      <c r="E15" s="132"/>
      <c r="F15" s="132"/>
      <c r="G15" s="132"/>
    </row>
    <row r="16" spans="2:7" ht="15.75" x14ac:dyDescent="0.25">
      <c r="B16" s="178"/>
      <c r="C16" s="132"/>
      <c r="D16" s="132"/>
      <c r="E16" s="132"/>
      <c r="F16" s="132"/>
      <c r="G16" s="131"/>
    </row>
    <row r="17" spans="2:7" ht="15.75" x14ac:dyDescent="0.25">
      <c r="B17" s="178"/>
      <c r="C17" s="132"/>
      <c r="D17" s="132"/>
      <c r="E17" s="132"/>
      <c r="F17" s="132"/>
      <c r="G17" s="132"/>
    </row>
    <row r="18" spans="2:7" ht="15.75" x14ac:dyDescent="0.25">
      <c r="B18" s="178"/>
      <c r="C18" s="132"/>
      <c r="D18" s="132"/>
      <c r="E18" s="132"/>
      <c r="F18" s="132"/>
      <c r="G18" s="132"/>
    </row>
    <row r="19" spans="2:7" ht="15.75" x14ac:dyDescent="0.25">
      <c r="B19" s="178"/>
      <c r="C19" s="132"/>
      <c r="D19" s="132"/>
      <c r="E19" s="132"/>
      <c r="F19" s="132"/>
      <c r="G19" s="132"/>
    </row>
    <row r="20" spans="2:7" ht="15.75" x14ac:dyDescent="0.25">
      <c r="B20" s="178"/>
      <c r="C20" s="132"/>
      <c r="D20" s="132"/>
      <c r="E20" s="132"/>
      <c r="F20" s="132"/>
      <c r="G20" s="132"/>
    </row>
    <row r="21" spans="2:7" ht="15.75" x14ac:dyDescent="0.25">
      <c r="B21" s="178"/>
      <c r="C21" s="132"/>
      <c r="D21" s="132"/>
      <c r="E21" s="132"/>
      <c r="F21" s="132"/>
      <c r="G21" s="131"/>
    </row>
    <row r="22" spans="2:7" ht="15.75" x14ac:dyDescent="0.25">
      <c r="B22" s="178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5"/>
      <c r="D27" s="485"/>
      <c r="E27" s="177"/>
      <c r="F27" s="177"/>
      <c r="G27" s="11"/>
    </row>
    <row r="28" spans="2:7" x14ac:dyDescent="0.25">
      <c r="C28" s="486"/>
      <c r="D28" s="486"/>
      <c r="E28" s="5"/>
      <c r="F28" s="6"/>
      <c r="G28" s="7"/>
    </row>
    <row r="29" spans="2:7" x14ac:dyDescent="0.25">
      <c r="C29" s="487"/>
      <c r="D29" s="487"/>
      <c r="E29" s="8"/>
      <c r="F29" s="8"/>
      <c r="G29" s="179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>
        <f>'BOM RAMPRAIL_AY30133'!AH3</f>
        <v>0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8" t="s">
        <v>147</v>
      </c>
      <c r="H9" s="492"/>
      <c r="I9" s="489"/>
      <c r="J9" s="108">
        <f>H3*250</f>
        <v>0</v>
      </c>
      <c r="K9" t="s">
        <v>148</v>
      </c>
    </row>
    <row r="10" spans="2:11" x14ac:dyDescent="0.25">
      <c r="B10" s="488" t="s">
        <v>149</v>
      </c>
      <c r="C10" s="489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8" t="s">
        <v>150</v>
      </c>
      <c r="C11" s="489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90" t="s">
        <v>151</v>
      </c>
      <c r="C12" s="491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>
        <f>H3</f>
        <v>0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>
        <f>H18*250</f>
        <v>0</v>
      </c>
      <c r="L24" t="s">
        <v>148</v>
      </c>
    </row>
    <row r="25" spans="2:12" x14ac:dyDescent="0.25">
      <c r="B25" s="488" t="s">
        <v>149</v>
      </c>
      <c r="C25" s="489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8" t="s">
        <v>150</v>
      </c>
      <c r="C26" s="489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90" t="s">
        <v>151</v>
      </c>
      <c r="C27" s="491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RAMPRAIL_AY30133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2025-05-30T05:46:57Z</dcterms:modified>
</cp:coreProperties>
</file>