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107_10152024103941\"/>
    </mc:Choice>
  </mc:AlternateContent>
  <xr:revisionPtr revIDLastSave="0" documentId="13_ncr:1_{B7B667BA-6879-4108-BB12-29493BB396F7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SKATE BODY, AY30107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SKATE BODY, AY30107'!$A$2:$AK$7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M7" i="1"/>
  <c r="M6" i="1"/>
  <c r="M5" i="1"/>
  <c r="M4" i="1"/>
  <c r="AB4" i="1"/>
  <c r="J7" i="1"/>
  <c r="J6" i="1"/>
  <c r="J5" i="1"/>
  <c r="J4" i="1"/>
  <c r="I3" i="1"/>
  <c r="B48" i="7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AE3" i="1" l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25" i="18"/>
  <c r="E27" i="18"/>
  <c r="E26" i="18"/>
  <c r="E49" i="18"/>
  <c r="E48" i="18"/>
  <c r="E50" i="18"/>
  <c r="E51" i="18"/>
  <c r="E21" i="18"/>
  <c r="E34" i="18"/>
  <c r="E32" i="18"/>
  <c r="E35" i="18"/>
  <c r="E38" i="18"/>
  <c r="E20" i="18"/>
  <c r="E22" i="18"/>
  <c r="E28" i="18"/>
  <c r="E31" i="18"/>
  <c r="E37" i="18"/>
</calcChain>
</file>

<file path=xl/sharedStrings.xml><?xml version="1.0" encoding="utf-8"?>
<sst xmlns="http://schemas.openxmlformats.org/spreadsheetml/2006/main" count="473" uniqueCount="265">
  <si>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</si>
  <si>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</si>
  <si>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</si>
  <si>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</si>
  <si>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</si>
  <si>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</si>
  <si>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</si>
  <si>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</si>
  <si>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</si>
  <si>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</si>
  <si>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</si>
  <si>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</si>
  <si>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</si>
  <si>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</si>
  <si>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</si>
  <si>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</si>
  <si>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</si>
  <si>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</si>
  <si>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</si>
  <si>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</si>
  <si>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</si>
  <si>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</si>
  <si>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</si>
  <si>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</si>
  <si>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</si>
  <si>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</si>
  <si>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</si>
  <si>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</si>
  <si>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</si>
  <si>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</si>
  <si>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</si>
  <si>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</si>
  <si>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</si>
  <si>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</si>
  <si>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</si>
  <si>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</si>
  <si>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</si>
  <si>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</si>
  <si>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</si>
  <si>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</si>
  <si>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</si>
  <si>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</si>
  <si>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</si>
  <si>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</si>
  <si>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</si>
  <si>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</si>
  <si>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</si>
  <si>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</si>
  <si>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</si>
  <si>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</si>
  <si>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</si>
  <si>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</si>
  <si>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</si>
  <si>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</si>
  <si>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</si>
  <si>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</si>
  <si>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</si>
  <si>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</si>
  <si>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</si>
  <si>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</si>
  <si>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</si>
  <si>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</si>
  <si>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</si>
  <si>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</si>
  <si>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</si>
  <si>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</si>
  <si>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</si>
  <si>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</si>
  <si>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</si>
  <si>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</si>
  <si>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</si>
  <si>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</si>
  <si>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</si>
  <si>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</si>
  <si>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</si>
  <si>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</si>
  <si>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</si>
  <si>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</si>
  <si>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</si>
  <si>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</si>
  <si>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</si>
  <si>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</si>
  <si>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</si>
  <si>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</si>
  <si>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</si>
  <si>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</si>
  <si>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</si>
  <si>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</si>
  <si>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</si>
  <si>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</si>
  <si>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</si>
  <si>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</si>
  <si>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</si>
  <si>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</si>
  <si>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</si>
  <si>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</si>
  <si>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</si>
  <si>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</si>
  <si>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</si>
  <si>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</si>
  <si>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</si>
  <si>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</si>
  <si>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</si>
  <si>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</si>
  <si>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</si>
  <si>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</si>
  <si>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</si>
  <si>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</si>
  <si>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</si>
  <si>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</si>
  <si>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</si>
  <si>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</si>
  <si>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</si>
  <si>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</si>
  <si>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</si>
  <si>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</si>
  <si>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</si>
  <si>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</si>
  <si>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</si>
  <si>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</si>
  <si>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</si>
  <si>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</si>
  <si>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</si>
  <si>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</si>
  <si>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</si>
  <si>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</si>
  <si>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</si>
  <si>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</si>
  <si>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</si>
  <si>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</si>
  <si>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</si>
  <si>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</si>
  <si>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</si>
  <si>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</si>
  <si>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</si>
  <si>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</si>
  <si>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</si>
  <si>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</si>
  <si>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</si>
  <si>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</si>
  <si>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</si>
  <si>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</si>
  <si>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</si>
  <si>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</si>
  <si>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</si>
  <si>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</si>
  <si>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</si>
  <si>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</si>
  <si>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</si>
  <si>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</si>
  <si>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</si>
  <si>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</si>
  <si>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</si>
  <si>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</si>
  <si>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</si>
  <si>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</si>
  <si>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</si>
  <si>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</si>
  <si>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</si>
  <si>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</si>
  <si>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</si>
  <si>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</si>
  <si>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</si>
  <si>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</si>
  <si>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</si>
  <si>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</si>
  <si>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</si>
  <si>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</si>
  <si>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</si>
  <si>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</si>
  <si>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</si>
  <si>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</si>
  <si>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</si>
  <si>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</si>
  <si>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</si>
  <si>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</si>
  <si>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</si>
  <si>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</si>
  <si>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</si>
  <si>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</si>
  <si>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</si>
  <si>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</si>
  <si>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</si>
  <si>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</si>
  <si>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</si>
  <si>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</si>
  <si>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</si>
  <si>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</si>
  <si>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</si>
  <si>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</si>
  <si>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</si>
  <si>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</si>
  <si>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</si>
  <si>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</si>
  <si>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</si>
  <si>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</si>
  <si>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</si>
  <si>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</si>
  <si>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</si>
  <si>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</si>
  <si>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</si>
  <si>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</si>
  <si>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</si>
  <si>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</si>
  <si>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</si>
  <si>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</si>
  <si>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</si>
  <si>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</si>
  <si>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</si>
  <si>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</si>
  <si>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</si>
  <si>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</si>
  <si>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</si>
  <si>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</si>
  <si>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</si>
  <si>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</si>
  <si>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</si>
  <si>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</si>
  <si>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</si>
  <si>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</si>
  <si>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</si>
  <si>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</si>
  <si>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</si>
  <si>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</si>
  <si>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</si>
  <si>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</si>
  <si>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</si>
  <si>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</si>
  <si>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</si>
  <si>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</si>
  <si>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</si>
  <si>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</si>
  <si>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</si>
  <si>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</si>
  <si>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</si>
  <si>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</si>
  <si>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</si>
  <si>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</si>
  <si>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</si>
  <si>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</si>
  <si>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</si>
  <si>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</si>
  <si>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</si>
  <si>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</si>
  <si>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</si>
  <si>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</si>
  <si>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</si>
  <si>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</si>
  <si>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</si>
  <si>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</si>
  <si>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Main Assy.</t>
  </si>
  <si>
    <t>STAMP</t>
  </si>
  <si>
    <t>WELDMENT,SKATE BODY, REVERSE VEE, PC4100</t>
  </si>
  <si>
    <t>BOM WELDMENT,SKATE BODY, REVERSE VEE, PC4100_AY30107</t>
  </si>
  <si>
    <t>SKATE MID RIB, PC4100</t>
  </si>
  <si>
    <t>PIPE PUSHER, PC4100</t>
  </si>
  <si>
    <t>SKID PAD MOUNT, PC4100</t>
  </si>
  <si>
    <t>PLATE, SKATE REVERSED VEE, PC4100</t>
  </si>
  <si>
    <t>DT34574</t>
  </si>
  <si>
    <t>DT34573</t>
  </si>
  <si>
    <t>DT34572</t>
  </si>
  <si>
    <t>DT34571</t>
  </si>
  <si>
    <t>A36/S275JR/SA 516 GR.70</t>
  </si>
  <si>
    <t>A572 Gr. 50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</si>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</sst>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94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24" fillId="0" borderId="14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1" fontId="23" fillId="0" borderId="0" xfId="0" applyNumberFormat="1" applyFont="1" applyFill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7" sheet="BOM SKATE BODY, AY30107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8" sqref="A8:C8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218</v>
      </c>
      <c r="B1" s="414" t="s">
        <v>219</v>
      </c>
      <c r="C1" s="414" t="s">
        <v>220</v>
      </c>
    </row>
    <row r="2" spans="1:3" x14ac:dyDescent="0.25">
      <c r="A2" s="413" t="s">
        <v>221</v>
      </c>
      <c r="B2" s="413" t="s">
        <v>222</v>
      </c>
      <c r="C2" s="413">
        <v>1</v>
      </c>
    </row>
    <row r="3" spans="1:3" x14ac:dyDescent="0.25">
      <c r="A3" s="413" t="s">
        <v>223</v>
      </c>
      <c r="B3" s="413" t="s">
        <v>224</v>
      </c>
      <c r="C3" s="413">
        <v>2</v>
      </c>
    </row>
    <row r="4" spans="1:3" x14ac:dyDescent="0.25">
      <c r="A4" s="413" t="s">
        <v>225</v>
      </c>
      <c r="B4" s="413" t="s">
        <v>226</v>
      </c>
      <c r="C4" s="413">
        <v>1</v>
      </c>
    </row>
    <row r="5" spans="1:3" x14ac:dyDescent="0.25">
      <c r="A5" s="413" t="s">
        <v>227</v>
      </c>
      <c r="B5" s="413" t="s">
        <v>226</v>
      </c>
      <c r="C5" s="413">
        <v>23</v>
      </c>
    </row>
    <row r="6" spans="1:3" x14ac:dyDescent="0.25">
      <c r="A6" s="413" t="s">
        <v>228</v>
      </c>
      <c r="B6" s="413" t="s">
        <v>229</v>
      </c>
      <c r="C6" s="413">
        <v>1</v>
      </c>
    </row>
    <row r="7" spans="1:3" x14ac:dyDescent="0.25">
      <c r="A7" s="413" t="s">
        <v>230</v>
      </c>
      <c r="B7" s="413" t="s">
        <v>231</v>
      </c>
      <c r="C7" s="413">
        <v>4</v>
      </c>
    </row>
    <row r="8" spans="1:3" x14ac:dyDescent="0.25">
      <c r="A8" s="413" t="s">
        <v>232</v>
      </c>
      <c r="B8" s="413" t="s">
        <v>233</v>
      </c>
      <c r="C8" s="413">
        <v>1</v>
      </c>
    </row>
    <row r="9" spans="1:3" x14ac:dyDescent="0.25">
      <c r="A9" s="413" t="s">
        <v>234</v>
      </c>
      <c r="B9" s="413" t="s">
        <v>235</v>
      </c>
      <c r="C9" s="413">
        <v>0</v>
      </c>
    </row>
    <row r="10" spans="1:3" x14ac:dyDescent="0.25">
      <c r="A10" s="413" t="s">
        <v>236</v>
      </c>
      <c r="B10" s="413" t="s">
        <v>237</v>
      </c>
      <c r="C10" s="413">
        <v>1</v>
      </c>
    </row>
    <row r="11" spans="1:3" x14ac:dyDescent="0.25">
      <c r="A11" s="413" t="s">
        <v>238</v>
      </c>
      <c r="B11" s="413" t="s">
        <v>239</v>
      </c>
      <c r="C11" s="413">
        <v>1</v>
      </c>
    </row>
    <row r="12" spans="1:3" x14ac:dyDescent="0.25">
      <c r="A12" s="413" t="s">
        <v>240</v>
      </c>
      <c r="B12" s="413" t="s">
        <v>241</v>
      </c>
      <c r="C12" s="413">
        <v>1</v>
      </c>
    </row>
    <row r="13" spans="1:3" x14ac:dyDescent="0.25">
      <c r="A13" s="413" t="s">
        <v>242</v>
      </c>
      <c r="B13" s="413" t="s">
        <v>243</v>
      </c>
      <c r="C13" s="413">
        <v>1</v>
      </c>
    </row>
    <row r="14" spans="1:3" x14ac:dyDescent="0.25">
      <c r="A14" s="413" t="s">
        <v>244</v>
      </c>
      <c r="B14" s="413" t="s">
        <v>245</v>
      </c>
      <c r="C14" s="413">
        <v>1</v>
      </c>
    </row>
    <row r="15" spans="1:3" x14ac:dyDescent="0.25">
      <c r="A15" s="413" t="s">
        <v>246</v>
      </c>
      <c r="B15" s="413" t="s">
        <v>247</v>
      </c>
      <c r="C15" s="413">
        <v>1</v>
      </c>
    </row>
    <row r="16" spans="1:3" x14ac:dyDescent="0.25">
      <c r="A16" s="413" t="s">
        <v>248</v>
      </c>
      <c r="B16" s="413" t="s">
        <v>249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21" t="s">
        <v>92</v>
      </c>
      <c r="B1" s="422"/>
      <c r="C1" s="423"/>
      <c r="D1" s="424" t="s">
        <v>186</v>
      </c>
      <c r="E1" s="425"/>
    </row>
    <row r="2" spans="1:5" x14ac:dyDescent="0.25">
      <c r="A2" s="426"/>
      <c r="B2" s="427"/>
      <c r="C2" s="427"/>
      <c r="D2" s="221" t="s">
        <v>187</v>
      </c>
      <c r="E2" s="222" t="s">
        <v>8</v>
      </c>
    </row>
    <row r="3" spans="1:5" ht="18" customHeight="1" x14ac:dyDescent="0.25">
      <c r="A3" s="428"/>
      <c r="B3" s="429"/>
      <c r="C3" s="429"/>
      <c r="D3" s="223" t="str">
        <f>'BOM SKATE BODY, AY30107'!F3</f>
        <v>AY30107</v>
      </c>
      <c r="E3" s="224">
        <v>5</v>
      </c>
    </row>
    <row r="4" spans="1:5" x14ac:dyDescent="0.25">
      <c r="A4" s="225" t="s">
        <v>93</v>
      </c>
      <c r="B4" s="226" t="s">
        <v>94</v>
      </c>
      <c r="C4" s="227"/>
      <c r="D4" s="225" t="s">
        <v>95</v>
      </c>
      <c r="E4" s="228" t="s">
        <v>96</v>
      </c>
    </row>
    <row r="5" spans="1:5" x14ac:dyDescent="0.25">
      <c r="A5" s="229" t="s">
        <v>97</v>
      </c>
      <c r="B5" s="230" t="s">
        <v>98</v>
      </c>
      <c r="C5" s="231"/>
      <c r="D5" s="232">
        <f>Summary!G8</f>
        <v>228.15241569999998</v>
      </c>
      <c r="E5" s="233"/>
    </row>
    <row r="6" spans="1:5" x14ac:dyDescent="0.25">
      <c r="A6" s="229" t="s">
        <v>99</v>
      </c>
      <c r="B6" s="230" t="s">
        <v>100</v>
      </c>
      <c r="C6" s="234"/>
      <c r="D6" s="232">
        <f>Summary!G9</f>
        <v>167.2130176</v>
      </c>
      <c r="E6" s="233"/>
    </row>
    <row r="7" spans="1:5" x14ac:dyDescent="0.25">
      <c r="A7" s="235" t="s">
        <v>101</v>
      </c>
      <c r="B7" s="236" t="s">
        <v>188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102</v>
      </c>
      <c r="B8" s="236" t="s">
        <v>103</v>
      </c>
      <c r="C8" s="237" t="s">
        <v>202</v>
      </c>
      <c r="D8" s="240"/>
      <c r="E8" s="241">
        <v>0</v>
      </c>
    </row>
    <row r="9" spans="1:5" ht="16.5" thickBot="1" x14ac:dyDescent="0.3">
      <c r="A9" s="242"/>
      <c r="B9" s="243" t="s">
        <v>104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105</v>
      </c>
      <c r="B11" s="253" t="s">
        <v>106</v>
      </c>
      <c r="C11" s="254"/>
      <c r="D11" s="255"/>
      <c r="E11" s="256"/>
    </row>
    <row r="12" spans="1:5" x14ac:dyDescent="0.25">
      <c r="A12" s="229" t="s">
        <v>97</v>
      </c>
      <c r="B12" s="257" t="s">
        <v>107</v>
      </c>
      <c r="C12" s="258">
        <v>0</v>
      </c>
      <c r="D12" s="229"/>
      <c r="E12" s="241">
        <v>0</v>
      </c>
    </row>
    <row r="13" spans="1:5" x14ac:dyDescent="0.25">
      <c r="A13" s="229" t="s">
        <v>99</v>
      </c>
      <c r="B13" s="257" t="s">
        <v>108</v>
      </c>
      <c r="C13" s="258">
        <v>0</v>
      </c>
      <c r="D13" s="229"/>
      <c r="E13" s="259">
        <f>Summary!F33</f>
        <v>4129.8547667087714</v>
      </c>
    </row>
    <row r="14" spans="1:5" x14ac:dyDescent="0.25">
      <c r="A14" s="229" t="s">
        <v>101</v>
      </c>
      <c r="B14" s="257" t="s">
        <v>109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102</v>
      </c>
      <c r="B15" s="257" t="s">
        <v>110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111</v>
      </c>
      <c r="B16" s="257" t="s">
        <v>189</v>
      </c>
      <c r="C16" s="258" t="s">
        <v>201</v>
      </c>
      <c r="D16" s="229"/>
      <c r="E16" s="241">
        <v>0</v>
      </c>
    </row>
    <row r="17" spans="1:5" ht="16.5" thickBot="1" x14ac:dyDescent="0.3">
      <c r="A17" s="261"/>
      <c r="B17" s="262" t="s">
        <v>112</v>
      </c>
      <c r="C17" s="263"/>
      <c r="D17" s="264"/>
      <c r="E17" s="265">
        <f>SUM(E9:E16)</f>
        <v>28066.594182508772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113</v>
      </c>
      <c r="B19" s="269" t="s">
        <v>114</v>
      </c>
      <c r="C19" s="270"/>
      <c r="D19" s="271"/>
      <c r="E19" s="272"/>
    </row>
    <row r="20" spans="1:5" x14ac:dyDescent="0.25">
      <c r="A20" s="260" t="s">
        <v>115</v>
      </c>
      <c r="B20" s="230" t="s">
        <v>116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117</v>
      </c>
      <c r="B21" s="230" t="s">
        <v>118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119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120</v>
      </c>
      <c r="B24" s="284" t="s">
        <v>121</v>
      </c>
      <c r="C24" s="285"/>
      <c r="D24" s="286"/>
      <c r="E24" s="287"/>
    </row>
    <row r="25" spans="1:5" x14ac:dyDescent="0.25">
      <c r="A25" s="229" t="s">
        <v>97</v>
      </c>
      <c r="B25" s="257" t="s">
        <v>122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99</v>
      </c>
      <c r="B26" s="257" t="s">
        <v>123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101</v>
      </c>
      <c r="B27" s="290" t="s">
        <v>124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125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190</v>
      </c>
      <c r="B30" s="301" t="s">
        <v>191</v>
      </c>
      <c r="C30" s="302" t="s">
        <v>192</v>
      </c>
      <c r="D30" s="303"/>
      <c r="E30" s="304">
        <v>0</v>
      </c>
    </row>
    <row r="31" spans="1:5" ht="27" customHeight="1" thickBot="1" x14ac:dyDescent="0.3">
      <c r="A31" s="305"/>
      <c r="B31" s="306" t="s">
        <v>193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194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195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196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197</v>
      </c>
      <c r="C36" s="323"/>
      <c r="D36" s="322">
        <f>E3</f>
        <v>5</v>
      </c>
      <c r="E36" s="323">
        <f>Summary!F36</f>
        <v>24987.355381239646</v>
      </c>
    </row>
    <row r="37" spans="1:5" x14ac:dyDescent="0.25">
      <c r="A37" s="229"/>
      <c r="B37" s="332" t="s">
        <v>198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199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30" t="s">
        <v>126</v>
      </c>
      <c r="B44" s="431"/>
      <c r="C44" s="431"/>
      <c r="D44" s="424" t="s">
        <v>186</v>
      </c>
      <c r="E44" s="425"/>
    </row>
    <row r="45" spans="1:5" ht="25.5" customHeight="1" x14ac:dyDescent="0.25">
      <c r="A45" s="341">
        <v>1</v>
      </c>
      <c r="B45" s="342" t="s">
        <v>127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128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119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123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124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51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200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53" t="s">
        <v>52</v>
      </c>
      <c r="B1" s="454"/>
      <c r="C1" s="454"/>
      <c r="D1" s="454"/>
      <c r="E1" s="455"/>
      <c r="F1" s="456"/>
      <c r="G1" s="13"/>
    </row>
    <row r="2" spans="1:14" ht="26.45" customHeight="1" x14ac:dyDescent="0.2">
      <c r="A2" s="16" t="s">
        <v>53</v>
      </c>
      <c r="B2" s="474" t="str">
        <f>'BOM SKATE BODY, AY30107'!H3</f>
        <v>WELDMENT,SKATE BODY, REVERSE VEE, PC4100</v>
      </c>
      <c r="C2" s="475"/>
      <c r="D2" s="17"/>
      <c r="E2" s="17" t="s">
        <v>54</v>
      </c>
      <c r="F2" s="128"/>
    </row>
    <row r="3" spans="1:14" ht="24.6" customHeight="1" thickBot="1" x14ac:dyDescent="0.25">
      <c r="A3" s="16" t="s">
        <v>55</v>
      </c>
      <c r="B3" s="474" t="str">
        <f>'BOM SKATE BODY, AY30107'!F3</f>
        <v>AY30107</v>
      </c>
      <c r="C3" s="475"/>
      <c r="D3" s="17"/>
      <c r="E3" s="17" t="s">
        <v>56</v>
      </c>
      <c r="F3" s="19">
        <f>'BOM SKATE BODY, AY30107'!J3</f>
        <v>1</v>
      </c>
      <c r="G3" s="13"/>
    </row>
    <row r="4" spans="1:14" ht="25.5" customHeight="1" thickBot="1" x14ac:dyDescent="0.25">
      <c r="A4" s="16" t="s">
        <v>57</v>
      </c>
      <c r="B4" s="129"/>
      <c r="C4" s="129">
        <f>'BOM SKATE BODY, AY30107'!M3</f>
        <v>80</v>
      </c>
      <c r="D4" s="20"/>
      <c r="E4" s="206"/>
      <c r="F4" s="21"/>
      <c r="G4" s="13"/>
      <c r="I4" s="432" t="s">
        <v>180</v>
      </c>
      <c r="J4" s="433"/>
      <c r="K4" s="433"/>
      <c r="L4" s="433"/>
      <c r="M4" s="433"/>
      <c r="N4" s="434"/>
    </row>
    <row r="5" spans="1:14" ht="21.75" customHeight="1" thickBot="1" x14ac:dyDescent="0.25">
      <c r="A5" s="457" t="s">
        <v>58</v>
      </c>
      <c r="B5" s="458"/>
      <c r="C5" s="458"/>
      <c r="D5" s="458"/>
      <c r="E5" s="459"/>
      <c r="F5" s="460"/>
      <c r="G5" s="22"/>
      <c r="I5" s="181" t="s">
        <v>13</v>
      </c>
      <c r="J5" s="181" t="s">
        <v>45</v>
      </c>
      <c r="K5" s="181" t="s">
        <v>46</v>
      </c>
      <c r="L5" s="181" t="s">
        <v>47</v>
      </c>
      <c r="M5" s="181" t="s">
        <v>179</v>
      </c>
      <c r="N5" s="181" t="s">
        <v>48</v>
      </c>
    </row>
    <row r="6" spans="1:14" ht="28.5" customHeight="1" thickBot="1" x14ac:dyDescent="0.25">
      <c r="A6" s="461" t="s">
        <v>59</v>
      </c>
      <c r="B6" s="462"/>
      <c r="C6" s="462"/>
      <c r="D6" s="462"/>
      <c r="E6" s="463"/>
      <c r="F6" s="464"/>
      <c r="G6" s="22"/>
      <c r="H6" s="23"/>
      <c r="I6" s="182" t="s">
        <v>49</v>
      </c>
      <c r="J6" s="182" t="s">
        <v>165</v>
      </c>
      <c r="K6" s="183" t="s">
        <v>170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60</v>
      </c>
      <c r="B7" s="25"/>
      <c r="C7" s="25"/>
      <c r="D7" s="25" t="s">
        <v>170</v>
      </c>
      <c r="E7" s="26"/>
      <c r="F7" s="26" t="s">
        <v>171</v>
      </c>
      <c r="G7" s="22"/>
      <c r="H7" s="2"/>
      <c r="I7" s="182" t="s">
        <v>49</v>
      </c>
      <c r="J7" s="182" t="s">
        <v>164</v>
      </c>
      <c r="K7" s="183" t="s">
        <v>171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61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62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63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64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65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66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67</v>
      </c>
      <c r="B14" s="465">
        <f>SUM(B13:F13)</f>
        <v>18585.922852599997</v>
      </c>
      <c r="C14" s="466"/>
      <c r="D14" s="467"/>
      <c r="E14" s="468"/>
      <c r="F14" s="469"/>
      <c r="G14" s="48">
        <f>G13/G8</f>
        <v>81.462748468281944</v>
      </c>
      <c r="H14" s="36"/>
    </row>
    <row r="15" spans="1:14" ht="15" x14ac:dyDescent="0.25">
      <c r="A15" s="470" t="s">
        <v>68</v>
      </c>
      <c r="B15" s="471"/>
      <c r="C15" s="471"/>
      <c r="D15" s="471"/>
      <c r="E15" s="472"/>
      <c r="F15" s="473"/>
      <c r="G15" s="22"/>
      <c r="H15"/>
    </row>
    <row r="16" spans="1:14" ht="24.75" customHeight="1" x14ac:dyDescent="0.2">
      <c r="A16" s="49" t="s">
        <v>69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48" t="s">
        <v>70</v>
      </c>
      <c r="B17" s="449"/>
      <c r="C17" s="449"/>
      <c r="D17" s="449"/>
      <c r="E17" s="214"/>
      <c r="F17" s="54">
        <f>SUM(F16:F16)</f>
        <v>0</v>
      </c>
      <c r="G17" s="127"/>
      <c r="I17" s="53"/>
    </row>
    <row r="18" spans="1:9" ht="13.5" thickBot="1" x14ac:dyDescent="0.25">
      <c r="A18" s="446" t="s">
        <v>71</v>
      </c>
      <c r="B18" s="447"/>
      <c r="C18" s="447"/>
      <c r="D18" s="447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35" t="s">
        <v>72</v>
      </c>
      <c r="B19" s="436"/>
      <c r="C19" s="436"/>
      <c r="D19" s="436"/>
      <c r="E19" s="437"/>
      <c r="F19" s="438"/>
      <c r="G19" s="22"/>
    </row>
    <row r="20" spans="1:9" x14ac:dyDescent="0.2">
      <c r="A20" s="56" t="s">
        <v>60</v>
      </c>
      <c r="B20" s="57" t="s">
        <v>22</v>
      </c>
      <c r="C20" s="57"/>
      <c r="D20" s="58" t="s">
        <v>73</v>
      </c>
      <c r="E20" s="59"/>
      <c r="F20" s="60" t="s">
        <v>74</v>
      </c>
      <c r="G20" s="22"/>
    </row>
    <row r="21" spans="1:9" ht="18" customHeight="1" x14ac:dyDescent="0.2">
      <c r="A21" s="61" t="s">
        <v>75</v>
      </c>
      <c r="B21" s="62">
        <f>'BOM SKATE BODY, AY30107'!W3</f>
        <v>0</v>
      </c>
      <c r="C21" s="62"/>
      <c r="D21" s="63">
        <v>50</v>
      </c>
      <c r="E21" s="64" t="s">
        <v>182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76</v>
      </c>
      <c r="B22" s="62">
        <f>'BOM SKATE BODY, AY30107'!AA3/60</f>
        <v>0.66666666666666663</v>
      </c>
      <c r="C22" s="62"/>
      <c r="D22" s="63">
        <v>550</v>
      </c>
      <c r="E22" s="64"/>
      <c r="F22" s="54">
        <f t="shared" si="2"/>
        <v>366.66666666666663</v>
      </c>
      <c r="G22" s="65"/>
      <c r="H22" s="78">
        <f t="shared" ref="H22:H35" si="3">F22/$G$9</f>
        <v>2.1928117315829518</v>
      </c>
    </row>
    <row r="23" spans="1:9" ht="18" customHeight="1" x14ac:dyDescent="0.2">
      <c r="A23" s="61" t="s">
        <v>77</v>
      </c>
      <c r="B23" s="62">
        <f>'BOM SKATE BODY, AY30107'!Y3</f>
        <v>0</v>
      </c>
      <c r="C23" s="62"/>
      <c r="D23" s="63">
        <v>10</v>
      </c>
      <c r="E23" s="64"/>
      <c r="F23" s="54">
        <f t="shared" si="2"/>
        <v>0</v>
      </c>
      <c r="G23" s="90"/>
      <c r="H23" s="78">
        <f t="shared" si="3"/>
        <v>0</v>
      </c>
    </row>
    <row r="24" spans="1:9" ht="18" customHeight="1" x14ac:dyDescent="0.2">
      <c r="A24" s="61" t="s">
        <v>78</v>
      </c>
      <c r="B24" s="62">
        <f>'BOM SKATE BODY, AY30107'!AE3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79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80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81</v>
      </c>
      <c r="B27" s="67"/>
      <c r="C27" s="67"/>
      <c r="D27" s="68">
        <v>250</v>
      </c>
      <c r="E27" s="69"/>
      <c r="F27" s="70">
        <f t="shared" si="2"/>
        <v>0</v>
      </c>
      <c r="G27" s="127" t="s">
        <v>82</v>
      </c>
      <c r="H27" s="78">
        <f t="shared" si="3"/>
        <v>0</v>
      </c>
    </row>
    <row r="28" spans="1:9" ht="18" customHeight="1" x14ac:dyDescent="0.2">
      <c r="A28" s="61" t="s">
        <v>83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84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85</v>
      </c>
      <c r="B30" s="63">
        <f>'BOM SKATE BODY, AY30107'!AH3</f>
        <v>0</v>
      </c>
      <c r="C30" s="63"/>
      <c r="D30" s="63">
        <v>1250</v>
      </c>
      <c r="E30" s="64"/>
      <c r="F30" s="71">
        <f>B30*D30</f>
        <v>0</v>
      </c>
      <c r="G30" s="72" t="s">
        <v>183</v>
      </c>
      <c r="H30" s="78">
        <f t="shared" si="3"/>
        <v>0</v>
      </c>
    </row>
    <row r="31" spans="1:9" ht="18" customHeight="1" x14ac:dyDescent="0.2">
      <c r="A31" s="61" t="s">
        <v>152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185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203</v>
      </c>
      <c r="B33" s="73"/>
      <c r="C33" s="73"/>
      <c r="D33" s="74"/>
      <c r="E33" s="75"/>
      <c r="F33" s="76">
        <f>SUM(F21:F32)</f>
        <v>4129.8547667087714</v>
      </c>
      <c r="G33" s="22"/>
      <c r="H33" s="78">
        <f t="shared" si="3"/>
        <v>24.698165405925739</v>
      </c>
    </row>
    <row r="34" spans="1:13" ht="22.5" customHeight="1" x14ac:dyDescent="0.2">
      <c r="A34" s="439" t="s">
        <v>86</v>
      </c>
      <c r="B34" s="440"/>
      <c r="C34" s="440"/>
      <c r="D34" s="441"/>
      <c r="E34" s="118"/>
      <c r="F34" s="217">
        <f>F18+F33</f>
        <v>22715.77761930877</v>
      </c>
      <c r="G34" s="77"/>
      <c r="H34" s="78"/>
    </row>
    <row r="35" spans="1:13" x14ac:dyDescent="0.2">
      <c r="A35" s="119" t="s">
        <v>155</v>
      </c>
      <c r="B35" s="119"/>
      <c r="C35" s="119"/>
      <c r="D35" s="130"/>
      <c r="E35" s="219">
        <v>0.1</v>
      </c>
      <c r="F35" s="218">
        <f>F34*E35</f>
        <v>2271.5777619308769</v>
      </c>
      <c r="G35" s="79"/>
      <c r="H35" s="78">
        <f t="shared" si="3"/>
        <v>13.58493372426811</v>
      </c>
    </row>
    <row r="36" spans="1:13" x14ac:dyDescent="0.2">
      <c r="A36" s="119" t="s">
        <v>156</v>
      </c>
      <c r="B36" s="119"/>
      <c r="C36" s="119"/>
      <c r="D36" s="130"/>
      <c r="E36" s="130"/>
      <c r="F36" s="218">
        <f>SUM(F34:F35)</f>
        <v>24987.355381239646</v>
      </c>
      <c r="G36" s="79"/>
      <c r="H36" s="78">
        <f>F36/G9</f>
        <v>149.43427096694921</v>
      </c>
      <c r="I36" s="78">
        <f>F36/G8</f>
        <v>109.52045063636663</v>
      </c>
    </row>
    <row r="39" spans="1:13" ht="12.75" customHeight="1" thickBot="1" x14ac:dyDescent="0.25">
      <c r="G39" s="15" t="s">
        <v>87</v>
      </c>
      <c r="H39" s="53"/>
    </row>
    <row r="40" spans="1:13" ht="12.75" customHeight="1" x14ac:dyDescent="0.2">
      <c r="A40" s="442" t="s">
        <v>88</v>
      </c>
      <c r="B40" s="443"/>
      <c r="C40" s="443"/>
      <c r="D40" s="443"/>
      <c r="E40" s="216"/>
      <c r="F40" s="80" t="s">
        <v>89</v>
      </c>
      <c r="G40" s="15" t="s">
        <v>87</v>
      </c>
      <c r="H40" s="53"/>
    </row>
    <row r="41" spans="1:13" x14ac:dyDescent="0.2">
      <c r="A41" s="444" t="s">
        <v>184</v>
      </c>
      <c r="B41" s="445"/>
      <c r="C41" s="445"/>
      <c r="D41" s="445"/>
      <c r="E41" s="166"/>
      <c r="F41" s="81"/>
    </row>
    <row r="42" spans="1:13" ht="13.5" thickBot="1" x14ac:dyDescent="0.25">
      <c r="A42" s="476" t="s">
        <v>90</v>
      </c>
      <c r="B42" s="477"/>
      <c r="C42" s="477"/>
      <c r="D42" s="477"/>
      <c r="E42" s="358"/>
      <c r="F42" s="359" t="s">
        <v>91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50" t="s">
        <v>215</v>
      </c>
      <c r="B45" s="451"/>
      <c r="C45" s="451"/>
      <c r="D45" s="452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154</v>
      </c>
      <c r="B46" s="399" t="s">
        <v>213</v>
      </c>
      <c r="C46" s="399" t="s">
        <v>209</v>
      </c>
      <c r="D46" s="400" t="s">
        <v>210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153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211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216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217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212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155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214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A45:D45"/>
    <mergeCell ref="A1:F1"/>
    <mergeCell ref="A5:F5"/>
    <mergeCell ref="A6:F6"/>
    <mergeCell ref="B14:F14"/>
    <mergeCell ref="A15:F15"/>
    <mergeCell ref="B2:C2"/>
    <mergeCell ref="B3:C3"/>
    <mergeCell ref="A42:D42"/>
    <mergeCell ref="I4:N4"/>
    <mergeCell ref="A19:F19"/>
    <mergeCell ref="A34:D34"/>
    <mergeCell ref="A40:D40"/>
    <mergeCell ref="A41:D41"/>
    <mergeCell ref="A18:D18"/>
    <mergeCell ref="A17:D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17"/>
  <sheetViews>
    <sheetView tabSelected="1" zoomScale="70" zoomScaleNormal="70" workbookViewId="0">
      <selection activeCell="N10" sqref="N10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5.14062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8" t="s">
        <v>0</v>
      </c>
      <c r="B1" s="133"/>
      <c r="C1" s="480" t="s">
        <v>1</v>
      </c>
      <c r="D1" s="481"/>
      <c r="E1" s="481"/>
      <c r="F1" s="482" t="s">
        <v>253</v>
      </c>
      <c r="G1" s="482"/>
      <c r="H1" s="482"/>
      <c r="I1" s="482"/>
      <c r="J1" s="482"/>
      <c r="K1" s="482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9"/>
      <c r="B2" s="180" t="s">
        <v>166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24</v>
      </c>
      <c r="V2" s="143" t="s">
        <v>25</v>
      </c>
      <c r="W2" s="143" t="s">
        <v>26</v>
      </c>
      <c r="X2" s="143" t="s">
        <v>27</v>
      </c>
      <c r="Y2" s="143" t="s">
        <v>28</v>
      </c>
      <c r="Z2" s="143" t="s">
        <v>29</v>
      </c>
      <c r="AA2" s="143" t="s">
        <v>30</v>
      </c>
      <c r="AB2" s="143" t="s">
        <v>31</v>
      </c>
      <c r="AC2" s="143" t="s">
        <v>32</v>
      </c>
      <c r="AD2" s="143" t="s">
        <v>33</v>
      </c>
      <c r="AE2" s="143" t="s">
        <v>34</v>
      </c>
      <c r="AF2" s="142" t="s">
        <v>35</v>
      </c>
      <c r="AG2" s="144" t="s">
        <v>20</v>
      </c>
      <c r="AH2" s="144" t="s">
        <v>129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232</v>
      </c>
      <c r="G3" s="145" t="s">
        <v>21</v>
      </c>
      <c r="H3" s="146" t="s">
        <v>252</v>
      </c>
      <c r="I3" s="145">
        <f>'Customer Data '!C8</f>
        <v>1</v>
      </c>
      <c r="J3" s="147">
        <f>I3</f>
        <v>1</v>
      </c>
      <c r="K3" s="148">
        <v>7057.6</v>
      </c>
      <c r="L3" s="148">
        <v>80</v>
      </c>
      <c r="M3" s="148">
        <f>L3*J3</f>
        <v>80</v>
      </c>
      <c r="N3" s="164" t="s">
        <v>250</v>
      </c>
      <c r="O3" s="151"/>
      <c r="P3" s="167"/>
      <c r="Q3" s="149"/>
      <c r="R3" s="145"/>
      <c r="S3" s="145"/>
      <c r="T3" s="148"/>
      <c r="U3" s="148">
        <f>SUM(U4:U7)</f>
        <v>0</v>
      </c>
      <c r="V3" s="150"/>
      <c r="W3" s="148">
        <f>SUMPRODUCT(W4:W7,$J$4:$J$7)</f>
        <v>0</v>
      </c>
      <c r="X3" s="148">
        <f>SUM(X4:X7)</f>
        <v>0</v>
      </c>
      <c r="Y3" s="148">
        <f>SUMPRODUCT(Y4:Y7,$J$4:$J$7)</f>
        <v>0</v>
      </c>
      <c r="Z3" s="148"/>
      <c r="AA3" s="148">
        <f>SUMPRODUCT(AA4:AA7,$J$4:$J$7)</f>
        <v>40</v>
      </c>
      <c r="AB3" s="148">
        <f>SUM(AB4:AB7)</f>
        <v>366.66666666666669</v>
      </c>
      <c r="AC3" s="148" t="s">
        <v>251</v>
      </c>
      <c r="AD3" s="148"/>
      <c r="AE3" s="148">
        <f>'Welding Details'!G3*(1+$AE$1)*J3/1000</f>
        <v>0</v>
      </c>
      <c r="AF3" s="148"/>
      <c r="AG3" s="151"/>
      <c r="AH3" s="148">
        <f>SUM(AH4:AH7)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258</v>
      </c>
      <c r="G4" s="153"/>
      <c r="H4" s="154" t="s">
        <v>254</v>
      </c>
      <c r="I4" s="153">
        <v>1</v>
      </c>
      <c r="J4" s="155">
        <f>I4*$J$3</f>
        <v>1</v>
      </c>
      <c r="K4" s="155"/>
      <c r="L4" s="156">
        <v>36.5</v>
      </c>
      <c r="M4" s="156">
        <f>L4*J4</f>
        <v>36.5</v>
      </c>
      <c r="N4" s="157" t="s">
        <v>264</v>
      </c>
      <c r="O4" s="159" t="s">
        <v>262</v>
      </c>
      <c r="P4" s="153"/>
      <c r="Q4" s="158"/>
      <c r="R4" s="153">
        <v>25</v>
      </c>
      <c r="S4" s="153">
        <v>279</v>
      </c>
      <c r="T4" s="415">
        <v>1275</v>
      </c>
      <c r="U4" s="156"/>
      <c r="V4" s="156"/>
      <c r="W4" s="156"/>
      <c r="X4" s="156"/>
      <c r="Y4" s="156"/>
      <c r="Z4" s="156"/>
      <c r="AA4" s="156">
        <v>10</v>
      </c>
      <c r="AB4" s="156">
        <f>AA4*$AB$1/60*J4</f>
        <v>91.666666666666671</v>
      </c>
      <c r="AC4" s="156"/>
      <c r="AD4" s="156"/>
      <c r="AE4" s="156"/>
      <c r="AF4" s="156"/>
      <c r="AG4" s="159"/>
      <c r="AH4" s="156"/>
    </row>
    <row r="5" spans="1:34" s="160" customFormat="1" ht="26.25" customHeight="1" x14ac:dyDescent="0.25">
      <c r="A5" s="153">
        <v>3</v>
      </c>
      <c r="B5" s="153"/>
      <c r="C5" s="153"/>
      <c r="D5" s="153">
        <v>1.2</v>
      </c>
      <c r="E5" s="153"/>
      <c r="F5" s="153" t="s">
        <v>259</v>
      </c>
      <c r="G5" s="153"/>
      <c r="H5" s="154" t="s">
        <v>255</v>
      </c>
      <c r="I5" s="153">
        <v>1</v>
      </c>
      <c r="J5" s="155">
        <f t="shared" ref="J5:J7" si="0">I5*$J$3</f>
        <v>1</v>
      </c>
      <c r="K5" s="155"/>
      <c r="L5" s="156">
        <v>14</v>
      </c>
      <c r="M5" s="156">
        <f t="shared" ref="M5:M7" si="1">L5*J5</f>
        <v>14</v>
      </c>
      <c r="N5" s="157" t="s">
        <v>264</v>
      </c>
      <c r="O5" s="159" t="s">
        <v>262</v>
      </c>
      <c r="P5" s="153"/>
      <c r="Q5" s="158"/>
      <c r="R5" s="153">
        <v>25</v>
      </c>
      <c r="S5" s="153">
        <v>203</v>
      </c>
      <c r="T5" s="415">
        <v>406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  <row r="6" spans="1:34" s="160" customFormat="1" ht="26.25" customHeight="1" x14ac:dyDescent="0.25">
      <c r="A6" s="153">
        <v>4</v>
      </c>
      <c r="B6" s="153"/>
      <c r="C6" s="153"/>
      <c r="D6" s="153">
        <v>1.3</v>
      </c>
      <c r="E6" s="153"/>
      <c r="F6" s="153" t="s">
        <v>260</v>
      </c>
      <c r="G6" s="153"/>
      <c r="H6" s="154" t="s">
        <v>256</v>
      </c>
      <c r="I6" s="153">
        <v>2</v>
      </c>
      <c r="J6" s="155">
        <f t="shared" si="0"/>
        <v>2</v>
      </c>
      <c r="K6" s="155"/>
      <c r="L6" s="156">
        <v>14</v>
      </c>
      <c r="M6" s="156">
        <f t="shared" si="1"/>
        <v>28</v>
      </c>
      <c r="N6" s="157" t="s">
        <v>264</v>
      </c>
      <c r="O6" s="159" t="s">
        <v>262</v>
      </c>
      <c r="P6" s="153"/>
      <c r="Q6" s="158"/>
      <c r="R6" s="153">
        <v>20</v>
      </c>
      <c r="S6" s="153">
        <v>152</v>
      </c>
      <c r="T6" s="415">
        <v>738</v>
      </c>
      <c r="U6" s="156"/>
      <c r="V6" s="156"/>
      <c r="W6" s="156"/>
      <c r="X6" s="156"/>
      <c r="Y6" s="156"/>
      <c r="Z6" s="156"/>
      <c r="AA6" s="156">
        <v>15</v>
      </c>
      <c r="AB6" s="156">
        <f>AA6*$AB$1/60*J6</f>
        <v>275</v>
      </c>
      <c r="AC6" s="156"/>
      <c r="AD6" s="156"/>
      <c r="AE6" s="156"/>
      <c r="AF6" s="156"/>
      <c r="AG6" s="159"/>
      <c r="AH6" s="156"/>
    </row>
    <row r="7" spans="1:34" s="160" customFormat="1" ht="26.25" customHeight="1" x14ac:dyDescent="0.25">
      <c r="A7" s="153">
        <v>5</v>
      </c>
      <c r="B7" s="153"/>
      <c r="C7" s="153"/>
      <c r="D7" s="153">
        <v>1.4</v>
      </c>
      <c r="E7" s="153"/>
      <c r="F7" s="153" t="s">
        <v>261</v>
      </c>
      <c r="G7" s="153"/>
      <c r="H7" s="154" t="s">
        <v>257</v>
      </c>
      <c r="I7" s="153">
        <v>2</v>
      </c>
      <c r="J7" s="155">
        <f t="shared" si="0"/>
        <v>2</v>
      </c>
      <c r="K7" s="155"/>
      <c r="L7" s="156">
        <v>1</v>
      </c>
      <c r="M7" s="156">
        <f t="shared" si="1"/>
        <v>2</v>
      </c>
      <c r="N7" s="157" t="s">
        <v>264</v>
      </c>
      <c r="O7" s="159" t="s">
        <v>263</v>
      </c>
      <c r="P7" s="153"/>
      <c r="Q7" s="158"/>
      <c r="R7" s="153">
        <v>10</v>
      </c>
      <c r="S7" s="153">
        <v>104</v>
      </c>
      <c r="T7" s="415">
        <v>229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9"/>
      <c r="AH7" s="156"/>
    </row>
    <row r="8" spans="1:34" s="416" customFormat="1" x14ac:dyDescent="0.25">
      <c r="H8" s="419"/>
      <c r="O8" s="417"/>
      <c r="P8" s="418"/>
      <c r="T8" s="420"/>
      <c r="U8" s="420"/>
      <c r="AG8" s="417"/>
      <c r="AH8" s="417"/>
    </row>
    <row r="9" spans="1:34" s="416" customFormat="1" x14ac:dyDescent="0.25">
      <c r="H9" s="419"/>
      <c r="O9" s="417"/>
      <c r="P9" s="418"/>
      <c r="AG9" s="417"/>
      <c r="AH9" s="417"/>
    </row>
    <row r="10" spans="1:34" s="416" customFormat="1" x14ac:dyDescent="0.25">
      <c r="H10" s="419"/>
      <c r="O10" s="417"/>
      <c r="P10" s="418"/>
      <c r="AG10" s="417"/>
      <c r="AH10" s="417"/>
    </row>
    <row r="11" spans="1:34" s="416" customFormat="1" x14ac:dyDescent="0.25">
      <c r="H11" s="419"/>
      <c r="O11" s="417"/>
      <c r="P11" s="418"/>
      <c r="AG11" s="417"/>
      <c r="AH11" s="417"/>
    </row>
    <row r="12" spans="1:34" s="416" customFormat="1" x14ac:dyDescent="0.25">
      <c r="H12" s="419"/>
      <c r="AG12" s="417"/>
      <c r="AH12" s="417"/>
    </row>
    <row r="13" spans="1:34" s="416" customFormat="1" x14ac:dyDescent="0.25">
      <c r="H13" s="419"/>
      <c r="AG13" s="417"/>
      <c r="AH13" s="417"/>
    </row>
    <row r="14" spans="1:34" s="416" customFormat="1" x14ac:dyDescent="0.25">
      <c r="H14" s="419"/>
      <c r="P14" s="418"/>
      <c r="AG14" s="417"/>
      <c r="AH14" s="417"/>
    </row>
    <row r="15" spans="1:34" s="416" customFormat="1" x14ac:dyDescent="0.25">
      <c r="H15" s="419"/>
      <c r="AG15" s="417"/>
      <c r="AH15" s="417"/>
    </row>
    <row r="16" spans="1:34" s="416" customFormat="1" x14ac:dyDescent="0.25">
      <c r="H16" s="419"/>
      <c r="AG16" s="417"/>
      <c r="AH16" s="417"/>
    </row>
    <row r="17" spans="8:34" s="416" customFormat="1" x14ac:dyDescent="0.25">
      <c r="H17" s="419"/>
      <c r="O17" s="417"/>
      <c r="P17" s="418"/>
      <c r="AG17" s="417"/>
      <c r="AH17" s="417"/>
    </row>
  </sheetData>
  <autoFilter ref="A2:AK7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166</v>
      </c>
      <c r="I1" s="187" t="s">
        <v>159</v>
      </c>
    </row>
    <row r="2" spans="1:14" ht="28.5" customHeight="1" thickBot="1" x14ac:dyDescent="0.3">
      <c r="A2" s="483" t="s">
        <v>180</v>
      </c>
      <c r="B2" s="484"/>
      <c r="C2" s="484"/>
      <c r="D2" s="484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45</v>
      </c>
      <c r="C3" s="181" t="s">
        <v>46</v>
      </c>
      <c r="D3" s="181" t="s">
        <v>47</v>
      </c>
      <c r="E3" s="181" t="s">
        <v>179</v>
      </c>
      <c r="F3" s="181" t="s">
        <v>48</v>
      </c>
      <c r="G3" s="190"/>
      <c r="H3" s="191"/>
      <c r="I3" s="192" t="s">
        <v>175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49</v>
      </c>
      <c r="B4" s="182" t="s">
        <v>165</v>
      </c>
      <c r="C4" s="183" t="s">
        <v>170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171</v>
      </c>
      <c r="J4" s="191"/>
      <c r="K4" s="191" t="s">
        <v>170</v>
      </c>
      <c r="L4" s="191"/>
      <c r="M4" s="191" t="s">
        <v>176</v>
      </c>
      <c r="N4" s="191" t="s">
        <v>177</v>
      </c>
    </row>
    <row r="5" spans="1:14" s="193" customFormat="1" ht="31.5" x14ac:dyDescent="0.25">
      <c r="A5" s="182" t="s">
        <v>49</v>
      </c>
      <c r="B5" s="182" t="s">
        <v>164</v>
      </c>
      <c r="C5" s="183" t="s">
        <v>171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42</v>
      </c>
      <c r="I5" s="191" t="s">
        <v>178</v>
      </c>
      <c r="J5" s="191" t="s">
        <v>44</v>
      </c>
      <c r="K5" s="191" t="s">
        <v>178</v>
      </c>
      <c r="L5" s="191" t="s">
        <v>44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43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83" t="s">
        <v>180</v>
      </c>
      <c r="B11" s="484"/>
      <c r="C11" s="484"/>
      <c r="D11" s="484"/>
      <c r="E11" s="188" t="str">
        <f>I11</f>
        <v>DT34961</v>
      </c>
      <c r="F11" s="189"/>
      <c r="H11" s="186" t="s">
        <v>166</v>
      </c>
      <c r="I11" s="187" t="s">
        <v>160</v>
      </c>
    </row>
    <row r="12" spans="1:14" x14ac:dyDescent="0.25">
      <c r="A12" s="181" t="s">
        <v>13</v>
      </c>
      <c r="B12" s="181" t="s">
        <v>45</v>
      </c>
      <c r="C12" s="181" t="s">
        <v>46</v>
      </c>
      <c r="D12" s="181" t="s">
        <v>47</v>
      </c>
      <c r="E12" s="181" t="s">
        <v>179</v>
      </c>
      <c r="F12" s="181" t="s">
        <v>48</v>
      </c>
    </row>
    <row r="13" spans="1:14" ht="31.5" x14ac:dyDescent="0.25">
      <c r="A13" s="182" t="s">
        <v>49</v>
      </c>
      <c r="B13" s="182" t="s">
        <v>165</v>
      </c>
      <c r="C13" s="183" t="s">
        <v>170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175</v>
      </c>
      <c r="J13" s="191"/>
      <c r="K13" s="191"/>
      <c r="L13" s="191"/>
      <c r="M13" s="191"/>
      <c r="N13" s="191"/>
    </row>
    <row r="14" spans="1:14" ht="47.25" x14ac:dyDescent="0.25">
      <c r="A14" s="182" t="s">
        <v>49</v>
      </c>
      <c r="B14" s="182" t="s">
        <v>164</v>
      </c>
      <c r="C14" s="183" t="s">
        <v>171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171</v>
      </c>
      <c r="J14" s="191"/>
      <c r="K14" s="191" t="s">
        <v>170</v>
      </c>
      <c r="L14" s="191"/>
      <c r="M14" s="191" t="s">
        <v>176</v>
      </c>
      <c r="N14" s="191" t="s">
        <v>177</v>
      </c>
    </row>
    <row r="15" spans="1:14" ht="31.5" x14ac:dyDescent="0.25">
      <c r="H15" s="192" t="s">
        <v>42</v>
      </c>
      <c r="I15" s="191" t="s">
        <v>178</v>
      </c>
      <c r="J15" s="191" t="s">
        <v>44</v>
      </c>
      <c r="K15" s="191" t="s">
        <v>178</v>
      </c>
      <c r="L15" s="191" t="s">
        <v>44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43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83" t="s">
        <v>180</v>
      </c>
      <c r="B21" s="484"/>
      <c r="C21" s="484"/>
      <c r="D21" s="485"/>
      <c r="E21" s="188" t="str">
        <f>I21</f>
        <v>DT14062</v>
      </c>
      <c r="F21" s="189"/>
      <c r="H21" s="186" t="s">
        <v>166</v>
      </c>
      <c r="I21" s="187" t="s">
        <v>161</v>
      </c>
    </row>
    <row r="22" spans="1:14" ht="31.5" customHeight="1" x14ac:dyDescent="0.25">
      <c r="A22" s="181" t="s">
        <v>13</v>
      </c>
      <c r="B22" s="181" t="s">
        <v>45</v>
      </c>
      <c r="C22" s="181" t="s">
        <v>46</v>
      </c>
      <c r="D22" s="181" t="s">
        <v>47</v>
      </c>
      <c r="E22" s="181" t="s">
        <v>179</v>
      </c>
      <c r="F22" s="181" t="s">
        <v>48</v>
      </c>
    </row>
    <row r="23" spans="1:14" ht="23.25" customHeight="1" x14ac:dyDescent="0.25">
      <c r="A23" s="182" t="s">
        <v>49</v>
      </c>
      <c r="B23" s="182" t="s">
        <v>165</v>
      </c>
      <c r="C23" s="183" t="s">
        <v>170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175</v>
      </c>
      <c r="J23" s="191"/>
      <c r="K23" s="191"/>
      <c r="L23" s="191"/>
      <c r="M23" s="191"/>
      <c r="N23" s="191"/>
    </row>
    <row r="24" spans="1:14" ht="47.25" x14ac:dyDescent="0.25">
      <c r="A24" s="182" t="s">
        <v>49</v>
      </c>
      <c r="B24" s="182" t="s">
        <v>165</v>
      </c>
      <c r="C24" s="183" t="s">
        <v>170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174</v>
      </c>
      <c r="J24" s="191"/>
      <c r="K24" s="191" t="s">
        <v>170</v>
      </c>
      <c r="L24" s="191"/>
      <c r="M24" s="191" t="s">
        <v>176</v>
      </c>
      <c r="N24" s="191" t="s">
        <v>177</v>
      </c>
    </row>
    <row r="25" spans="1:14" ht="31.5" x14ac:dyDescent="0.25">
      <c r="A25" s="182" t="s">
        <v>50</v>
      </c>
      <c r="B25" s="182" t="s">
        <v>167</v>
      </c>
      <c r="C25" s="183" t="s">
        <v>174</v>
      </c>
      <c r="D25" s="182" t="s">
        <v>23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42</v>
      </c>
      <c r="I25" s="191" t="s">
        <v>178</v>
      </c>
      <c r="J25" s="191" t="s">
        <v>44</v>
      </c>
      <c r="K25" s="191" t="s">
        <v>178</v>
      </c>
      <c r="L25" s="191" t="s">
        <v>44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23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43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83" t="s">
        <v>180</v>
      </c>
      <c r="B33" s="484"/>
      <c r="C33" s="484"/>
      <c r="D33" s="484"/>
      <c r="E33" s="188" t="str">
        <f>I33</f>
        <v>DT14077</v>
      </c>
      <c r="F33" s="189"/>
      <c r="H33" s="186" t="s">
        <v>166</v>
      </c>
      <c r="I33" s="187" t="s">
        <v>162</v>
      </c>
    </row>
    <row r="34" spans="1:14" x14ac:dyDescent="0.25">
      <c r="A34" s="181" t="s">
        <v>13</v>
      </c>
      <c r="B34" s="181" t="s">
        <v>45</v>
      </c>
      <c r="C34" s="181" t="s">
        <v>46</v>
      </c>
      <c r="D34" s="181" t="s">
        <v>47</v>
      </c>
      <c r="E34" s="181" t="s">
        <v>179</v>
      </c>
      <c r="F34" s="181" t="s">
        <v>48</v>
      </c>
    </row>
    <row r="35" spans="1:14" ht="31.5" x14ac:dyDescent="0.25">
      <c r="A35" s="182" t="s">
        <v>49</v>
      </c>
      <c r="B35" s="182" t="s">
        <v>165</v>
      </c>
      <c r="C35" s="183" t="s">
        <v>170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175</v>
      </c>
      <c r="J35" s="191"/>
      <c r="K35" s="191"/>
      <c r="L35" s="191"/>
      <c r="M35" s="191"/>
      <c r="N35" s="191"/>
    </row>
    <row r="36" spans="1:14" ht="47.25" x14ac:dyDescent="0.25">
      <c r="A36" s="182" t="s">
        <v>49</v>
      </c>
      <c r="B36" s="182" t="s">
        <v>165</v>
      </c>
      <c r="C36" s="183" t="s">
        <v>170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174</v>
      </c>
      <c r="J36" s="191"/>
      <c r="K36" s="191" t="s">
        <v>170</v>
      </c>
      <c r="L36" s="191"/>
      <c r="M36" s="191" t="s">
        <v>176</v>
      </c>
      <c r="N36" s="191" t="s">
        <v>177</v>
      </c>
    </row>
    <row r="37" spans="1:14" ht="31.5" x14ac:dyDescent="0.25">
      <c r="A37" s="182" t="s">
        <v>50</v>
      </c>
      <c r="B37" s="182" t="s">
        <v>167</v>
      </c>
      <c r="C37" s="183" t="s">
        <v>174</v>
      </c>
      <c r="D37" s="182" t="s">
        <v>23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42</v>
      </c>
      <c r="I37" s="191" t="s">
        <v>178</v>
      </c>
      <c r="J37" s="191" t="s">
        <v>44</v>
      </c>
      <c r="K37" s="191" t="s">
        <v>178</v>
      </c>
      <c r="L37" s="191" t="s">
        <v>44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23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43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83" t="s">
        <v>180</v>
      </c>
      <c r="B44" s="484"/>
      <c r="C44" s="484"/>
      <c r="D44" s="484"/>
      <c r="E44" s="188" t="str">
        <f>I44</f>
        <v>DT14647</v>
      </c>
      <c r="F44" s="189"/>
      <c r="H44" s="186" t="s">
        <v>166</v>
      </c>
      <c r="I44" s="187" t="s">
        <v>163</v>
      </c>
    </row>
    <row r="45" spans="1:14" x14ac:dyDescent="0.25">
      <c r="A45" s="181" t="s">
        <v>13</v>
      </c>
      <c r="B45" s="181" t="s">
        <v>45</v>
      </c>
      <c r="C45" s="181" t="s">
        <v>46</v>
      </c>
      <c r="D45" s="181" t="s">
        <v>47</v>
      </c>
      <c r="E45" s="181" t="s">
        <v>179</v>
      </c>
      <c r="F45" s="181" t="s">
        <v>48</v>
      </c>
    </row>
    <row r="46" spans="1:14" ht="31.5" customHeight="1" x14ac:dyDescent="0.25">
      <c r="A46" s="182" t="s">
        <v>49</v>
      </c>
      <c r="B46" s="153" t="s">
        <v>168</v>
      </c>
      <c r="C46" s="153" t="s">
        <v>168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175</v>
      </c>
      <c r="J46" s="191"/>
      <c r="K46" s="191"/>
      <c r="L46" s="191"/>
      <c r="M46" s="191"/>
      <c r="N46" s="191"/>
    </row>
    <row r="47" spans="1:14" ht="47.25" x14ac:dyDescent="0.25">
      <c r="A47" s="182" t="s">
        <v>49</v>
      </c>
      <c r="B47" s="153" t="s">
        <v>168</v>
      </c>
      <c r="C47" s="153" t="s">
        <v>168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173</v>
      </c>
      <c r="J47" s="191"/>
      <c r="K47" s="191" t="s">
        <v>172</v>
      </c>
      <c r="L47" s="191"/>
      <c r="M47" s="191" t="s">
        <v>176</v>
      </c>
      <c r="N47" s="191" t="s">
        <v>177</v>
      </c>
    </row>
    <row r="48" spans="1:14" ht="31.5" x14ac:dyDescent="0.25">
      <c r="A48" s="182" t="s">
        <v>49</v>
      </c>
      <c r="B48" s="159" t="s">
        <v>169</v>
      </c>
      <c r="C48" s="183" t="s">
        <v>173</v>
      </c>
      <c r="D48" s="182" t="s">
        <v>181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42</v>
      </c>
      <c r="I48" s="191" t="s">
        <v>178</v>
      </c>
      <c r="J48" s="191" t="s">
        <v>44</v>
      </c>
      <c r="K48" s="191" t="s">
        <v>178</v>
      </c>
      <c r="L48" s="191" t="s">
        <v>44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181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43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166</v>
      </c>
      <c r="I63" s="361" t="s">
        <v>204</v>
      </c>
    </row>
    <row r="65" spans="2:20" x14ac:dyDescent="0.25">
      <c r="H65" s="362"/>
      <c r="I65" s="363" t="s">
        <v>175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173</v>
      </c>
      <c r="J66" s="362"/>
      <c r="K66" s="362" t="s">
        <v>174</v>
      </c>
      <c r="L66" s="362"/>
      <c r="M66" s="362" t="s">
        <v>172</v>
      </c>
      <c r="N66" s="362"/>
      <c r="O66" s="362" t="s">
        <v>171</v>
      </c>
      <c r="P66" s="362"/>
      <c r="Q66" s="362" t="s">
        <v>170</v>
      </c>
      <c r="R66" s="362"/>
      <c r="S66" s="362" t="s">
        <v>176</v>
      </c>
      <c r="T66" s="362" t="s">
        <v>177</v>
      </c>
    </row>
    <row r="67" spans="2:20" ht="37.5" customHeight="1" x14ac:dyDescent="0.25">
      <c r="B67" s="371" t="s">
        <v>205</v>
      </c>
      <c r="C67" s="371" t="s">
        <v>206</v>
      </c>
      <c r="D67" s="372" t="s">
        <v>207</v>
      </c>
      <c r="H67" s="363" t="s">
        <v>42</v>
      </c>
      <c r="I67" s="362" t="s">
        <v>178</v>
      </c>
      <c r="J67" s="362" t="s">
        <v>44</v>
      </c>
      <c r="K67" s="362" t="s">
        <v>178</v>
      </c>
      <c r="L67" s="362" t="s">
        <v>44</v>
      </c>
      <c r="M67" s="362" t="s">
        <v>178</v>
      </c>
      <c r="N67" s="362" t="s">
        <v>44</v>
      </c>
      <c r="O67" s="362" t="s">
        <v>178</v>
      </c>
      <c r="P67" s="362" t="s">
        <v>44</v>
      </c>
      <c r="Q67" s="362" t="s">
        <v>178</v>
      </c>
      <c r="R67" s="362" t="s">
        <v>44</v>
      </c>
      <c r="S67" s="362"/>
      <c r="T67" s="362"/>
    </row>
    <row r="68" spans="2:20" ht="18.75" x14ac:dyDescent="0.25">
      <c r="B68" s="370">
        <v>6</v>
      </c>
      <c r="C68" s="370" t="s">
        <v>208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208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208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172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172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172</v>
      </c>
      <c r="D73" s="369">
        <v>120.7573664</v>
      </c>
      <c r="H73" s="366" t="s">
        <v>23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23</v>
      </c>
      <c r="C74" s="370" t="s">
        <v>174</v>
      </c>
      <c r="D74" s="369">
        <v>139.29300000000001</v>
      </c>
      <c r="H74" s="366" t="s">
        <v>181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181</v>
      </c>
      <c r="C75" s="370" t="s">
        <v>173</v>
      </c>
      <c r="D75" s="369">
        <v>4.0150000000000006</v>
      </c>
      <c r="H75" s="366" t="s">
        <v>43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43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131" t="s">
        <v>41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6"/>
      <c r="D27" s="486"/>
      <c r="E27" s="177"/>
      <c r="F27" s="177"/>
      <c r="G27" s="11"/>
    </row>
    <row r="28" spans="2:7" x14ac:dyDescent="0.25">
      <c r="C28" s="487"/>
      <c r="D28" s="487"/>
      <c r="E28" s="5"/>
      <c r="F28" s="6"/>
      <c r="G28" s="7"/>
    </row>
    <row r="29" spans="2:7" x14ac:dyDescent="0.25">
      <c r="C29" s="488"/>
      <c r="D29" s="488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130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131</v>
      </c>
      <c r="H3" s="93">
        <f>'BOM SKATE BODY, AY30107'!AH3</f>
        <v>0</v>
      </c>
      <c r="I3" s="5" t="s">
        <v>132</v>
      </c>
      <c r="J3" s="5" t="s">
        <v>133</v>
      </c>
    </row>
    <row r="4" spans="2:11" ht="30.75" thickBot="1" x14ac:dyDescent="0.3">
      <c r="B4" s="94"/>
      <c r="C4" s="94" t="s">
        <v>134</v>
      </c>
      <c r="D4" s="94" t="s">
        <v>135</v>
      </c>
      <c r="E4" s="94" t="s">
        <v>136</v>
      </c>
      <c r="F4" s="94" t="s">
        <v>137</v>
      </c>
      <c r="G4" s="94" t="s">
        <v>138</v>
      </c>
      <c r="H4" s="94" t="s">
        <v>139</v>
      </c>
      <c r="I4" s="94" t="s">
        <v>140</v>
      </c>
      <c r="J4" s="94" t="s">
        <v>141</v>
      </c>
    </row>
    <row r="5" spans="2:11" ht="15.75" thickBot="1" x14ac:dyDescent="0.3">
      <c r="B5" s="95" t="s">
        <v>142</v>
      </c>
      <c r="C5" s="95" t="s">
        <v>143</v>
      </c>
      <c r="D5" s="96" t="s">
        <v>144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157</v>
      </c>
      <c r="D6" s="102" t="s">
        <v>144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145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146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9" t="s">
        <v>147</v>
      </c>
      <c r="H9" s="493"/>
      <c r="I9" s="490"/>
      <c r="J9" s="108">
        <f>H3*250</f>
        <v>0</v>
      </c>
      <c r="K9" t="s">
        <v>148</v>
      </c>
    </row>
    <row r="10" spans="2:11" x14ac:dyDescent="0.25">
      <c r="B10" s="489" t="s">
        <v>149</v>
      </c>
      <c r="C10" s="490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9" t="s">
        <v>150</v>
      </c>
      <c r="C11" s="490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91" t="s">
        <v>151</v>
      </c>
      <c r="C12" s="492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130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131</v>
      </c>
      <c r="H18" s="93">
        <f>H3</f>
        <v>0</v>
      </c>
      <c r="I18" s="93"/>
      <c r="J18" s="5" t="s">
        <v>132</v>
      </c>
      <c r="K18" s="5" t="s">
        <v>133</v>
      </c>
    </row>
    <row r="19" spans="2:12" ht="30" x14ac:dyDescent="0.25">
      <c r="B19" s="94"/>
      <c r="C19" s="94" t="s">
        <v>134</v>
      </c>
      <c r="D19" s="94" t="s">
        <v>135</v>
      </c>
      <c r="E19" s="94" t="s">
        <v>136</v>
      </c>
      <c r="F19" s="94" t="s">
        <v>137</v>
      </c>
      <c r="G19" s="94" t="s">
        <v>138</v>
      </c>
      <c r="H19" s="94" t="s">
        <v>139</v>
      </c>
      <c r="I19" s="94" t="s">
        <v>158</v>
      </c>
      <c r="J19" s="94" t="s">
        <v>140</v>
      </c>
      <c r="K19" s="94" t="s">
        <v>141</v>
      </c>
    </row>
    <row r="20" spans="2:12" x14ac:dyDescent="0.25">
      <c r="B20" s="9" t="s">
        <v>142</v>
      </c>
      <c r="C20" s="9" t="s">
        <v>143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157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145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146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147</v>
      </c>
      <c r="H24" s="124"/>
      <c r="I24" s="124"/>
      <c r="J24" s="125"/>
      <c r="K24" s="108">
        <f>H18*250</f>
        <v>0</v>
      </c>
      <c r="L24" t="s">
        <v>148</v>
      </c>
    </row>
    <row r="25" spans="2:12" x14ac:dyDescent="0.25">
      <c r="B25" s="489" t="s">
        <v>149</v>
      </c>
      <c r="C25" s="490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9" t="s">
        <v>150</v>
      </c>
      <c r="C26" s="490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91" t="s">
        <v>151</v>
      </c>
      <c r="C27" s="492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SKATE BODY, AY30107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2025-05-30T05:29:57Z</dcterms:modified>
</cp:coreProperties>
</file>