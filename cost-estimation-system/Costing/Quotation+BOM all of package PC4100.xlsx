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1-RFQ Working\NABORS_CANRIG\Phase 2 RFQ package PC4100\"/>
    </mc:Choice>
  </mc:AlternateContent>
  <xr:revisionPtr revIDLastSave="0" documentId="13_ncr:1_{DF5D8E17-AD1F-46C9-AEA4-345E79832D1C}" xr6:coauthVersionLast="47" xr6:coauthVersionMax="47" xr10:uidLastSave="{00000000-0000-0000-0000-000000000000}"/>
  <bookViews>
    <workbookView xWindow="-120" yWindow="-120" windowWidth="20730" windowHeight="11040" tabRatio="835" activeTab="1" xr2:uid="{8FC367B8-883A-4562-9EE8-CB14321E8156}"/>
  </bookViews>
  <sheets>
    <sheet name="Customer Data " sheetId="10" r:id="rId1"/>
    <sheet name="Quote Package PC4100" sheetId="38" r:id="rId2"/>
    <sheet name="Material Conversion details" sheetId="42" r:id="rId3"/>
    <sheet name="Item-14_AY30130" sheetId="41" r:id="rId4"/>
    <sheet name="Item-13_AY51606" sheetId="37" r:id="rId5"/>
    <sheet name="Item-12_AY30160" sheetId="36" r:id="rId6"/>
    <sheet name="Item-11_AT30150" sheetId="35" r:id="rId7"/>
    <sheet name="Item-10_AT30144" sheetId="34" r:id="rId8"/>
    <sheet name="Item-9_AT30134" sheetId="33" r:id="rId9"/>
    <sheet name="Item-8_AT30133" sheetId="32" r:id="rId10"/>
    <sheet name="Item-7_AT30107" sheetId="31" r:id="rId11"/>
    <sheet name="Item-6_AY30084" sheetId="30" r:id="rId12"/>
    <sheet name="Item-5_AY30062" sheetId="29" r:id="rId13"/>
    <sheet name="Item-4_AY30027" sheetId="27" r:id="rId14"/>
    <sheet name="Item-3_AY30018" sheetId="26" r:id="rId15"/>
    <sheet name="Item-2_AY30017" sheetId="25" r:id="rId16"/>
    <sheet name="Item-1_AY30013" sheetId="7" r:id="rId17"/>
    <sheet name="BOM R2D CatWalk" sheetId="1" r:id="rId18"/>
    <sheet name="RM Details" sheetId="13" r:id="rId19"/>
    <sheet name="RM Combined all" sheetId="40" r:id="rId20"/>
    <sheet name="Welding Details" sheetId="4" state="hidden" r:id="rId21"/>
  </sheets>
  <externalReferences>
    <externalReference r:id="rId22"/>
  </externalReferences>
  <definedNames>
    <definedName name="_xlnm._FilterDatabase" localSheetId="17" hidden="1">'BOM R2D CatWalk'!$A$2:$AL$227</definedName>
    <definedName name="_xlnm._FilterDatabase" localSheetId="2" hidden="1">'Material Conversion details'!$B$2:$D$21</definedName>
    <definedName name="_xlnm._FilterDatabase" localSheetId="19" hidden="1">'RM Combined all'!$A$1:$F$1</definedName>
    <definedName name="a" localSheetId="16">'[1]BOM '!#REF!</definedName>
    <definedName name="a" localSheetId="7">'[1]BOM '!#REF!</definedName>
    <definedName name="a" localSheetId="6">'[1]BOM '!#REF!</definedName>
    <definedName name="a" localSheetId="5">'[1]BOM '!#REF!</definedName>
    <definedName name="a" localSheetId="4">'[1]BOM '!#REF!</definedName>
    <definedName name="a" localSheetId="3">'[1]BOM '!#REF!</definedName>
    <definedName name="a" localSheetId="15">'[1]BOM '!#REF!</definedName>
    <definedName name="a" localSheetId="14">'[1]BOM '!#REF!</definedName>
    <definedName name="a" localSheetId="13">'[1]BOM '!#REF!</definedName>
    <definedName name="a" localSheetId="12">'[1]BOM '!#REF!</definedName>
    <definedName name="a" localSheetId="11">'[1]BOM '!#REF!</definedName>
    <definedName name="a" localSheetId="10">'[1]BOM '!#REF!</definedName>
    <definedName name="a" localSheetId="9">'[1]BOM '!#REF!</definedName>
    <definedName name="a" localSheetId="8">'[1]BOM '!#REF!</definedName>
    <definedName name="a" localSheetId="1">#REF!</definedName>
    <definedName name="a">#REF!</definedName>
    <definedName name="a_1" localSheetId="16">#REF!</definedName>
    <definedName name="a_1" localSheetId="7">#REF!</definedName>
    <definedName name="a_1" localSheetId="6">#REF!</definedName>
    <definedName name="a_1" localSheetId="5">#REF!</definedName>
    <definedName name="a_1" localSheetId="4">#REF!</definedName>
    <definedName name="a_1" localSheetId="3">#REF!</definedName>
    <definedName name="a_1" localSheetId="15">#REF!</definedName>
    <definedName name="a_1" localSheetId="14">#REF!</definedName>
    <definedName name="a_1" localSheetId="13">#REF!</definedName>
    <definedName name="a_1" localSheetId="12">#REF!</definedName>
    <definedName name="a_1" localSheetId="11">#REF!</definedName>
    <definedName name="a_1" localSheetId="10">#REF!</definedName>
    <definedName name="a_1" localSheetId="9">#REF!</definedName>
    <definedName name="a_1" localSheetId="8">#REF!</definedName>
    <definedName name="a_1" localSheetId="1">#REF!</definedName>
    <definedName name="a_1">#REF!</definedName>
    <definedName name="b" localSheetId="16">#REF!</definedName>
    <definedName name="b" localSheetId="7">#REF!</definedName>
    <definedName name="b" localSheetId="6">#REF!</definedName>
    <definedName name="b" localSheetId="5">#REF!</definedName>
    <definedName name="b" localSheetId="4">#REF!</definedName>
    <definedName name="b" localSheetId="3">#REF!</definedName>
    <definedName name="b" localSheetId="15">#REF!</definedName>
    <definedName name="b" localSheetId="14">#REF!</definedName>
    <definedName name="b" localSheetId="13">#REF!</definedName>
    <definedName name="b" localSheetId="12">#REF!</definedName>
    <definedName name="b" localSheetId="11">#REF!</definedName>
    <definedName name="b" localSheetId="10">#REF!</definedName>
    <definedName name="b" localSheetId="9">#REF!</definedName>
    <definedName name="b" localSheetId="8">#REF!</definedName>
    <definedName name="b" localSheetId="1">#REF!</definedName>
    <definedName name="b">#REF!</definedName>
    <definedName name="_xlnm.Print_Area" localSheetId="16">'Item-1_AY30013'!$A$1:$H$35</definedName>
    <definedName name="_xlnm.Print_Area" localSheetId="7">'Item-10_AT30144'!$A$1:$G$35</definedName>
    <definedName name="_xlnm.Print_Area" localSheetId="6">'Item-11_AT30150'!$A$1:$G$35</definedName>
    <definedName name="_xlnm.Print_Area" localSheetId="5">'Item-12_AY30160'!$A$1:$G$35</definedName>
    <definedName name="_xlnm.Print_Area" localSheetId="4">'Item-13_AY51606'!$A$1:$G$35</definedName>
    <definedName name="_xlnm.Print_Area" localSheetId="3">'Item-14_AY30130'!$A$1:$G$35</definedName>
    <definedName name="_xlnm.Print_Area" localSheetId="15">'Item-2_AY30017'!$A$1:$F$35</definedName>
    <definedName name="_xlnm.Print_Area" localSheetId="14">'Item-3_AY30018'!$A$1:$F$35</definedName>
    <definedName name="_xlnm.Print_Area" localSheetId="13">'Item-4_AY30027'!$A$1:$F$35</definedName>
    <definedName name="_xlnm.Print_Area" localSheetId="12">'Item-5_AY30062'!$A$1:$F$35</definedName>
    <definedName name="_xlnm.Print_Area" localSheetId="11">'Item-6_AY30084'!$A$1:$F$35</definedName>
    <definedName name="_xlnm.Print_Area" localSheetId="10">'Item-7_AT30107'!$A$1:$F$35</definedName>
    <definedName name="_xlnm.Print_Area" localSheetId="9">'Item-8_AT30133'!$A$1:$F$35</definedName>
    <definedName name="_xlnm.Print_Area" localSheetId="8">'Item-9_AT30134'!$A$1:$F$35</definedName>
  </definedNames>
  <calcPr calcId="191029" iterate="1"/>
  <pivotCaches>
    <pivotCache cacheId="1" r:id="rId23"/>
    <pivotCache cacheId="2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5" i="38" l="1"/>
  <c r="AA55" i="38"/>
  <c r="Y55" i="38"/>
  <c r="W55" i="38"/>
  <c r="U55" i="38"/>
  <c r="Q55" i="38"/>
  <c r="G55" i="38"/>
  <c r="E55" i="38"/>
  <c r="AE54" i="38"/>
  <c r="AA54" i="38"/>
  <c r="Y54" i="38"/>
  <c r="W54" i="38"/>
  <c r="U54" i="38"/>
  <c r="Q54" i="38"/>
  <c r="G54" i="38"/>
  <c r="E54" i="38"/>
  <c r="AF53" i="38"/>
  <c r="AF52" i="38"/>
  <c r="L31" i="40"/>
  <c r="L30" i="40"/>
  <c r="M31" i="40"/>
  <c r="M30" i="40"/>
  <c r="L29" i="40"/>
  <c r="J29" i="40"/>
  <c r="C51" i="7"/>
  <c r="C51" i="25"/>
  <c r="C51" i="26"/>
  <c r="C51" i="27"/>
  <c r="C51" i="29"/>
  <c r="C51" i="30"/>
  <c r="C51" i="31"/>
  <c r="C51" i="32"/>
  <c r="C51" i="33"/>
  <c r="C51" i="34"/>
  <c r="C51" i="35"/>
  <c r="C51" i="36"/>
  <c r="C51" i="37"/>
  <c r="C51" i="41"/>
  <c r="K39" i="40"/>
  <c r="K37" i="40"/>
  <c r="K36" i="40"/>
  <c r="K35" i="40"/>
  <c r="L35" i="40" s="1"/>
  <c r="M35" i="40" s="1"/>
  <c r="K34" i="40"/>
  <c r="K38" i="40"/>
  <c r="L38" i="40" s="1"/>
  <c r="M38" i="40" s="1"/>
  <c r="L39" i="40"/>
  <c r="M39" i="40" s="1"/>
  <c r="L37" i="40"/>
  <c r="M37" i="40" s="1"/>
  <c r="L36" i="40"/>
  <c r="M36" i="40" s="1"/>
  <c r="L34" i="40"/>
  <c r="K29" i="40"/>
  <c r="K32" i="40"/>
  <c r="L32" i="40" s="1"/>
  <c r="K28" i="40"/>
  <c r="L28" i="40" s="1"/>
  <c r="K27" i="40"/>
  <c r="L27" i="40" s="1"/>
  <c r="K26" i="40"/>
  <c r="L26" i="40" s="1"/>
  <c r="K25" i="40"/>
  <c r="L25" i="40" s="1"/>
  <c r="K24" i="40"/>
  <c r="L24" i="40" s="1"/>
  <c r="J32" i="40"/>
  <c r="J28" i="40"/>
  <c r="J27" i="40"/>
  <c r="J26" i="40"/>
  <c r="J25" i="40"/>
  <c r="J24" i="40"/>
  <c r="E29" i="40"/>
  <c r="AF54" i="38" l="1"/>
  <c r="L40" i="40"/>
  <c r="M34" i="40"/>
  <c r="M40" i="40"/>
  <c r="M28" i="40"/>
  <c r="M25" i="40"/>
  <c r="M26" i="40"/>
  <c r="M27" i="40"/>
  <c r="M32" i="40"/>
  <c r="M24" i="40"/>
  <c r="M29" i="40"/>
  <c r="J40" i="40" l="1"/>
  <c r="M33" i="40"/>
  <c r="L33" i="40"/>
  <c r="L45" i="40" s="1"/>
  <c r="J33" i="40" l="1"/>
  <c r="M45" i="40"/>
  <c r="K45" i="40" s="1"/>
  <c r="AD5" i="38" l="1"/>
  <c r="AD3" i="38"/>
  <c r="F8" i="41"/>
  <c r="D8" i="41"/>
  <c r="C8" i="41"/>
  <c r="M14" i="41"/>
  <c r="E7" i="41" s="1"/>
  <c r="Q5" i="41"/>
  <c r="O16" i="41"/>
  <c r="O15" i="41"/>
  <c r="O14" i="41"/>
  <c r="E8" i="41" s="1"/>
  <c r="O13" i="41"/>
  <c r="O12" i="41"/>
  <c r="O11" i="41"/>
  <c r="O10" i="41"/>
  <c r="O9" i="41"/>
  <c r="O8" i="41"/>
  <c r="O7" i="41"/>
  <c r="B8" i="41" s="1"/>
  <c r="P16" i="41"/>
  <c r="P15" i="41"/>
  <c r="P14" i="41"/>
  <c r="P13" i="41"/>
  <c r="P12" i="41"/>
  <c r="B3" i="41"/>
  <c r="B2" i="41"/>
  <c r="M213" i="1"/>
  <c r="M212" i="1"/>
  <c r="D51" i="41"/>
  <c r="AE45" i="38" s="1"/>
  <c r="B31" i="41"/>
  <c r="F31" i="41" s="1"/>
  <c r="F29" i="41"/>
  <c r="F27" i="41"/>
  <c r="B25" i="41"/>
  <c r="F25" i="41" s="1"/>
  <c r="F24" i="41"/>
  <c r="F17" i="41"/>
  <c r="G194" i="13"/>
  <c r="G191" i="13"/>
  <c r="I191" i="13" s="1"/>
  <c r="K191" i="13" s="1"/>
  <c r="G190" i="13"/>
  <c r="I190" i="13" s="1"/>
  <c r="K190" i="13" s="1"/>
  <c r="G192" i="13"/>
  <c r="I192" i="13" s="1"/>
  <c r="K192" i="13" s="1"/>
  <c r="G193" i="13"/>
  <c r="I193" i="13" s="1"/>
  <c r="F195" i="13"/>
  <c r="K189" i="13"/>
  <c r="K188" i="13"/>
  <c r="I194" i="13"/>
  <c r="I189" i="13"/>
  <c r="I188" i="13"/>
  <c r="D192" i="13"/>
  <c r="F193" i="13"/>
  <c r="F192" i="13"/>
  <c r="F194" i="13"/>
  <c r="F191" i="13"/>
  <c r="F190" i="13"/>
  <c r="F189" i="13"/>
  <c r="F188" i="13"/>
  <c r="F187" i="13"/>
  <c r="F186" i="13"/>
  <c r="F185" i="13"/>
  <c r="R8" i="41" l="1"/>
  <c r="T8" i="41" s="1"/>
  <c r="R11" i="41"/>
  <c r="T11" i="41" s="1"/>
  <c r="R9" i="41"/>
  <c r="T9" i="41" s="1"/>
  <c r="R7" i="41"/>
  <c r="O17" i="41"/>
  <c r="R10" i="41"/>
  <c r="T10" i="41" s="1"/>
  <c r="R15" i="41"/>
  <c r="T15" i="41" s="1"/>
  <c r="R12" i="41"/>
  <c r="T12" i="41" s="1"/>
  <c r="R13" i="41"/>
  <c r="T13" i="41" s="1"/>
  <c r="U13" i="41" s="1"/>
  <c r="R14" i="41"/>
  <c r="T14" i="41" s="1"/>
  <c r="R16" i="41"/>
  <c r="T16" i="41" s="1"/>
  <c r="I195" i="13"/>
  <c r="K193" i="13"/>
  <c r="H183" i="13"/>
  <c r="M214" i="1"/>
  <c r="W223" i="1"/>
  <c r="X223" i="1" s="1"/>
  <c r="W205" i="1"/>
  <c r="X205" i="1" s="1"/>
  <c r="W203" i="1"/>
  <c r="X203" i="1" s="1"/>
  <c r="W221" i="1"/>
  <c r="X221" i="1" s="1"/>
  <c r="W227" i="1"/>
  <c r="X227" i="1" s="1"/>
  <c r="W226" i="1"/>
  <c r="X226" i="1" s="1"/>
  <c r="W225" i="1"/>
  <c r="X225" i="1" s="1"/>
  <c r="W219" i="1"/>
  <c r="X219" i="1" s="1"/>
  <c r="W222" i="1"/>
  <c r="X222" i="1" s="1"/>
  <c r="W217" i="1"/>
  <c r="X217" i="1" s="1"/>
  <c r="W207" i="1"/>
  <c r="X207" i="1" s="1"/>
  <c r="W206" i="1"/>
  <c r="X206" i="1" s="1"/>
  <c r="W204" i="1"/>
  <c r="X204" i="1" s="1"/>
  <c r="W215" i="1"/>
  <c r="X215" i="1" s="1"/>
  <c r="R17" i="41" l="1"/>
  <c r="T7" i="41"/>
  <c r="T17" i="41" s="1"/>
  <c r="K194" i="13"/>
  <c r="K195" i="13" s="1"/>
  <c r="I186" i="13"/>
  <c r="K186" i="13" s="1"/>
  <c r="I187" i="13"/>
  <c r="K187" i="13" s="1"/>
  <c r="I185" i="13"/>
  <c r="E44" i="40"/>
  <c r="K201" i="1"/>
  <c r="M216" i="1"/>
  <c r="M217" i="1"/>
  <c r="M215" i="1"/>
  <c r="AC201" i="1"/>
  <c r="Y201" i="1"/>
  <c r="E146" i="13"/>
  <c r="F176" i="13"/>
  <c r="E161" i="13"/>
  <c r="F144" i="13"/>
  <c r="F125" i="13"/>
  <c r="E91" i="13"/>
  <c r="F45" i="13"/>
  <c r="F23" i="13"/>
  <c r="E10" i="13"/>
  <c r="E4" i="13"/>
  <c r="F156" i="13"/>
  <c r="F69" i="13"/>
  <c r="F7" i="13"/>
  <c r="F159" i="13"/>
  <c r="E112" i="13"/>
  <c r="F33" i="13"/>
  <c r="E7" i="13"/>
  <c r="F164" i="13"/>
  <c r="F111" i="13"/>
  <c r="E34" i="13"/>
  <c r="E158" i="13"/>
  <c r="F175" i="13"/>
  <c r="E160" i="13"/>
  <c r="E144" i="13"/>
  <c r="E125" i="13"/>
  <c r="E90" i="13"/>
  <c r="F44" i="13"/>
  <c r="E23" i="13"/>
  <c r="E9" i="13"/>
  <c r="E3" i="13"/>
  <c r="F174" i="13"/>
  <c r="F158" i="13"/>
  <c r="F143" i="13"/>
  <c r="F113" i="13"/>
  <c r="F89" i="13"/>
  <c r="E45" i="13"/>
  <c r="F22" i="13"/>
  <c r="F8" i="13"/>
  <c r="F130" i="13"/>
  <c r="E176" i="13"/>
  <c r="F157" i="13"/>
  <c r="E143" i="13"/>
  <c r="F112" i="13"/>
  <c r="E89" i="13"/>
  <c r="E44" i="13"/>
  <c r="E22" i="13"/>
  <c r="E8" i="13"/>
  <c r="E130" i="13"/>
  <c r="E175" i="13"/>
  <c r="F129" i="13"/>
  <c r="E113" i="13"/>
  <c r="F34" i="13"/>
  <c r="F21" i="13"/>
  <c r="F16" i="13"/>
  <c r="E174" i="13"/>
  <c r="F128" i="13"/>
  <c r="E69" i="13"/>
  <c r="E21" i="13"/>
  <c r="E16" i="13"/>
  <c r="E159" i="13"/>
  <c r="F127" i="13"/>
  <c r="F67" i="13"/>
  <c r="F12" i="13"/>
  <c r="F6" i="13"/>
  <c r="E164" i="13"/>
  <c r="E129" i="13"/>
  <c r="F110" i="13"/>
  <c r="E67" i="13"/>
  <c r="E33" i="13"/>
  <c r="F11" i="13"/>
  <c r="E6" i="13"/>
  <c r="F162" i="13"/>
  <c r="E157" i="13"/>
  <c r="E128" i="13"/>
  <c r="E111" i="13"/>
  <c r="F57" i="13"/>
  <c r="F32" i="13"/>
  <c r="F10" i="13"/>
  <c r="F5" i="13"/>
  <c r="E162" i="13"/>
  <c r="E156" i="13"/>
  <c r="E127" i="13"/>
  <c r="E110" i="13"/>
  <c r="F56" i="13"/>
  <c r="E32" i="13"/>
  <c r="F9" i="13"/>
  <c r="F4" i="13"/>
  <c r="F161" i="13"/>
  <c r="F146" i="13"/>
  <c r="F126" i="13"/>
  <c r="F91" i="13"/>
  <c r="E57" i="13"/>
  <c r="F24" i="13"/>
  <c r="E12" i="13"/>
  <c r="F3" i="13"/>
  <c r="F160" i="13"/>
  <c r="E126" i="13"/>
  <c r="F90" i="13"/>
  <c r="E56" i="13"/>
  <c r="E24" i="13"/>
  <c r="E11" i="13"/>
  <c r="E5" i="13"/>
  <c r="F3" i="41" l="1"/>
  <c r="AE3" i="38"/>
  <c r="S17" i="41"/>
  <c r="G11" i="41"/>
  <c r="G8" i="41"/>
  <c r="K185" i="13"/>
  <c r="N201" i="1"/>
  <c r="C4" i="41" s="1"/>
  <c r="K227" i="1"/>
  <c r="AI227" i="1" s="1"/>
  <c r="K226" i="1"/>
  <c r="AI226" i="1" s="1"/>
  <c r="K225" i="1"/>
  <c r="AI225" i="1" s="1"/>
  <c r="K224" i="1"/>
  <c r="AI224" i="1" s="1"/>
  <c r="K218" i="1"/>
  <c r="K202" i="1"/>
  <c r="AD31" i="38" l="1"/>
  <c r="AD36" i="38"/>
  <c r="B48" i="41"/>
  <c r="B47" i="41"/>
  <c r="N224" i="1"/>
  <c r="V224" i="1"/>
  <c r="J195" i="13"/>
  <c r="K223" i="1"/>
  <c r="K220" i="1"/>
  <c r="AI220" i="1" s="1"/>
  <c r="K222" i="1"/>
  <c r="K221" i="1"/>
  <c r="AI221" i="1" s="1"/>
  <c r="K219" i="1"/>
  <c r="AI219" i="1" s="1"/>
  <c r="V222" i="1"/>
  <c r="N218" i="1"/>
  <c r="N202" i="1"/>
  <c r="K217" i="1"/>
  <c r="K205" i="1"/>
  <c r="K216" i="1"/>
  <c r="AI216" i="1" s="1"/>
  <c r="K204" i="1"/>
  <c r="K215" i="1"/>
  <c r="K203" i="1"/>
  <c r="K214" i="1"/>
  <c r="K213" i="1"/>
  <c r="AI213" i="1" s="1"/>
  <c r="K212" i="1"/>
  <c r="AI212" i="1" s="1"/>
  <c r="K211" i="1"/>
  <c r="AI211" i="1" s="1"/>
  <c r="K210" i="1"/>
  <c r="AI210" i="1" s="1"/>
  <c r="K209" i="1"/>
  <c r="AI209" i="1" s="1"/>
  <c r="K208" i="1"/>
  <c r="AI208" i="1" s="1"/>
  <c r="K207" i="1"/>
  <c r="K206" i="1"/>
  <c r="N225" i="1"/>
  <c r="V225" i="1"/>
  <c r="V226" i="1"/>
  <c r="N226" i="1"/>
  <c r="N227" i="1"/>
  <c r="V227" i="1"/>
  <c r="E192" i="13" l="1"/>
  <c r="N14" i="41" s="1"/>
  <c r="E9" i="41" s="1"/>
  <c r="E10" i="41" s="1"/>
  <c r="E13" i="41" s="1"/>
  <c r="V214" i="1"/>
  <c r="AI214" i="1"/>
  <c r="V217" i="1"/>
  <c r="AI217" i="1"/>
  <c r="N222" i="1"/>
  <c r="AI222" i="1"/>
  <c r="V203" i="1"/>
  <c r="AI203" i="1"/>
  <c r="V215" i="1"/>
  <c r="AI215" i="1"/>
  <c r="V206" i="1"/>
  <c r="AI206" i="1"/>
  <c r="N223" i="1"/>
  <c r="AI223" i="1"/>
  <c r="V204" i="1"/>
  <c r="AI204" i="1"/>
  <c r="V207" i="1"/>
  <c r="AI207" i="1"/>
  <c r="V205" i="1"/>
  <c r="AI205" i="1"/>
  <c r="N220" i="1"/>
  <c r="V220" i="1"/>
  <c r="X201" i="1"/>
  <c r="B21" i="41" s="1"/>
  <c r="AB201" i="1"/>
  <c r="B22" i="41" s="1"/>
  <c r="Z201" i="1"/>
  <c r="B23" i="41" s="1"/>
  <c r="V223" i="1"/>
  <c r="V219" i="1"/>
  <c r="N219" i="1"/>
  <c r="V221" i="1"/>
  <c r="N221" i="1"/>
  <c r="D51" i="37"/>
  <c r="AC45" i="38" s="1"/>
  <c r="D51" i="36"/>
  <c r="AA45" i="38" s="1"/>
  <c r="D51" i="35"/>
  <c r="Y45" i="38" s="1"/>
  <c r="D51" i="34"/>
  <c r="W45" i="38" s="1"/>
  <c r="D51" i="33"/>
  <c r="U45" i="38" s="1"/>
  <c r="D51" i="32"/>
  <c r="S45" i="38" s="1"/>
  <c r="D51" i="31"/>
  <c r="Q45" i="38" s="1"/>
  <c r="D51" i="30"/>
  <c r="O45" i="38" s="1"/>
  <c r="D51" i="29"/>
  <c r="M45" i="38" s="1"/>
  <c r="D51" i="27"/>
  <c r="K45" i="38" s="1"/>
  <c r="D51" i="26"/>
  <c r="I45" i="38" s="1"/>
  <c r="D51" i="25"/>
  <c r="G45" i="38" s="1"/>
  <c r="AB3" i="38"/>
  <c r="Z3" i="38"/>
  <c r="X3" i="38"/>
  <c r="V3" i="38"/>
  <c r="T3" i="38"/>
  <c r="R3" i="38"/>
  <c r="P3" i="38"/>
  <c r="N3" i="38"/>
  <c r="L3" i="38"/>
  <c r="J3" i="38"/>
  <c r="H3" i="38"/>
  <c r="F3" i="38"/>
  <c r="D3" i="38"/>
  <c r="E193" i="13" l="1"/>
  <c r="N15" i="41" s="1"/>
  <c r="AI201" i="1"/>
  <c r="B30" i="41" s="1"/>
  <c r="H172" i="13"/>
  <c r="Q4" i="37" s="1"/>
  <c r="B3" i="37"/>
  <c r="B2" i="37"/>
  <c r="B31" i="37"/>
  <c r="F31" i="37" s="1"/>
  <c r="F29" i="37"/>
  <c r="F27" i="37"/>
  <c r="F17" i="37"/>
  <c r="W172" i="1"/>
  <c r="E7" i="36"/>
  <c r="P14" i="36"/>
  <c r="P13" i="36"/>
  <c r="P12" i="36"/>
  <c r="G163" i="13"/>
  <c r="G164" i="13"/>
  <c r="G162" i="13"/>
  <c r="O6" i="37" l="1"/>
  <c r="R6" i="37" s="1"/>
  <c r="O7" i="37"/>
  <c r="R7" i="37" s="1"/>
  <c r="T7" i="37" s="1"/>
  <c r="O8" i="37"/>
  <c r="R8" i="37" s="1"/>
  <c r="T8" i="37" s="1"/>
  <c r="N7" i="37"/>
  <c r="N8" i="37"/>
  <c r="N6" i="37"/>
  <c r="I176" i="13"/>
  <c r="K176" i="13" s="1"/>
  <c r="E177" i="13"/>
  <c r="F177" i="13"/>
  <c r="I174" i="13"/>
  <c r="I175" i="13"/>
  <c r="K175" i="13" s="1"/>
  <c r="H154" i="13"/>
  <c r="B3" i="36"/>
  <c r="B2" i="36"/>
  <c r="B31" i="36"/>
  <c r="F31" i="36" s="1"/>
  <c r="F29" i="36"/>
  <c r="F27" i="36"/>
  <c r="F17" i="36"/>
  <c r="P9" i="35"/>
  <c r="P8" i="35"/>
  <c r="G146" i="13"/>
  <c r="G145" i="13"/>
  <c r="H141" i="13"/>
  <c r="B3" i="35"/>
  <c r="B2" i="35"/>
  <c r="B31" i="35"/>
  <c r="F31" i="35" s="1"/>
  <c r="F29" i="35"/>
  <c r="F27" i="35"/>
  <c r="F17" i="35"/>
  <c r="Y145" i="1"/>
  <c r="P14" i="34"/>
  <c r="P13" i="34"/>
  <c r="P12" i="34"/>
  <c r="P11" i="34"/>
  <c r="G133" i="13"/>
  <c r="G132" i="13"/>
  <c r="G131" i="13"/>
  <c r="G130" i="13"/>
  <c r="H123" i="13"/>
  <c r="Q4" i="34" s="1"/>
  <c r="B3" i="34"/>
  <c r="B2" i="34"/>
  <c r="F31" i="34"/>
  <c r="F29" i="34"/>
  <c r="F27" i="34"/>
  <c r="B25" i="34"/>
  <c r="F25" i="34" s="1"/>
  <c r="F24" i="34"/>
  <c r="F17" i="34"/>
  <c r="O11" i="33"/>
  <c r="O10" i="33"/>
  <c r="G115" i="13"/>
  <c r="G114" i="13"/>
  <c r="H108" i="13"/>
  <c r="P4" i="33" s="1"/>
  <c r="Y128" i="1"/>
  <c r="B3" i="33"/>
  <c r="B2" i="33"/>
  <c r="B31" i="33"/>
  <c r="E31" i="33" s="1"/>
  <c r="E29" i="33"/>
  <c r="E27" i="33"/>
  <c r="E17" i="33"/>
  <c r="E145" i="13"/>
  <c r="F133" i="13"/>
  <c r="E114" i="13"/>
  <c r="F131" i="13"/>
  <c r="E132" i="13"/>
  <c r="F163" i="13"/>
  <c r="E133" i="13"/>
  <c r="F115" i="13"/>
  <c r="F114" i="13"/>
  <c r="E115" i="13"/>
  <c r="F145" i="13"/>
  <c r="E163" i="13"/>
  <c r="E131" i="13"/>
  <c r="F132" i="13"/>
  <c r="N9" i="37" l="1"/>
  <c r="F9" i="37" s="1"/>
  <c r="O9" i="37"/>
  <c r="T6" i="37"/>
  <c r="T9" i="37" s="1"/>
  <c r="R9" i="37"/>
  <c r="F8" i="37" s="1"/>
  <c r="I177" i="13"/>
  <c r="K174" i="13"/>
  <c r="K177" i="13" s="1"/>
  <c r="Q4" i="36"/>
  <c r="O6" i="36"/>
  <c r="O7" i="36"/>
  <c r="R7" i="36" s="1"/>
  <c r="O8" i="36"/>
  <c r="R8" i="36" s="1"/>
  <c r="T8" i="36" s="1"/>
  <c r="O10" i="36"/>
  <c r="R10" i="36" s="1"/>
  <c r="O11" i="36"/>
  <c r="R11" i="36" s="1"/>
  <c r="O12" i="36"/>
  <c r="R12" i="36" s="1"/>
  <c r="O13" i="36"/>
  <c r="R13" i="36" s="1"/>
  <c r="O14" i="36"/>
  <c r="R14" i="36" s="1"/>
  <c r="O9" i="36"/>
  <c r="R9" i="36" s="1"/>
  <c r="T9" i="36" s="1"/>
  <c r="N7" i="36"/>
  <c r="N8" i="36"/>
  <c r="N10" i="36"/>
  <c r="N11" i="36"/>
  <c r="N12" i="36"/>
  <c r="D9" i="36" s="1"/>
  <c r="N13" i="36"/>
  <c r="E9" i="36" s="1"/>
  <c r="N14" i="36"/>
  <c r="F9" i="36" s="1"/>
  <c r="N9" i="36"/>
  <c r="N6" i="36"/>
  <c r="F134" i="13"/>
  <c r="E134" i="13"/>
  <c r="F165" i="13"/>
  <c r="E165" i="13"/>
  <c r="I159" i="13"/>
  <c r="K159" i="13" s="1"/>
  <c r="I164" i="13"/>
  <c r="K164" i="13" s="1"/>
  <c r="I163" i="13"/>
  <c r="K163" i="13" s="1"/>
  <c r="I162" i="13"/>
  <c r="K162" i="13" s="1"/>
  <c r="I161" i="13"/>
  <c r="K161" i="13" s="1"/>
  <c r="N8" i="35"/>
  <c r="E9" i="35" s="1"/>
  <c r="O8" i="35"/>
  <c r="R8" i="35" s="1"/>
  <c r="N9" i="35"/>
  <c r="F9" i="35" s="1"/>
  <c r="O9" i="35"/>
  <c r="R9" i="35" s="1"/>
  <c r="N6" i="35"/>
  <c r="C9" i="35" s="1"/>
  <c r="O6" i="35"/>
  <c r="R6" i="35" s="1"/>
  <c r="C8" i="35" s="1"/>
  <c r="N7" i="35"/>
  <c r="D9" i="35" s="1"/>
  <c r="O7" i="35"/>
  <c r="R7" i="35" s="1"/>
  <c r="Q4" i="35"/>
  <c r="I156" i="13"/>
  <c r="I157" i="13"/>
  <c r="K157" i="13" s="1"/>
  <c r="I158" i="13"/>
  <c r="K158" i="13" s="1"/>
  <c r="I160" i="13"/>
  <c r="K160" i="13" s="1"/>
  <c r="O8" i="34"/>
  <c r="R8" i="34" s="1"/>
  <c r="O9" i="34"/>
  <c r="R9" i="34" s="1"/>
  <c r="T9" i="34" s="1"/>
  <c r="O10" i="34"/>
  <c r="R10" i="34" s="1"/>
  <c r="T10" i="34" s="1"/>
  <c r="N6" i="34"/>
  <c r="O6" i="34"/>
  <c r="N7" i="34"/>
  <c r="O7" i="34"/>
  <c r="R7" i="34" s="1"/>
  <c r="T7" i="34" s="1"/>
  <c r="N10" i="34"/>
  <c r="N9" i="34"/>
  <c r="N8" i="34"/>
  <c r="I145" i="13"/>
  <c r="K145" i="13" s="1"/>
  <c r="E147" i="13"/>
  <c r="F147" i="13"/>
  <c r="I143" i="13"/>
  <c r="I146" i="13"/>
  <c r="K146" i="13" s="1"/>
  <c r="I144" i="13"/>
  <c r="K144" i="13" s="1"/>
  <c r="N13" i="34"/>
  <c r="E9" i="34" s="1"/>
  <c r="O13" i="34"/>
  <c r="R13" i="34" s="1"/>
  <c r="N11" i="34"/>
  <c r="N12" i="34"/>
  <c r="O11" i="34"/>
  <c r="R11" i="34" s="1"/>
  <c r="O12" i="34"/>
  <c r="R12" i="34" s="1"/>
  <c r="T12" i="34" s="1"/>
  <c r="I131" i="13"/>
  <c r="K131" i="13" s="1"/>
  <c r="N14" i="34"/>
  <c r="F9" i="34" s="1"/>
  <c r="O14" i="34"/>
  <c r="R14" i="34" s="1"/>
  <c r="I133" i="13"/>
  <c r="K133" i="13" s="1"/>
  <c r="I130" i="13"/>
  <c r="K130" i="13" s="1"/>
  <c r="I132" i="13"/>
  <c r="K132" i="13" s="1"/>
  <c r="M6" i="33"/>
  <c r="E116" i="13"/>
  <c r="M7" i="33"/>
  <c r="F116" i="13"/>
  <c r="N6" i="33"/>
  <c r="Q6" i="33" s="1"/>
  <c r="N7" i="33"/>
  <c r="Q7" i="33" s="1"/>
  <c r="S7" i="33" s="1"/>
  <c r="I111" i="13"/>
  <c r="K111" i="13" s="1"/>
  <c r="M8" i="33"/>
  <c r="M9" i="33"/>
  <c r="N8" i="33"/>
  <c r="Q8" i="33" s="1"/>
  <c r="I112" i="13"/>
  <c r="K112" i="13" s="1"/>
  <c r="N9" i="33"/>
  <c r="Q9" i="33" s="1"/>
  <c r="S9" i="33" s="1"/>
  <c r="I113" i="13"/>
  <c r="M10" i="33"/>
  <c r="N10" i="33"/>
  <c r="Q10" i="33" s="1"/>
  <c r="M11" i="33"/>
  <c r="N11" i="33"/>
  <c r="Q11" i="33" s="1"/>
  <c r="S11" i="33" s="1"/>
  <c r="I115" i="13"/>
  <c r="K115" i="13" s="1"/>
  <c r="I114" i="13"/>
  <c r="K114" i="13" s="1"/>
  <c r="I128" i="13"/>
  <c r="K128" i="13" s="1"/>
  <c r="I125" i="13"/>
  <c r="I129" i="13"/>
  <c r="K129" i="13" s="1"/>
  <c r="I127" i="13"/>
  <c r="K127" i="13" s="1"/>
  <c r="I126" i="13"/>
  <c r="K126" i="13" s="1"/>
  <c r="I110" i="13"/>
  <c r="Y119" i="1"/>
  <c r="O6" i="32"/>
  <c r="G100" i="13"/>
  <c r="H98" i="13"/>
  <c r="P4" i="32" s="1"/>
  <c r="B3" i="32"/>
  <c r="B2" i="32"/>
  <c r="E31" i="32"/>
  <c r="E29" i="32"/>
  <c r="E27" i="32"/>
  <c r="E17" i="32"/>
  <c r="W115" i="1"/>
  <c r="W199" i="1"/>
  <c r="W196" i="1"/>
  <c r="W194" i="1"/>
  <c r="W193" i="1"/>
  <c r="W192" i="1"/>
  <c r="W190" i="1"/>
  <c r="W189" i="1"/>
  <c r="W186" i="1"/>
  <c r="W185" i="1"/>
  <c r="W184" i="1"/>
  <c r="W183" i="1"/>
  <c r="W182" i="1"/>
  <c r="W181" i="1"/>
  <c r="W180" i="1"/>
  <c r="W177" i="1"/>
  <c r="W176" i="1"/>
  <c r="W175" i="1"/>
  <c r="W170" i="1"/>
  <c r="W169" i="1"/>
  <c r="W168" i="1"/>
  <c r="W156" i="1"/>
  <c r="W154" i="1"/>
  <c r="W153" i="1"/>
  <c r="W152" i="1"/>
  <c r="W151" i="1"/>
  <c r="W147" i="1"/>
  <c r="W146" i="1"/>
  <c r="W144" i="1"/>
  <c r="W143" i="1"/>
  <c r="W140" i="1"/>
  <c r="W139" i="1"/>
  <c r="W138" i="1"/>
  <c r="W137" i="1"/>
  <c r="W136" i="1"/>
  <c r="W135" i="1"/>
  <c r="W134" i="1"/>
  <c r="W133" i="1"/>
  <c r="W132" i="1"/>
  <c r="W131" i="1"/>
  <c r="W130" i="1"/>
  <c r="W118" i="1"/>
  <c r="W117" i="1"/>
  <c r="W116" i="1"/>
  <c r="W107" i="1"/>
  <c r="W104" i="1"/>
  <c r="W103" i="1"/>
  <c r="W102" i="1"/>
  <c r="W101" i="1"/>
  <c r="W99" i="1"/>
  <c r="W98" i="1"/>
  <c r="W96" i="1"/>
  <c r="W95" i="1"/>
  <c r="W92" i="1"/>
  <c r="W90" i="1"/>
  <c r="W89" i="1"/>
  <c r="W88" i="1"/>
  <c r="W84" i="1"/>
  <c r="W80" i="1"/>
  <c r="W77" i="1"/>
  <c r="W75" i="1"/>
  <c r="W70" i="1"/>
  <c r="W67" i="1"/>
  <c r="W66" i="1"/>
  <c r="W63" i="1"/>
  <c r="W62" i="1"/>
  <c r="W61" i="1"/>
  <c r="W60" i="1"/>
  <c r="W58" i="1"/>
  <c r="W57" i="1"/>
  <c r="W56" i="1"/>
  <c r="W55" i="1"/>
  <c r="W54" i="1"/>
  <c r="W53" i="1"/>
  <c r="W52" i="1"/>
  <c r="W50" i="1"/>
  <c r="W49" i="1"/>
  <c r="W47" i="1"/>
  <c r="W43" i="1"/>
  <c r="W38" i="1"/>
  <c r="W35" i="1"/>
  <c r="W34" i="1"/>
  <c r="W33" i="1"/>
  <c r="W30" i="1"/>
  <c r="W29" i="1"/>
  <c r="W28" i="1"/>
  <c r="W27" i="1"/>
  <c r="W26" i="1"/>
  <c r="W25" i="1"/>
  <c r="W24" i="1"/>
  <c r="W23" i="1"/>
  <c r="W22" i="1"/>
  <c r="W21" i="1"/>
  <c r="W19" i="1"/>
  <c r="W18" i="1"/>
  <c r="W17" i="1"/>
  <c r="W15" i="1"/>
  <c r="W14" i="1"/>
  <c r="W13" i="1"/>
  <c r="W12" i="1"/>
  <c r="W11" i="1"/>
  <c r="W10" i="1"/>
  <c r="W9" i="1"/>
  <c r="W8" i="1"/>
  <c r="E11" i="31"/>
  <c r="D11" i="31"/>
  <c r="H87" i="13"/>
  <c r="P4" i="31" s="1"/>
  <c r="B3" i="31"/>
  <c r="B2" i="31"/>
  <c r="B31" i="31"/>
  <c r="E31" i="31" s="1"/>
  <c r="E29" i="31"/>
  <c r="E27" i="31"/>
  <c r="E17" i="31"/>
  <c r="O6" i="30"/>
  <c r="G79" i="13"/>
  <c r="M110" i="1"/>
  <c r="H77" i="13"/>
  <c r="P4" i="30" s="1"/>
  <c r="B25" i="7"/>
  <c r="F79" i="13"/>
  <c r="E79" i="13"/>
  <c r="F100" i="13"/>
  <c r="E100" i="13"/>
  <c r="S9" i="37" l="1"/>
  <c r="J177" i="13"/>
  <c r="G9" i="37"/>
  <c r="AB6" i="38" s="1"/>
  <c r="T14" i="36"/>
  <c r="F8" i="36"/>
  <c r="F10" i="36" s="1"/>
  <c r="F13" i="36" s="1"/>
  <c r="C9" i="36"/>
  <c r="G9" i="36" s="1"/>
  <c r="T13" i="36"/>
  <c r="E8" i="36"/>
  <c r="E10" i="36" s="1"/>
  <c r="E13" i="36" s="1"/>
  <c r="T12" i="36"/>
  <c r="D8" i="36"/>
  <c r="D10" i="36" s="1"/>
  <c r="D13" i="36" s="1"/>
  <c r="T11" i="36"/>
  <c r="T10" i="36"/>
  <c r="C8" i="36"/>
  <c r="B9" i="36"/>
  <c r="T7" i="36"/>
  <c r="R6" i="36"/>
  <c r="B8" i="36" s="1"/>
  <c r="O15" i="36"/>
  <c r="N15" i="36"/>
  <c r="R6" i="34"/>
  <c r="R15" i="34" s="1"/>
  <c r="O15" i="34"/>
  <c r="I134" i="13"/>
  <c r="N15" i="34"/>
  <c r="I165" i="13"/>
  <c r="C10" i="35"/>
  <c r="T9" i="35"/>
  <c r="F8" i="35"/>
  <c r="F10" i="35" s="1"/>
  <c r="T7" i="35"/>
  <c r="D8" i="35"/>
  <c r="D10" i="35" s="1"/>
  <c r="O10" i="35"/>
  <c r="N10" i="35"/>
  <c r="T8" i="35"/>
  <c r="E8" i="35"/>
  <c r="E10" i="35" s="1"/>
  <c r="K156" i="13"/>
  <c r="K165" i="13" s="1"/>
  <c r="T6" i="35"/>
  <c r="R10" i="35"/>
  <c r="T8" i="34"/>
  <c r="C8" i="34"/>
  <c r="D9" i="34"/>
  <c r="T13" i="34"/>
  <c r="E8" i="34"/>
  <c r="B9" i="34"/>
  <c r="T14" i="34"/>
  <c r="F8" i="34"/>
  <c r="C9" i="34"/>
  <c r="G9" i="35"/>
  <c r="X6" i="38" s="1"/>
  <c r="T11" i="34"/>
  <c r="D8" i="34"/>
  <c r="K143" i="13"/>
  <c r="K147" i="13" s="1"/>
  <c r="I147" i="13"/>
  <c r="M12" i="33"/>
  <c r="E9" i="33"/>
  <c r="N12" i="33"/>
  <c r="S8" i="33"/>
  <c r="D8" i="33"/>
  <c r="S10" i="33"/>
  <c r="E8" i="33"/>
  <c r="C8" i="33"/>
  <c r="I116" i="13"/>
  <c r="K113" i="13"/>
  <c r="D9" i="33"/>
  <c r="C9" i="33"/>
  <c r="K125" i="13"/>
  <c r="K134" i="13" s="1"/>
  <c r="Q12" i="33"/>
  <c r="S6" i="33"/>
  <c r="M6" i="32"/>
  <c r="E9" i="32" s="1"/>
  <c r="N6" i="32"/>
  <c r="N7" i="32" s="1"/>
  <c r="K110" i="13"/>
  <c r="M6" i="30"/>
  <c r="D9" i="30" s="1"/>
  <c r="N6" i="30"/>
  <c r="N7" i="30" s="1"/>
  <c r="M6" i="31"/>
  <c r="D9" i="31" s="1"/>
  <c r="E92" i="13"/>
  <c r="F92" i="13"/>
  <c r="N6" i="31"/>
  <c r="Q6" i="31" s="1"/>
  <c r="D8" i="31" s="1"/>
  <c r="M7" i="31"/>
  <c r="M8" i="31"/>
  <c r="N7" i="31"/>
  <c r="Q7" i="31" s="1"/>
  <c r="N8" i="31"/>
  <c r="Q8" i="31" s="1"/>
  <c r="S8" i="31" s="1"/>
  <c r="E101" i="13"/>
  <c r="F101" i="13"/>
  <c r="I100" i="13"/>
  <c r="I89" i="13"/>
  <c r="I90" i="13"/>
  <c r="K90" i="13" s="1"/>
  <c r="I91" i="13"/>
  <c r="K91" i="13" s="1"/>
  <c r="E80" i="13"/>
  <c r="F80" i="13"/>
  <c r="I79" i="13"/>
  <c r="Y4" i="1"/>
  <c r="Y109" i="1"/>
  <c r="B3" i="30"/>
  <c r="B2" i="30"/>
  <c r="B31" i="30"/>
  <c r="E31" i="30" s="1"/>
  <c r="E29" i="30"/>
  <c r="E27" i="30"/>
  <c r="E17" i="30"/>
  <c r="E11" i="29"/>
  <c r="D11" i="29"/>
  <c r="C11" i="29"/>
  <c r="D7" i="29"/>
  <c r="O8" i="29"/>
  <c r="O7" i="29"/>
  <c r="G68" i="13"/>
  <c r="G69" i="13"/>
  <c r="H65" i="13"/>
  <c r="P4" i="29" s="1"/>
  <c r="B3" i="29"/>
  <c r="B2" i="29"/>
  <c r="AC105" i="1"/>
  <c r="Y105" i="1"/>
  <c r="B31" i="29"/>
  <c r="E31" i="29" s="1"/>
  <c r="E29" i="29"/>
  <c r="E27" i="29"/>
  <c r="E17" i="29"/>
  <c r="H54" i="13"/>
  <c r="H42" i="13"/>
  <c r="H30" i="13"/>
  <c r="H1" i="13"/>
  <c r="B3" i="27"/>
  <c r="B2" i="27"/>
  <c r="B31" i="27"/>
  <c r="E31" i="27" s="1"/>
  <c r="E29" i="27"/>
  <c r="E27" i="27"/>
  <c r="E17" i="27"/>
  <c r="D11" i="27"/>
  <c r="AC93" i="1"/>
  <c r="Y93" i="1"/>
  <c r="F68" i="13"/>
  <c r="E68" i="13"/>
  <c r="AC15" i="38" l="1"/>
  <c r="AC14" i="38"/>
  <c r="H29" i="36"/>
  <c r="Z6" i="38"/>
  <c r="Y14" i="38"/>
  <c r="Y15" i="38"/>
  <c r="F10" i="37"/>
  <c r="F13" i="37" s="1"/>
  <c r="H29" i="37"/>
  <c r="F32" i="37"/>
  <c r="H32" i="37" s="1"/>
  <c r="F28" i="37"/>
  <c r="H28" i="37" s="1"/>
  <c r="B26" i="37"/>
  <c r="F26" i="37" s="1"/>
  <c r="H26" i="37" s="1"/>
  <c r="H27" i="37"/>
  <c r="H31" i="37"/>
  <c r="G8" i="37"/>
  <c r="B10" i="36"/>
  <c r="B13" i="36" s="1"/>
  <c r="R15" i="36"/>
  <c r="T6" i="36"/>
  <c r="T15" i="36" s="1"/>
  <c r="B8" i="34"/>
  <c r="B10" i="34" s="1"/>
  <c r="B13" i="34" s="1"/>
  <c r="T6" i="34"/>
  <c r="T15" i="34" s="1"/>
  <c r="H27" i="36"/>
  <c r="M7" i="32"/>
  <c r="H31" i="36"/>
  <c r="B26" i="36"/>
  <c r="F26" i="36" s="1"/>
  <c r="H26" i="36" s="1"/>
  <c r="G8" i="35"/>
  <c r="F32" i="36"/>
  <c r="H32" i="36" s="1"/>
  <c r="E13" i="35"/>
  <c r="F28" i="36"/>
  <c r="H28" i="36" s="1"/>
  <c r="F13" i="35"/>
  <c r="D13" i="35"/>
  <c r="J134" i="13"/>
  <c r="T10" i="35"/>
  <c r="S10" i="35" s="1"/>
  <c r="J165" i="13"/>
  <c r="H27" i="35"/>
  <c r="F28" i="35"/>
  <c r="H28" i="35" s="1"/>
  <c r="J147" i="13"/>
  <c r="D10" i="34"/>
  <c r="D13" i="34" s="1"/>
  <c r="H29" i="35"/>
  <c r="F10" i="34"/>
  <c r="F13" i="34" s="1"/>
  <c r="E10" i="34"/>
  <c r="E13" i="34" s="1"/>
  <c r="C10" i="33"/>
  <c r="C13" i="33" s="1"/>
  <c r="C13" i="35"/>
  <c r="B26" i="35"/>
  <c r="F26" i="35" s="1"/>
  <c r="H26" i="35" s="1"/>
  <c r="H31" i="35"/>
  <c r="F32" i="35"/>
  <c r="H32" i="35" s="1"/>
  <c r="G11" i="35"/>
  <c r="G9" i="34"/>
  <c r="Q6" i="30"/>
  <c r="D8" i="30" s="1"/>
  <c r="S12" i="33"/>
  <c r="R12" i="33" s="1"/>
  <c r="M9" i="31"/>
  <c r="D10" i="33"/>
  <c r="D13" i="33" s="1"/>
  <c r="C10" i="34"/>
  <c r="C13" i="34" s="1"/>
  <c r="G8" i="34"/>
  <c r="V5" i="38" s="1"/>
  <c r="K116" i="13"/>
  <c r="J116" i="13" s="1"/>
  <c r="N9" i="31"/>
  <c r="Q6" i="32"/>
  <c r="E8" i="32" s="1"/>
  <c r="E10" i="32" s="1"/>
  <c r="F9" i="33"/>
  <c r="T6" i="38" s="1"/>
  <c r="E70" i="13"/>
  <c r="F70" i="13"/>
  <c r="S7" i="31"/>
  <c r="E8" i="31"/>
  <c r="F11" i="31" s="1"/>
  <c r="I92" i="13"/>
  <c r="E9" i="31"/>
  <c r="F9" i="31" s="1"/>
  <c r="F9" i="32"/>
  <c r="M7" i="30"/>
  <c r="I101" i="13"/>
  <c r="K100" i="13"/>
  <c r="K101" i="13" s="1"/>
  <c r="Q9" i="31"/>
  <c r="S6" i="31"/>
  <c r="K89" i="13"/>
  <c r="K92" i="13" s="1"/>
  <c r="D10" i="31"/>
  <c r="D13" i="31" s="1"/>
  <c r="M7" i="29"/>
  <c r="D9" i="29" s="1"/>
  <c r="N7" i="29"/>
  <c r="Q7" i="29" s="1"/>
  <c r="M6" i="29"/>
  <c r="N6" i="29"/>
  <c r="Q6" i="29" s="1"/>
  <c r="M8" i="29"/>
  <c r="E9" i="29" s="1"/>
  <c r="N8" i="29"/>
  <c r="Q8" i="29" s="1"/>
  <c r="I69" i="13"/>
  <c r="K69" i="13" s="1"/>
  <c r="I80" i="13"/>
  <c r="K79" i="13"/>
  <c r="K80" i="13" s="1"/>
  <c r="M5" i="27"/>
  <c r="M6" i="27"/>
  <c r="N5" i="27"/>
  <c r="Q5" i="27" s="1"/>
  <c r="S5" i="27" s="1"/>
  <c r="N6" i="27"/>
  <c r="I67" i="13"/>
  <c r="I68" i="13"/>
  <c r="K68" i="13" s="1"/>
  <c r="M5" i="26"/>
  <c r="M6" i="26"/>
  <c r="N5" i="26"/>
  <c r="Q5" i="26" s="1"/>
  <c r="N6" i="26"/>
  <c r="Q6" i="26" s="1"/>
  <c r="S6" i="26" s="1"/>
  <c r="E58" i="13"/>
  <c r="I57" i="13"/>
  <c r="K57" i="13" s="1"/>
  <c r="F58" i="13"/>
  <c r="I56" i="13"/>
  <c r="B3" i="26"/>
  <c r="B2" i="26"/>
  <c r="B31" i="26"/>
  <c r="E31" i="26" s="1"/>
  <c r="E29" i="26"/>
  <c r="E27" i="26"/>
  <c r="E17" i="26"/>
  <c r="D11" i="26"/>
  <c r="X199" i="1"/>
  <c r="X196" i="1"/>
  <c r="X194" i="1"/>
  <c r="X193" i="1"/>
  <c r="X192" i="1"/>
  <c r="X190" i="1"/>
  <c r="X189" i="1"/>
  <c r="X186" i="1"/>
  <c r="X185" i="1"/>
  <c r="X184" i="1"/>
  <c r="X183" i="1"/>
  <c r="X182" i="1"/>
  <c r="X181" i="1"/>
  <c r="X180" i="1"/>
  <c r="X177" i="1"/>
  <c r="X176" i="1"/>
  <c r="X175" i="1"/>
  <c r="X172" i="1"/>
  <c r="X170" i="1"/>
  <c r="X169" i="1"/>
  <c r="X168" i="1"/>
  <c r="X156" i="1"/>
  <c r="X154" i="1"/>
  <c r="X153" i="1"/>
  <c r="X152" i="1"/>
  <c r="X151" i="1"/>
  <c r="X147" i="1"/>
  <c r="X146" i="1"/>
  <c r="X144" i="1"/>
  <c r="X143" i="1"/>
  <c r="X140" i="1"/>
  <c r="X139" i="1"/>
  <c r="X138" i="1"/>
  <c r="X137" i="1"/>
  <c r="X136" i="1"/>
  <c r="X135" i="1"/>
  <c r="X134" i="1"/>
  <c r="X133" i="1"/>
  <c r="X132" i="1"/>
  <c r="X131" i="1"/>
  <c r="X130" i="1"/>
  <c r="X118" i="1"/>
  <c r="X117" i="1"/>
  <c r="X116" i="1"/>
  <c r="X115" i="1"/>
  <c r="X107" i="1"/>
  <c r="X104" i="1"/>
  <c r="X103" i="1"/>
  <c r="X102" i="1"/>
  <c r="X101" i="1"/>
  <c r="X99" i="1"/>
  <c r="X98" i="1"/>
  <c r="X96" i="1"/>
  <c r="X95" i="1"/>
  <c r="X92" i="1"/>
  <c r="X90" i="1"/>
  <c r="X89" i="1"/>
  <c r="X88" i="1"/>
  <c r="X84" i="1"/>
  <c r="X80" i="1"/>
  <c r="X77" i="1"/>
  <c r="X75" i="1"/>
  <c r="X70" i="1"/>
  <c r="X67" i="1"/>
  <c r="X66" i="1"/>
  <c r="X63" i="1"/>
  <c r="X62" i="1"/>
  <c r="X61" i="1"/>
  <c r="X60" i="1"/>
  <c r="X58" i="1"/>
  <c r="X57" i="1"/>
  <c r="X56" i="1"/>
  <c r="X55" i="1"/>
  <c r="X54" i="1"/>
  <c r="X53" i="1"/>
  <c r="X52" i="1"/>
  <c r="X50" i="1"/>
  <c r="X49" i="1"/>
  <c r="X47" i="1"/>
  <c r="X43" i="1"/>
  <c r="X38" i="1"/>
  <c r="X35" i="1"/>
  <c r="X34" i="1"/>
  <c r="X33" i="1"/>
  <c r="X30" i="1"/>
  <c r="X29" i="1"/>
  <c r="X28" i="1"/>
  <c r="X27" i="1"/>
  <c r="X26" i="1"/>
  <c r="X25" i="1"/>
  <c r="X24" i="1"/>
  <c r="X23" i="1"/>
  <c r="X22" i="1"/>
  <c r="X21" i="1"/>
  <c r="X19" i="1"/>
  <c r="X18" i="1"/>
  <c r="X17" i="1"/>
  <c r="X15" i="1"/>
  <c r="X14" i="1"/>
  <c r="X13" i="1"/>
  <c r="X12" i="1"/>
  <c r="X11" i="1"/>
  <c r="X10" i="1"/>
  <c r="X9" i="1"/>
  <c r="X8" i="1"/>
  <c r="D11" i="25"/>
  <c r="E11" i="25"/>
  <c r="O7" i="25"/>
  <c r="G34" i="13"/>
  <c r="G10" i="37" l="1"/>
  <c r="AB5" i="38"/>
  <c r="AB10" i="38" s="1"/>
  <c r="AA15" i="38"/>
  <c r="AA14" i="38"/>
  <c r="G10" i="35"/>
  <c r="X5" i="38"/>
  <c r="X10" i="38" s="1"/>
  <c r="B26" i="34"/>
  <c r="F26" i="34" s="1"/>
  <c r="H26" i="34" s="1"/>
  <c r="V6" i="38"/>
  <c r="V10" i="38" s="1"/>
  <c r="U15" i="38"/>
  <c r="U14" i="38"/>
  <c r="E28" i="32"/>
  <c r="G28" i="32" s="1"/>
  <c r="R6" i="38"/>
  <c r="B26" i="31"/>
  <c r="E26" i="31" s="1"/>
  <c r="G26" i="31" s="1"/>
  <c r="P6" i="38"/>
  <c r="G11" i="37"/>
  <c r="S15" i="36"/>
  <c r="G11" i="34"/>
  <c r="S15" i="34"/>
  <c r="G8" i="36"/>
  <c r="G11" i="36"/>
  <c r="C10" i="36"/>
  <c r="C13" i="36" s="1"/>
  <c r="F8" i="31"/>
  <c r="S6" i="30"/>
  <c r="S7" i="30" s="1"/>
  <c r="G13" i="35"/>
  <c r="B14" i="35"/>
  <c r="F18" i="35" s="1"/>
  <c r="H31" i="34"/>
  <c r="F28" i="34"/>
  <c r="H28" i="34" s="1"/>
  <c r="H24" i="34"/>
  <c r="H29" i="34"/>
  <c r="H27" i="34"/>
  <c r="H25" i="34"/>
  <c r="F32" i="34"/>
  <c r="H32" i="34" s="1"/>
  <c r="G10" i="34"/>
  <c r="Q7" i="30"/>
  <c r="S9" i="31"/>
  <c r="R9" i="31" s="1"/>
  <c r="Q7" i="32"/>
  <c r="S6" i="32"/>
  <c r="S7" i="32" s="1"/>
  <c r="B14" i="34"/>
  <c r="F18" i="34" s="1"/>
  <c r="G13" i="34"/>
  <c r="E28" i="31"/>
  <c r="G28" i="31" s="1"/>
  <c r="G27" i="33"/>
  <c r="B26" i="33"/>
  <c r="E26" i="33" s="1"/>
  <c r="G26" i="33" s="1"/>
  <c r="E32" i="33"/>
  <c r="G32" i="33" s="1"/>
  <c r="E28" i="33"/>
  <c r="G28" i="33" s="1"/>
  <c r="G29" i="33"/>
  <c r="G31" i="33"/>
  <c r="E32" i="31"/>
  <c r="G32" i="31" s="1"/>
  <c r="G29" i="31"/>
  <c r="E32" i="32"/>
  <c r="G32" i="32" s="1"/>
  <c r="J101" i="13"/>
  <c r="I70" i="13"/>
  <c r="G27" i="31"/>
  <c r="C9" i="29"/>
  <c r="F9" i="29" s="1"/>
  <c r="L6" i="38" s="1"/>
  <c r="M9" i="29"/>
  <c r="G29" i="32"/>
  <c r="G31" i="32"/>
  <c r="G27" i="32"/>
  <c r="C8" i="29"/>
  <c r="Q9" i="29"/>
  <c r="G31" i="31"/>
  <c r="J80" i="13"/>
  <c r="B26" i="32"/>
  <c r="E26" i="32" s="1"/>
  <c r="G26" i="32" s="1"/>
  <c r="E10" i="31"/>
  <c r="E13" i="31" s="1"/>
  <c r="N9" i="29"/>
  <c r="F8" i="32"/>
  <c r="D13" i="32"/>
  <c r="J92" i="13"/>
  <c r="S7" i="29"/>
  <c r="D8" i="29"/>
  <c r="F9" i="30"/>
  <c r="N6" i="38" s="1"/>
  <c r="S8" i="29"/>
  <c r="E8" i="29"/>
  <c r="S6" i="29"/>
  <c r="M7" i="26"/>
  <c r="K67" i="13"/>
  <c r="K70" i="13" s="1"/>
  <c r="N7" i="26"/>
  <c r="D8" i="26"/>
  <c r="D9" i="27"/>
  <c r="F9" i="27" s="1"/>
  <c r="J6" i="38" s="1"/>
  <c r="M7" i="27"/>
  <c r="D9" i="26"/>
  <c r="N7" i="27"/>
  <c r="Q6" i="27"/>
  <c r="I58" i="13"/>
  <c r="K56" i="13"/>
  <c r="K58" i="13" s="1"/>
  <c r="Q7" i="26"/>
  <c r="S5" i="26"/>
  <c r="S7" i="26" s="1"/>
  <c r="E35" i="13"/>
  <c r="M5" i="25"/>
  <c r="F35" i="13"/>
  <c r="N5" i="25"/>
  <c r="Q5" i="25" s="1"/>
  <c r="M6" i="25"/>
  <c r="N6" i="25"/>
  <c r="M7" i="25"/>
  <c r="E9" i="25" s="1"/>
  <c r="N7" i="25"/>
  <c r="Q7" i="25" s="1"/>
  <c r="E46" i="13"/>
  <c r="F46" i="13"/>
  <c r="I44" i="13"/>
  <c r="I45" i="13"/>
  <c r="K45" i="13" s="1"/>
  <c r="I32" i="13"/>
  <c r="I33" i="13"/>
  <c r="K33" i="13" s="1"/>
  <c r="I34" i="13"/>
  <c r="B3" i="25"/>
  <c r="B2" i="25"/>
  <c r="B31" i="25"/>
  <c r="E31" i="25" s="1"/>
  <c r="E29" i="25"/>
  <c r="E27" i="25"/>
  <c r="E17" i="25"/>
  <c r="Q25" i="7"/>
  <c r="Q24" i="7"/>
  <c r="Q23" i="7"/>
  <c r="Q22" i="7"/>
  <c r="Q21" i="7"/>
  <c r="Q20" i="7"/>
  <c r="Q19" i="7"/>
  <c r="Q18" i="7"/>
  <c r="Q17" i="7"/>
  <c r="Q16" i="7"/>
  <c r="Q15" i="7"/>
  <c r="B3" i="7"/>
  <c r="B2" i="7"/>
  <c r="G13" i="13"/>
  <c r="G15" i="13"/>
  <c r="G14" i="13"/>
  <c r="G22" i="13"/>
  <c r="G21" i="13"/>
  <c r="G23" i="13"/>
  <c r="G20" i="13"/>
  <c r="G19" i="13"/>
  <c r="G18" i="13"/>
  <c r="G17" i="13"/>
  <c r="G16" i="13"/>
  <c r="Y187" i="1"/>
  <c r="Y171" i="1"/>
  <c r="Y162" i="1"/>
  <c r="M86" i="1"/>
  <c r="M83" i="1"/>
  <c r="M82" i="1"/>
  <c r="M68" i="1"/>
  <c r="M67" i="1"/>
  <c r="M66" i="1"/>
  <c r="M65" i="1"/>
  <c r="M90" i="1"/>
  <c r="M84" i="1"/>
  <c r="M81" i="1"/>
  <c r="M80" i="1"/>
  <c r="M77" i="1"/>
  <c r="M78" i="1"/>
  <c r="M74" i="1"/>
  <c r="M73" i="1"/>
  <c r="M72" i="1"/>
  <c r="J4" i="1"/>
  <c r="J187" i="1"/>
  <c r="K187" i="1" s="1"/>
  <c r="J171" i="1"/>
  <c r="K171" i="1" s="1"/>
  <c r="AA3" i="38" s="1"/>
  <c r="J162" i="1"/>
  <c r="K162" i="1" s="1"/>
  <c r="Y3" i="38" s="1"/>
  <c r="J145" i="1"/>
  <c r="K145" i="1" s="1"/>
  <c r="J128" i="1"/>
  <c r="K128" i="1" s="1"/>
  <c r="J119" i="1"/>
  <c r="K119" i="1" s="1"/>
  <c r="S3" i="38" s="1"/>
  <c r="J114" i="1"/>
  <c r="K114" i="1" s="1"/>
  <c r="J109" i="1"/>
  <c r="K109" i="1" s="1"/>
  <c r="O3" i="38" s="1"/>
  <c r="J105" i="1"/>
  <c r="K105" i="1" s="1"/>
  <c r="M3" i="38" s="1"/>
  <c r="J100" i="1"/>
  <c r="K100" i="1" s="1"/>
  <c r="K3" i="38" s="1"/>
  <c r="J97" i="1"/>
  <c r="K97" i="1" s="1"/>
  <c r="I3" i="38" s="1"/>
  <c r="J93" i="1"/>
  <c r="K93" i="1" s="1"/>
  <c r="B93" i="1"/>
  <c r="T200" i="1"/>
  <c r="M199" i="1"/>
  <c r="T197" i="1"/>
  <c r="M196" i="1"/>
  <c r="M194" i="1"/>
  <c r="M193" i="1"/>
  <c r="M192" i="1"/>
  <c r="M190" i="1"/>
  <c r="M189" i="1"/>
  <c r="M188" i="1"/>
  <c r="E14" i="13"/>
  <c r="F20" i="13"/>
  <c r="E20" i="13"/>
  <c r="E13" i="13"/>
  <c r="F17" i="13"/>
  <c r="E19" i="13"/>
  <c r="F13" i="13"/>
  <c r="F15" i="13"/>
  <c r="F18" i="13"/>
  <c r="E15" i="13"/>
  <c r="F14" i="13"/>
  <c r="F19" i="13"/>
  <c r="E17" i="13"/>
  <c r="E18" i="13"/>
  <c r="K4" i="1" l="1"/>
  <c r="K71" i="1" s="1"/>
  <c r="N217" i="1"/>
  <c r="N207" i="1"/>
  <c r="N206" i="1"/>
  <c r="N205" i="1"/>
  <c r="N204" i="1"/>
  <c r="N215" i="1"/>
  <c r="N203" i="1"/>
  <c r="N214" i="1"/>
  <c r="G10" i="36"/>
  <c r="Z5" i="38"/>
  <c r="Z10" i="38" s="1"/>
  <c r="G14" i="35"/>
  <c r="Y7" i="38"/>
  <c r="Y9" i="38" s="1"/>
  <c r="G14" i="34"/>
  <c r="W7" i="38"/>
  <c r="W9" i="38" s="1"/>
  <c r="W15" i="38"/>
  <c r="W14" i="38"/>
  <c r="S15" i="38"/>
  <c r="S14" i="38"/>
  <c r="F10" i="32"/>
  <c r="R5" i="38"/>
  <c r="R10" i="38" s="1"/>
  <c r="Q14" i="38"/>
  <c r="Q15" i="38"/>
  <c r="F10" i="31"/>
  <c r="P5" i="38"/>
  <c r="P10" i="38" s="1"/>
  <c r="O14" i="38"/>
  <c r="O15" i="38"/>
  <c r="M15" i="38"/>
  <c r="M14" i="38"/>
  <c r="K15" i="38"/>
  <c r="K14" i="38"/>
  <c r="E3" i="37"/>
  <c r="AC3" i="38"/>
  <c r="Z36" i="38"/>
  <c r="Z31" i="38"/>
  <c r="X36" i="38"/>
  <c r="X31" i="38"/>
  <c r="E3" i="34"/>
  <c r="W3" i="38"/>
  <c r="E3" i="33"/>
  <c r="U3" i="38"/>
  <c r="R36" i="38"/>
  <c r="R31" i="38"/>
  <c r="E3" i="31"/>
  <c r="Q3" i="38"/>
  <c r="N36" i="38"/>
  <c r="N31" i="38"/>
  <c r="L36" i="38"/>
  <c r="L31" i="38"/>
  <c r="J31" i="38"/>
  <c r="J36" i="38"/>
  <c r="H36" i="38"/>
  <c r="H31" i="38"/>
  <c r="AF93" i="1"/>
  <c r="B24" i="25" s="1"/>
  <c r="B25" i="25" s="1"/>
  <c r="E25" i="25" s="1"/>
  <c r="G3" i="38"/>
  <c r="E3" i="36"/>
  <c r="G13" i="37"/>
  <c r="B14" i="37"/>
  <c r="F18" i="37" s="1"/>
  <c r="M197" i="1"/>
  <c r="W197" i="1"/>
  <c r="X197" i="1" s="1"/>
  <c r="M200" i="1"/>
  <c r="W200" i="1"/>
  <c r="X200" i="1" s="1"/>
  <c r="R7" i="30"/>
  <c r="F11" i="30" s="1"/>
  <c r="B14" i="36"/>
  <c r="F18" i="36" s="1"/>
  <c r="G13" i="36"/>
  <c r="E3" i="35"/>
  <c r="AF162" i="1"/>
  <c r="R7" i="32"/>
  <c r="E13" i="32" s="1"/>
  <c r="F13" i="32" s="1"/>
  <c r="J58" i="13"/>
  <c r="C10" i="29"/>
  <c r="C13" i="29" s="1"/>
  <c r="E10" i="33"/>
  <c r="E13" i="33" s="1"/>
  <c r="F8" i="33"/>
  <c r="F11" i="33"/>
  <c r="AF119" i="1"/>
  <c r="E3" i="32"/>
  <c r="F11" i="32"/>
  <c r="S9" i="29"/>
  <c r="R9" i="29" s="1"/>
  <c r="B14" i="31"/>
  <c r="E18" i="31" s="1"/>
  <c r="F13" i="31"/>
  <c r="E28" i="30"/>
  <c r="G28" i="30" s="1"/>
  <c r="E32" i="30"/>
  <c r="G32" i="30" s="1"/>
  <c r="G29" i="30"/>
  <c r="G27" i="30"/>
  <c r="G31" i="30"/>
  <c r="B26" i="30"/>
  <c r="E26" i="30" s="1"/>
  <c r="G26" i="30" s="1"/>
  <c r="J70" i="13"/>
  <c r="E10" i="29"/>
  <c r="E13" i="29" s="1"/>
  <c r="D10" i="30"/>
  <c r="K135" i="1"/>
  <c r="K129" i="1"/>
  <c r="K144" i="1"/>
  <c r="K143" i="1"/>
  <c r="K142" i="1"/>
  <c r="K141" i="1"/>
  <c r="K136" i="1"/>
  <c r="K140" i="1"/>
  <c r="K139" i="1"/>
  <c r="K138" i="1"/>
  <c r="K137" i="1"/>
  <c r="K157" i="1"/>
  <c r="AI157" i="1" s="1"/>
  <c r="K156" i="1"/>
  <c r="K155" i="1"/>
  <c r="AI155" i="1" s="1"/>
  <c r="K154" i="1"/>
  <c r="K153" i="1"/>
  <c r="K152" i="1"/>
  <c r="K149" i="1"/>
  <c r="K160" i="1"/>
  <c r="AI160" i="1" s="1"/>
  <c r="K161" i="1"/>
  <c r="AI161" i="1" s="1"/>
  <c r="K159" i="1"/>
  <c r="K158" i="1"/>
  <c r="AI158" i="1" s="1"/>
  <c r="K148" i="1"/>
  <c r="AI148" i="1" s="1"/>
  <c r="K147" i="1"/>
  <c r="K146" i="1"/>
  <c r="K170" i="1"/>
  <c r="K168" i="1"/>
  <c r="K167" i="1"/>
  <c r="AI167" i="1" s="1"/>
  <c r="K166" i="1"/>
  <c r="K165" i="1"/>
  <c r="AI165" i="1" s="1"/>
  <c r="K164" i="1"/>
  <c r="AI164" i="1" s="1"/>
  <c r="K163" i="1"/>
  <c r="AI163" i="1" s="1"/>
  <c r="K169" i="1"/>
  <c r="K183" i="1"/>
  <c r="K181" i="1"/>
  <c r="K180" i="1"/>
  <c r="K179" i="1"/>
  <c r="K178" i="1"/>
  <c r="AI178" i="1" s="1"/>
  <c r="K177" i="1"/>
  <c r="K176" i="1"/>
  <c r="AC176" i="1" s="1"/>
  <c r="K175" i="1"/>
  <c r="K185" i="1"/>
  <c r="K184" i="1"/>
  <c r="K182" i="1"/>
  <c r="K174" i="1"/>
  <c r="AI174" i="1" s="1"/>
  <c r="K173" i="1"/>
  <c r="AI173" i="1" s="1"/>
  <c r="K172" i="1"/>
  <c r="K186" i="1"/>
  <c r="K198" i="1"/>
  <c r="AF198" i="1" s="1"/>
  <c r="K195" i="1"/>
  <c r="AF195" i="1" s="1"/>
  <c r="K191" i="1"/>
  <c r="AF191" i="1" s="1"/>
  <c r="K188" i="1"/>
  <c r="AF188" i="1" s="1"/>
  <c r="E3" i="25"/>
  <c r="K96" i="1"/>
  <c r="K95" i="1"/>
  <c r="K94" i="1"/>
  <c r="AI94" i="1" s="1"/>
  <c r="E3" i="26"/>
  <c r="K99" i="1"/>
  <c r="K98" i="1"/>
  <c r="AF97" i="1"/>
  <c r="B24" i="26" s="1"/>
  <c r="B25" i="26" s="1"/>
  <c r="K104" i="1"/>
  <c r="AF100" i="1"/>
  <c r="K103" i="1"/>
  <c r="K102" i="1"/>
  <c r="K101" i="1"/>
  <c r="E3" i="27"/>
  <c r="AF105" i="1"/>
  <c r="B24" i="29" s="1"/>
  <c r="B25" i="29" s="1"/>
  <c r="K108" i="1"/>
  <c r="K107" i="1"/>
  <c r="E3" i="29"/>
  <c r="K106" i="1"/>
  <c r="AF109" i="1"/>
  <c r="B24" i="30" s="1"/>
  <c r="B25" i="30" s="1"/>
  <c r="K113" i="1"/>
  <c r="K112" i="1"/>
  <c r="K111" i="1"/>
  <c r="K110" i="1"/>
  <c r="E3" i="30"/>
  <c r="K116" i="1"/>
  <c r="AF116" i="1" s="1"/>
  <c r="K115" i="1"/>
  <c r="K118" i="1"/>
  <c r="AF118" i="1" s="1"/>
  <c r="K117" i="1"/>
  <c r="AF117" i="1" s="1"/>
  <c r="K127" i="1"/>
  <c r="AI127" i="1" s="1"/>
  <c r="K126" i="1"/>
  <c r="AI126" i="1" s="1"/>
  <c r="K125" i="1"/>
  <c r="AI125" i="1" s="1"/>
  <c r="K124" i="1"/>
  <c r="AI124" i="1" s="1"/>
  <c r="K123" i="1"/>
  <c r="AI123" i="1" s="1"/>
  <c r="K120" i="1"/>
  <c r="K122" i="1"/>
  <c r="AI122" i="1" s="1"/>
  <c r="K121" i="1"/>
  <c r="AI121" i="1" s="1"/>
  <c r="E32" i="29"/>
  <c r="G32" i="29" s="1"/>
  <c r="G27" i="29"/>
  <c r="G29" i="29"/>
  <c r="E28" i="29"/>
  <c r="G28" i="29" s="1"/>
  <c r="B26" i="29"/>
  <c r="E26" i="29" s="1"/>
  <c r="G31" i="29"/>
  <c r="F11" i="29"/>
  <c r="N8" i="25"/>
  <c r="R7" i="26"/>
  <c r="E28" i="27"/>
  <c r="G28" i="27" s="1"/>
  <c r="E32" i="27"/>
  <c r="G32" i="27" s="1"/>
  <c r="B26" i="27"/>
  <c r="E26" i="27" s="1"/>
  <c r="G26" i="27" s="1"/>
  <c r="G27" i="27"/>
  <c r="G29" i="27"/>
  <c r="G31" i="27"/>
  <c r="S6" i="27"/>
  <c r="S7" i="27" s="1"/>
  <c r="Q7" i="27"/>
  <c r="D8" i="27"/>
  <c r="S7" i="25"/>
  <c r="E8" i="25"/>
  <c r="Q6" i="25"/>
  <c r="S6" i="25" s="1"/>
  <c r="K32" i="13"/>
  <c r="I35" i="13"/>
  <c r="M8" i="25"/>
  <c r="F8" i="26"/>
  <c r="H5" i="38" s="1"/>
  <c r="D9" i="25"/>
  <c r="F9" i="26"/>
  <c r="H6" i="38" s="1"/>
  <c r="K44" i="13"/>
  <c r="K46" i="13" s="1"/>
  <c r="I46" i="13"/>
  <c r="S5" i="25"/>
  <c r="K34" i="13"/>
  <c r="E25" i="13"/>
  <c r="F25" i="13"/>
  <c r="O17" i="7"/>
  <c r="P17" i="7"/>
  <c r="S17" i="7" s="1"/>
  <c r="V17" i="7" s="1"/>
  <c r="O18" i="7"/>
  <c r="P18" i="7"/>
  <c r="S18" i="7" s="1"/>
  <c r="O19" i="7"/>
  <c r="P19" i="7"/>
  <c r="S19" i="7" s="1"/>
  <c r="V19" i="7" s="1"/>
  <c r="O20" i="7"/>
  <c r="P20" i="7"/>
  <c r="S20" i="7" s="1"/>
  <c r="V20" i="7" s="1"/>
  <c r="O21" i="7"/>
  <c r="P21" i="7"/>
  <c r="S21" i="7" s="1"/>
  <c r="V21" i="7" s="1"/>
  <c r="O22" i="7"/>
  <c r="P22" i="7"/>
  <c r="S22" i="7" s="1"/>
  <c r="V22" i="7" s="1"/>
  <c r="O26" i="7"/>
  <c r="P26" i="7"/>
  <c r="S26" i="7" s="1"/>
  <c r="V26" i="7" s="1"/>
  <c r="O23" i="7"/>
  <c r="P23" i="7"/>
  <c r="S23" i="7" s="1"/>
  <c r="O24" i="7"/>
  <c r="P24" i="7"/>
  <c r="S24" i="7" s="1"/>
  <c r="V24" i="7" s="1"/>
  <c r="O25" i="7"/>
  <c r="P25" i="7"/>
  <c r="S25" i="7" s="1"/>
  <c r="O5" i="7"/>
  <c r="P5" i="7"/>
  <c r="S5" i="7" s="1"/>
  <c r="O6" i="7"/>
  <c r="O7" i="7"/>
  <c r="P6" i="7"/>
  <c r="S6" i="7" s="1"/>
  <c r="V6" i="7" s="1"/>
  <c r="P7" i="7"/>
  <c r="S7" i="7" s="1"/>
  <c r="V7" i="7" s="1"/>
  <c r="O8" i="7"/>
  <c r="P8" i="7"/>
  <c r="S8" i="7" s="1"/>
  <c r="V8" i="7" s="1"/>
  <c r="O9" i="7"/>
  <c r="P9" i="7"/>
  <c r="O10" i="7"/>
  <c r="P10" i="7"/>
  <c r="S10" i="7" s="1"/>
  <c r="V10" i="7" s="1"/>
  <c r="O11" i="7"/>
  <c r="P11" i="7"/>
  <c r="S11" i="7" s="1"/>
  <c r="V11" i="7" s="1"/>
  <c r="O12" i="7"/>
  <c r="P12" i="7"/>
  <c r="S12" i="7" s="1"/>
  <c r="V12" i="7" s="1"/>
  <c r="O13" i="7"/>
  <c r="P13" i="7"/>
  <c r="S13" i="7" s="1"/>
  <c r="V13" i="7" s="1"/>
  <c r="O14" i="7"/>
  <c r="P14" i="7"/>
  <c r="S14" i="7" s="1"/>
  <c r="V14" i="7" s="1"/>
  <c r="O15" i="7"/>
  <c r="O16" i="7"/>
  <c r="P15" i="7"/>
  <c r="S15" i="7" s="1"/>
  <c r="P16" i="7"/>
  <c r="S16" i="7" s="1"/>
  <c r="V16" i="7" s="1"/>
  <c r="I3" i="13"/>
  <c r="I4" i="13"/>
  <c r="K4" i="13" s="1"/>
  <c r="I5" i="13"/>
  <c r="K5" i="13" s="1"/>
  <c r="I6" i="13"/>
  <c r="K6" i="13" s="1"/>
  <c r="I7" i="13"/>
  <c r="K7" i="13" s="1"/>
  <c r="I8" i="13"/>
  <c r="K8" i="13" s="1"/>
  <c r="I9" i="13"/>
  <c r="K9" i="13" s="1"/>
  <c r="I10" i="13"/>
  <c r="K10" i="13" s="1"/>
  <c r="I11" i="13"/>
  <c r="K11" i="13" s="1"/>
  <c r="I12" i="13"/>
  <c r="K12" i="13" s="1"/>
  <c r="I13" i="13"/>
  <c r="K13" i="13" s="1"/>
  <c r="I16" i="13"/>
  <c r="K16" i="13" s="1"/>
  <c r="I17" i="13"/>
  <c r="K17" i="13" s="1"/>
  <c r="I18" i="13"/>
  <c r="K18" i="13" s="1"/>
  <c r="I19" i="13"/>
  <c r="K19" i="13" s="1"/>
  <c r="I20" i="13"/>
  <c r="K20" i="13" s="1"/>
  <c r="I24" i="13"/>
  <c r="K24" i="13" s="1"/>
  <c r="I21" i="13"/>
  <c r="K21" i="13" s="1"/>
  <c r="I22" i="13"/>
  <c r="K22" i="13" s="1"/>
  <c r="I23" i="13"/>
  <c r="K23" i="13" s="1"/>
  <c r="I15" i="13"/>
  <c r="K15" i="13" s="1"/>
  <c r="I14" i="13"/>
  <c r="K14" i="13" s="1"/>
  <c r="K85" i="1"/>
  <c r="N85" i="1" l="1"/>
  <c r="AE85" i="1"/>
  <c r="E185" i="13"/>
  <c r="N7" i="41" s="1"/>
  <c r="E190" i="13"/>
  <c r="N12" i="41" s="1"/>
  <c r="E186" i="13"/>
  <c r="N8" i="41" s="1"/>
  <c r="E188" i="13"/>
  <c r="N10" i="41" s="1"/>
  <c r="E189" i="13"/>
  <c r="N11" i="41" s="1"/>
  <c r="E187" i="13"/>
  <c r="N9" i="41" s="1"/>
  <c r="K82" i="1"/>
  <c r="N82" i="1" s="1"/>
  <c r="K79" i="1"/>
  <c r="N79" i="1" s="1"/>
  <c r="K76" i="1"/>
  <c r="N76" i="1" s="1"/>
  <c r="K87" i="1"/>
  <c r="N87" i="1" s="1"/>
  <c r="K86" i="1"/>
  <c r="V86" i="1" s="1"/>
  <c r="G3" i="7"/>
  <c r="K84" i="1"/>
  <c r="AI84" i="1" s="1"/>
  <c r="K83" i="1"/>
  <c r="N83" i="1" s="1"/>
  <c r="K75" i="1"/>
  <c r="AI75" i="1" s="1"/>
  <c r="N4" i="1"/>
  <c r="E3" i="38"/>
  <c r="D36" i="38" s="1"/>
  <c r="K5" i="1"/>
  <c r="K69" i="1" s="1"/>
  <c r="N213" i="1"/>
  <c r="V213" i="1"/>
  <c r="N212" i="1"/>
  <c r="V212" i="1"/>
  <c r="N216" i="1"/>
  <c r="V216" i="1"/>
  <c r="N208" i="1"/>
  <c r="V208" i="1"/>
  <c r="N209" i="1"/>
  <c r="V209" i="1"/>
  <c r="N211" i="1"/>
  <c r="V211" i="1"/>
  <c r="N210" i="1"/>
  <c r="V210" i="1"/>
  <c r="G14" i="37"/>
  <c r="AC7" i="38"/>
  <c r="AC9" i="38" s="1"/>
  <c r="G14" i="36"/>
  <c r="AA7" i="38"/>
  <c r="F10" i="33"/>
  <c r="T5" i="38"/>
  <c r="T10" i="38" s="1"/>
  <c r="F14" i="32"/>
  <c r="S7" i="38"/>
  <c r="S9" i="38" s="1"/>
  <c r="F14" i="31"/>
  <c r="Q7" i="38"/>
  <c r="Q9" i="38" s="1"/>
  <c r="I15" i="38"/>
  <c r="I14" i="38"/>
  <c r="H10" i="38"/>
  <c r="AB31" i="38"/>
  <c r="AB36" i="38"/>
  <c r="V36" i="38"/>
  <c r="V31" i="38"/>
  <c r="T36" i="38"/>
  <c r="T31" i="38"/>
  <c r="P36" i="38"/>
  <c r="P31" i="38"/>
  <c r="E24" i="25"/>
  <c r="F36" i="38"/>
  <c r="F31" i="38"/>
  <c r="AF187" i="1"/>
  <c r="B24" i="37" s="1"/>
  <c r="AI179" i="1"/>
  <c r="V179" i="1"/>
  <c r="W174" i="1"/>
  <c r="W173" i="1"/>
  <c r="D13" i="30"/>
  <c r="B24" i="35"/>
  <c r="B25" i="35" s="1"/>
  <c r="F25" i="35" s="1"/>
  <c r="H25" i="35" s="1"/>
  <c r="B14" i="32"/>
  <c r="E18" i="32" s="1"/>
  <c r="B14" i="33"/>
  <c r="E18" i="33" s="1"/>
  <c r="F13" i="33"/>
  <c r="Z114" i="1"/>
  <c r="B23" i="31" s="1"/>
  <c r="X114" i="1"/>
  <c r="B21" i="31" s="1"/>
  <c r="AF114" i="1"/>
  <c r="B24" i="31" s="1"/>
  <c r="AI120" i="1"/>
  <c r="AI119" i="1" s="1"/>
  <c r="Z119" i="1"/>
  <c r="AB119" i="1"/>
  <c r="B24" i="32"/>
  <c r="B24" i="27"/>
  <c r="B25" i="27" s="1"/>
  <c r="E25" i="27" s="1"/>
  <c r="G25" i="27" s="1"/>
  <c r="F8" i="30"/>
  <c r="N5" i="38" s="1"/>
  <c r="N10" i="38" s="1"/>
  <c r="AI113" i="1"/>
  <c r="AC113" i="1"/>
  <c r="K200" i="1"/>
  <c r="K199" i="1"/>
  <c r="E25" i="30"/>
  <c r="G25" i="30" s="1"/>
  <c r="E24" i="30"/>
  <c r="G24" i="30" s="1"/>
  <c r="E24" i="26"/>
  <c r="G24" i="26" s="1"/>
  <c r="E25" i="26"/>
  <c r="G25" i="26" s="1"/>
  <c r="AI106" i="1"/>
  <c r="AB105" i="1"/>
  <c r="B22" i="29" s="1"/>
  <c r="E22" i="29" s="1"/>
  <c r="G22" i="29" s="1"/>
  <c r="Z105" i="1"/>
  <c r="E23" i="29" s="1"/>
  <c r="G23" i="29" s="1"/>
  <c r="X105" i="1"/>
  <c r="B21" i="29" s="1"/>
  <c r="E21" i="29" s="1"/>
  <c r="G21" i="29" s="1"/>
  <c r="E25" i="29"/>
  <c r="G25" i="29" s="1"/>
  <c r="E24" i="29"/>
  <c r="G24" i="29" s="1"/>
  <c r="K151" i="1"/>
  <c r="K150" i="1"/>
  <c r="AI150" i="1" s="1"/>
  <c r="Z100" i="1"/>
  <c r="AC110" i="1"/>
  <c r="AB109" i="1"/>
  <c r="B22" i="30" s="1"/>
  <c r="Z109" i="1"/>
  <c r="B23" i="30" s="1"/>
  <c r="E23" i="30" s="1"/>
  <c r="G23" i="30" s="1"/>
  <c r="X109" i="1"/>
  <c r="AI110" i="1"/>
  <c r="K190" i="1"/>
  <c r="K189" i="1"/>
  <c r="X119" i="1"/>
  <c r="AC111" i="1"/>
  <c r="AI111" i="1"/>
  <c r="K194" i="1"/>
  <c r="K192" i="1"/>
  <c r="K193" i="1"/>
  <c r="AC112" i="1"/>
  <c r="AI112" i="1"/>
  <c r="K197" i="1"/>
  <c r="K196" i="1"/>
  <c r="K132" i="1"/>
  <c r="K131" i="1"/>
  <c r="K130" i="1"/>
  <c r="K134" i="1"/>
  <c r="K133" i="1"/>
  <c r="D10" i="29"/>
  <c r="D13" i="29" s="1"/>
  <c r="F8" i="29"/>
  <c r="G26" i="29"/>
  <c r="Q8" i="25"/>
  <c r="D10" i="27"/>
  <c r="D13" i="27" s="1"/>
  <c r="F11" i="27"/>
  <c r="F8" i="27"/>
  <c r="J5" i="38" s="1"/>
  <c r="J10" i="38" s="1"/>
  <c r="K35" i="13"/>
  <c r="J35" i="13" s="1"/>
  <c r="G9" i="7"/>
  <c r="D8" i="25"/>
  <c r="D10" i="25" s="1"/>
  <c r="R7" i="27"/>
  <c r="B26" i="26"/>
  <c r="E26" i="26" s="1"/>
  <c r="G31" i="26"/>
  <c r="E28" i="26"/>
  <c r="G28" i="26" s="1"/>
  <c r="E32" i="26"/>
  <c r="G32" i="26" s="1"/>
  <c r="G27" i="26"/>
  <c r="G29" i="26"/>
  <c r="D10" i="26"/>
  <c r="D13" i="26" s="1"/>
  <c r="F11" i="26"/>
  <c r="S8" i="25"/>
  <c r="J46" i="13"/>
  <c r="F10" i="26"/>
  <c r="C9" i="7"/>
  <c r="F9" i="7"/>
  <c r="D9" i="7"/>
  <c r="E9" i="7"/>
  <c r="I25" i="13"/>
  <c r="B9" i="7"/>
  <c r="V25" i="7"/>
  <c r="T26" i="7"/>
  <c r="G8" i="7" s="1"/>
  <c r="T8" i="7"/>
  <c r="B8" i="7" s="1"/>
  <c r="P27" i="7"/>
  <c r="O27" i="7"/>
  <c r="V23" i="7"/>
  <c r="T24" i="7"/>
  <c r="F8" i="7" s="1"/>
  <c r="V18" i="7"/>
  <c r="T22" i="7"/>
  <c r="E8" i="7" s="1"/>
  <c r="V15" i="7"/>
  <c r="T17" i="7"/>
  <c r="D8" i="7" s="1"/>
  <c r="K3" i="13"/>
  <c r="S9" i="7"/>
  <c r="S27" i="7" s="1"/>
  <c r="V5" i="7"/>
  <c r="N71" i="1"/>
  <c r="K74" i="1"/>
  <c r="K73" i="1"/>
  <c r="K72" i="1"/>
  <c r="N69" i="1" l="1"/>
  <c r="AE69" i="1"/>
  <c r="E191" i="13"/>
  <c r="K77" i="1"/>
  <c r="AI77" i="1" s="1"/>
  <c r="C9" i="41"/>
  <c r="C10" i="41" s="1"/>
  <c r="C13" i="41" s="1"/>
  <c r="E194" i="13"/>
  <c r="K81" i="1"/>
  <c r="AC81" i="1" s="1"/>
  <c r="V82" i="1"/>
  <c r="V201" i="1"/>
  <c r="K91" i="1"/>
  <c r="V91" i="1" s="1"/>
  <c r="B9" i="41"/>
  <c r="N13" i="41"/>
  <c r="D9" i="41" s="1"/>
  <c r="D10" i="41" s="1"/>
  <c r="D13" i="41" s="1"/>
  <c r="K78" i="1"/>
  <c r="AC78" i="1" s="1"/>
  <c r="K80" i="1"/>
  <c r="AI80" i="1" s="1"/>
  <c r="K88" i="1"/>
  <c r="AI88" i="1" s="1"/>
  <c r="K89" i="1"/>
  <c r="AI89" i="1" s="1"/>
  <c r="K92" i="1"/>
  <c r="AI92" i="1" s="1"/>
  <c r="K90" i="1"/>
  <c r="AI90" i="1" s="1"/>
  <c r="V83" i="1"/>
  <c r="C4" i="7"/>
  <c r="B47" i="7" s="1"/>
  <c r="N86" i="1"/>
  <c r="K62" i="1"/>
  <c r="AI62" i="1" s="1"/>
  <c r="V84" i="1"/>
  <c r="N84" i="1"/>
  <c r="K64" i="1"/>
  <c r="N64" i="1" s="1"/>
  <c r="K68" i="1"/>
  <c r="N68" i="1" s="1"/>
  <c r="V75" i="1"/>
  <c r="N5" i="1"/>
  <c r="N75" i="1"/>
  <c r="K70" i="1"/>
  <c r="AI70" i="1" s="1"/>
  <c r="K6" i="1"/>
  <c r="D31" i="38"/>
  <c r="K61" i="1"/>
  <c r="AI61" i="1" s="1"/>
  <c r="K63" i="1"/>
  <c r="AI63" i="1" s="1"/>
  <c r="K67" i="1"/>
  <c r="AI67" i="1" s="1"/>
  <c r="F14" i="33"/>
  <c r="U7" i="38"/>
  <c r="U9" i="38" s="1"/>
  <c r="F10" i="29"/>
  <c r="L5" i="38"/>
  <c r="L10" i="38" s="1"/>
  <c r="F24" i="37"/>
  <c r="H24" i="37" s="1"/>
  <c r="B25" i="37"/>
  <c r="F25" i="37" s="1"/>
  <c r="H25" i="37" s="1"/>
  <c r="AB187" i="1"/>
  <c r="B22" i="37" s="1"/>
  <c r="X187" i="1"/>
  <c r="B21" i="37" s="1"/>
  <c r="Z187" i="1"/>
  <c r="B23" i="37" s="1"/>
  <c r="F24" i="35"/>
  <c r="H24" i="35" s="1"/>
  <c r="F24" i="36"/>
  <c r="H24" i="36" s="1"/>
  <c r="B25" i="36"/>
  <c r="F25" i="36" s="1"/>
  <c r="H25" i="36" s="1"/>
  <c r="E24" i="27"/>
  <c r="G24" i="27" s="1"/>
  <c r="Z128" i="1"/>
  <c r="B25" i="33"/>
  <c r="E25" i="33" s="1"/>
  <c r="G25" i="33" s="1"/>
  <c r="E24" i="33"/>
  <c r="G24" i="33" s="1"/>
  <c r="B25" i="32"/>
  <c r="E25" i="32" s="1"/>
  <c r="G25" i="32" s="1"/>
  <c r="E24" i="32"/>
  <c r="G24" i="32" s="1"/>
  <c r="AB128" i="1"/>
  <c r="B22" i="32"/>
  <c r="E22" i="32" s="1"/>
  <c r="G22" i="32" s="1"/>
  <c r="B23" i="32"/>
  <c r="E23" i="32" s="1"/>
  <c r="G23" i="32" s="1"/>
  <c r="B30" i="32"/>
  <c r="E30" i="32" s="1"/>
  <c r="G30" i="32" s="1"/>
  <c r="B21" i="32"/>
  <c r="E21" i="32" s="1"/>
  <c r="F11" i="25"/>
  <c r="D13" i="25"/>
  <c r="B23" i="27"/>
  <c r="E23" i="31"/>
  <c r="G23" i="31" s="1"/>
  <c r="B25" i="31"/>
  <c r="E25" i="31" s="1"/>
  <c r="G25" i="31" s="1"/>
  <c r="E24" i="31"/>
  <c r="G24" i="31" s="1"/>
  <c r="E22" i="30"/>
  <c r="G22" i="30" s="1"/>
  <c r="B21" i="30"/>
  <c r="E21" i="30" s="1"/>
  <c r="G21" i="30" s="1"/>
  <c r="F10" i="30"/>
  <c r="AI109" i="1"/>
  <c r="B30" i="30" s="1"/>
  <c r="AC109" i="1"/>
  <c r="B14" i="29"/>
  <c r="E18" i="29" s="1"/>
  <c r="G10" i="7"/>
  <c r="F10" i="7"/>
  <c r="R8" i="25"/>
  <c r="F10" i="27"/>
  <c r="V73" i="1"/>
  <c r="AC73" i="1"/>
  <c r="V74" i="1"/>
  <c r="AC74" i="1"/>
  <c r="W22" i="7"/>
  <c r="G26" i="26"/>
  <c r="B14" i="26"/>
  <c r="E18" i="26" s="1"/>
  <c r="F13" i="26"/>
  <c r="E10" i="25"/>
  <c r="E13" i="25" s="1"/>
  <c r="F9" i="25"/>
  <c r="F6" i="38" s="1"/>
  <c r="W24" i="7"/>
  <c r="W26" i="7"/>
  <c r="W17" i="7"/>
  <c r="E10" i="7"/>
  <c r="B10" i="7"/>
  <c r="W8" i="7"/>
  <c r="K25" i="13"/>
  <c r="J25" i="13" s="1"/>
  <c r="F8" i="25"/>
  <c r="F5" i="38" s="1"/>
  <c r="V9" i="7"/>
  <c r="T14" i="7"/>
  <c r="C8" i="7" s="1"/>
  <c r="N74" i="1"/>
  <c r="N73" i="1"/>
  <c r="N72" i="1"/>
  <c r="V72" i="1"/>
  <c r="V77" i="1" l="1"/>
  <c r="N77" i="1"/>
  <c r="V80" i="1"/>
  <c r="N81" i="1"/>
  <c r="V81" i="1"/>
  <c r="AI91" i="1"/>
  <c r="N89" i="1"/>
  <c r="V89" i="1"/>
  <c r="B48" i="7"/>
  <c r="B49" i="7" s="1"/>
  <c r="N80" i="1"/>
  <c r="E195" i="13"/>
  <c r="N16" i="41"/>
  <c r="N91" i="1"/>
  <c r="N90" i="1"/>
  <c r="B10" i="41"/>
  <c r="B13" i="41" s="1"/>
  <c r="V90" i="1"/>
  <c r="V78" i="1"/>
  <c r="N78" i="1"/>
  <c r="V92" i="1"/>
  <c r="N92" i="1"/>
  <c r="N88" i="1"/>
  <c r="V88" i="1"/>
  <c r="K66" i="1"/>
  <c r="AI66" i="1" s="1"/>
  <c r="V62" i="1"/>
  <c r="K65" i="1"/>
  <c r="V65" i="1" s="1"/>
  <c r="N62" i="1"/>
  <c r="V63" i="1"/>
  <c r="D48" i="41"/>
  <c r="V68" i="1"/>
  <c r="V70" i="1"/>
  <c r="N70" i="1"/>
  <c r="N63" i="1"/>
  <c r="N61" i="1"/>
  <c r="V61" i="1"/>
  <c r="V67" i="1"/>
  <c r="N67" i="1"/>
  <c r="G15" i="38"/>
  <c r="G14" i="38"/>
  <c r="F14" i="26"/>
  <c r="I7" i="38"/>
  <c r="I9" i="38" s="1"/>
  <c r="F10" i="38"/>
  <c r="B13" i="7"/>
  <c r="B22" i="33"/>
  <c r="E22" i="33" s="1"/>
  <c r="G22" i="33" s="1"/>
  <c r="B23" i="33"/>
  <c r="E23" i="33" s="1"/>
  <c r="G23" i="33" s="1"/>
  <c r="G13" i="7"/>
  <c r="E13" i="7"/>
  <c r="F13" i="7"/>
  <c r="G21" i="32"/>
  <c r="E33" i="32"/>
  <c r="S13" i="38" s="1"/>
  <c r="S17" i="38" s="1"/>
  <c r="B14" i="30"/>
  <c r="E18" i="30" s="1"/>
  <c r="F13" i="30"/>
  <c r="C10" i="7"/>
  <c r="F13" i="29"/>
  <c r="B14" i="27"/>
  <c r="E18" i="27" s="1"/>
  <c r="F13" i="27"/>
  <c r="F13" i="25"/>
  <c r="F10" i="25"/>
  <c r="V27" i="7"/>
  <c r="U27" i="7" s="1"/>
  <c r="W14" i="7"/>
  <c r="G31" i="25"/>
  <c r="G27" i="25"/>
  <c r="G24" i="25"/>
  <c r="G29" i="25"/>
  <c r="B26" i="25"/>
  <c r="E26" i="25" s="1"/>
  <c r="G26" i="25" s="1"/>
  <c r="E28" i="25"/>
  <c r="G28" i="25" s="1"/>
  <c r="G25" i="25"/>
  <c r="E32" i="25"/>
  <c r="G32" i="25" s="1"/>
  <c r="B14" i="25"/>
  <c r="E18" i="25" s="1"/>
  <c r="F9" i="41" l="1"/>
  <c r="N17" i="41"/>
  <c r="N66" i="1"/>
  <c r="N65" i="1"/>
  <c r="V66" i="1"/>
  <c r="B49" i="41"/>
  <c r="D49" i="41" s="1"/>
  <c r="D47" i="41"/>
  <c r="F14" i="30"/>
  <c r="O7" i="38"/>
  <c r="O9" i="38" s="1"/>
  <c r="F14" i="29"/>
  <c r="M7" i="38"/>
  <c r="M9" i="38" s="1"/>
  <c r="F14" i="27"/>
  <c r="K7" i="38"/>
  <c r="K9" i="38" s="1"/>
  <c r="F14" i="25"/>
  <c r="G7" i="38"/>
  <c r="G9" i="38" s="1"/>
  <c r="C13" i="7"/>
  <c r="G33" i="32"/>
  <c r="E34" i="32"/>
  <c r="M181" i="1"/>
  <c r="F10" i="41" l="1"/>
  <c r="F13" i="41" s="1"/>
  <c r="G9" i="41"/>
  <c r="AD6" i="38" s="1"/>
  <c r="D50" i="41"/>
  <c r="E35" i="32"/>
  <c r="G35" i="32" s="1"/>
  <c r="N171" i="1"/>
  <c r="D52" i="41" l="1"/>
  <c r="D53" i="41" s="1"/>
  <c r="AE46" i="38"/>
  <c r="AE47" i="38" s="1"/>
  <c r="AE14" i="38"/>
  <c r="AE15" i="38"/>
  <c r="AD10" i="38"/>
  <c r="H25" i="41"/>
  <c r="H31" i="41"/>
  <c r="H24" i="41"/>
  <c r="H29" i="41"/>
  <c r="F28" i="41"/>
  <c r="H28" i="41" s="1"/>
  <c r="F32" i="41"/>
  <c r="H32" i="41" s="1"/>
  <c r="B26" i="41"/>
  <c r="F26" i="41" s="1"/>
  <c r="H26" i="41" s="1"/>
  <c r="H27" i="41"/>
  <c r="G10" i="41"/>
  <c r="G13" i="41"/>
  <c r="B14" i="41"/>
  <c r="F18" i="41" s="1"/>
  <c r="B4" i="36"/>
  <c r="B48" i="36" s="1"/>
  <c r="E36" i="32"/>
  <c r="M167" i="1"/>
  <c r="U166" i="1"/>
  <c r="AI166" i="1" s="1"/>
  <c r="G14" i="41" l="1"/>
  <c r="AE7" i="38"/>
  <c r="AE9" i="38" s="1"/>
  <c r="B47" i="36"/>
  <c r="D48" i="36"/>
  <c r="G36" i="32"/>
  <c r="S36" i="38"/>
  <c r="H36" i="32"/>
  <c r="N162" i="1"/>
  <c r="B4" i="35" s="1"/>
  <c r="B47" i="35" s="1"/>
  <c r="D47" i="36" l="1"/>
  <c r="B49" i="36"/>
  <c r="D49" i="36" s="1"/>
  <c r="B48" i="35"/>
  <c r="D48" i="35" s="1"/>
  <c r="M161" i="1"/>
  <c r="M160" i="1"/>
  <c r="M158" i="1"/>
  <c r="M157" i="1"/>
  <c r="M156" i="1"/>
  <c r="M155" i="1"/>
  <c r="M152" i="1"/>
  <c r="M151" i="1"/>
  <c r="M150" i="1" s="1"/>
  <c r="D50" i="36" l="1"/>
  <c r="D47" i="35"/>
  <c r="B49" i="35"/>
  <c r="D49" i="35" s="1"/>
  <c r="N145" i="1"/>
  <c r="B4" i="34" s="1"/>
  <c r="B47" i="34" s="1"/>
  <c r="D52" i="36" l="1"/>
  <c r="D53" i="36" s="1"/>
  <c r="AA46" i="38"/>
  <c r="AA47" i="38" s="1"/>
  <c r="D50" i="35"/>
  <c r="Y46" i="38" s="1"/>
  <c r="Y47" i="38" s="1"/>
  <c r="B48" i="34"/>
  <c r="D48" i="34" s="1"/>
  <c r="M144" i="1"/>
  <c r="M143" i="1"/>
  <c r="U142" i="1"/>
  <c r="U141" i="1"/>
  <c r="AI141" i="1" s="1"/>
  <c r="M134" i="1"/>
  <c r="M133" i="1"/>
  <c r="M132" i="1"/>
  <c r="M131" i="1"/>
  <c r="M130" i="1"/>
  <c r="D52" i="35" l="1"/>
  <c r="D53" i="35" s="1"/>
  <c r="B49" i="34"/>
  <c r="D49" i="34" s="1"/>
  <c r="D47" i="34"/>
  <c r="M142" i="1"/>
  <c r="AI142" i="1"/>
  <c r="N128" i="1"/>
  <c r="B4" i="33" s="1"/>
  <c r="B47" i="33" s="1"/>
  <c r="D50" i="34" l="1"/>
  <c r="B48" i="33"/>
  <c r="D48" i="33" s="1"/>
  <c r="M127" i="1"/>
  <c r="M126" i="1"/>
  <c r="M125" i="1"/>
  <c r="M124" i="1"/>
  <c r="M123" i="1"/>
  <c r="M122" i="1"/>
  <c r="M121" i="1"/>
  <c r="M120" i="1"/>
  <c r="D52" i="34" l="1"/>
  <c r="D53" i="34" s="1"/>
  <c r="W46" i="38"/>
  <c r="W47" i="38" s="1"/>
  <c r="D47" i="33"/>
  <c r="B49" i="33"/>
  <c r="D49" i="33" s="1"/>
  <c r="N119" i="1"/>
  <c r="B4" i="32" s="1"/>
  <c r="D50" i="33" l="1"/>
  <c r="U46" i="38" s="1"/>
  <c r="U47" i="38" s="1"/>
  <c r="D48" i="32"/>
  <c r="Y114" i="1"/>
  <c r="D52" i="33" l="1"/>
  <c r="D53" i="33" s="1"/>
  <c r="D49" i="32"/>
  <c r="D47" i="32"/>
  <c r="N114" i="1"/>
  <c r="B4" i="31" s="1"/>
  <c r="B47" i="31" s="1"/>
  <c r="D50" i="32" l="1"/>
  <c r="B48" i="31"/>
  <c r="D48" i="31" s="1"/>
  <c r="M113" i="1"/>
  <c r="M112" i="1"/>
  <c r="M111" i="1"/>
  <c r="D52" i="32" l="1"/>
  <c r="D53" i="32" s="1"/>
  <c r="S46" i="38"/>
  <c r="S47" i="38" s="1"/>
  <c r="D47" i="31"/>
  <c r="B49" i="31"/>
  <c r="D49" i="31" s="1"/>
  <c r="N109" i="1"/>
  <c r="B4" i="30" s="1"/>
  <c r="D50" i="31" l="1"/>
  <c r="Q46" i="38" s="1"/>
  <c r="Q47" i="38" s="1"/>
  <c r="D48" i="30"/>
  <c r="U108" i="1"/>
  <c r="AI108" i="1" s="1"/>
  <c r="M106" i="1"/>
  <c r="N105" i="1"/>
  <c r="B4" i="29" s="1"/>
  <c r="D52" i="31" l="1"/>
  <c r="D53" i="31" s="1"/>
  <c r="D47" i="30"/>
  <c r="D49" i="30"/>
  <c r="D48" i="29"/>
  <c r="M104" i="1"/>
  <c r="M103" i="1"/>
  <c r="AC100" i="1"/>
  <c r="Y100" i="1"/>
  <c r="D50" i="30" l="1"/>
  <c r="O46" i="38" s="1"/>
  <c r="O47" i="38" s="1"/>
  <c r="D49" i="29"/>
  <c r="D47" i="29"/>
  <c r="N100" i="1"/>
  <c r="B4" i="27" s="1"/>
  <c r="D52" i="30" l="1"/>
  <c r="D53" i="30" s="1"/>
  <c r="D50" i="29"/>
  <c r="M46" i="38" s="1"/>
  <c r="D48" i="27"/>
  <c r="AC97" i="1"/>
  <c r="Y97" i="1"/>
  <c r="N97" i="1"/>
  <c r="B4" i="26" s="1"/>
  <c r="D47" i="26" s="1"/>
  <c r="D52" i="29" l="1"/>
  <c r="D53" i="29" s="1"/>
  <c r="M47" i="38"/>
  <c r="D47" i="27"/>
  <c r="D49" i="27"/>
  <c r="D48" i="26"/>
  <c r="M94" i="1"/>
  <c r="D50" i="27" l="1"/>
  <c r="K46" i="38" s="1"/>
  <c r="K47" i="38" s="1"/>
  <c r="B49" i="26"/>
  <c r="D49" i="26" s="1"/>
  <c r="N93" i="1"/>
  <c r="B4" i="25" s="1"/>
  <c r="B47" i="25" s="1"/>
  <c r="D50" i="26" l="1"/>
  <c r="D52" i="27"/>
  <c r="D53" i="27" s="1"/>
  <c r="D47" i="25"/>
  <c r="B48" i="25"/>
  <c r="D48" i="25" s="1"/>
  <c r="V95" i="1"/>
  <c r="AI95" i="1"/>
  <c r="V96" i="1"/>
  <c r="AI96" i="1"/>
  <c r="AB93" i="1"/>
  <c r="Z93" i="1"/>
  <c r="B23" i="25" s="1"/>
  <c r="X93" i="1"/>
  <c r="B21" i="25" s="1"/>
  <c r="V94" i="1"/>
  <c r="M48" i="1"/>
  <c r="D52" i="26" l="1"/>
  <c r="D53" i="26" s="1"/>
  <c r="I46" i="38"/>
  <c r="I47" i="38" s="1"/>
  <c r="B49" i="25"/>
  <c r="D49" i="25" s="1"/>
  <c r="D50" i="25" s="1"/>
  <c r="G46" i="38" s="1"/>
  <c r="AI93" i="1"/>
  <c r="B30" i="25" s="1"/>
  <c r="E30" i="25" s="1"/>
  <c r="G30" i="25" s="1"/>
  <c r="V93" i="1"/>
  <c r="M31" i="1"/>
  <c r="M54" i="1"/>
  <c r="M53" i="1"/>
  <c r="M52" i="1"/>
  <c r="M51" i="1"/>
  <c r="M49" i="1"/>
  <c r="M47" i="1"/>
  <c r="M46" i="1"/>
  <c r="M45" i="1"/>
  <c r="M44" i="1"/>
  <c r="M42" i="1"/>
  <c r="M38" i="1"/>
  <c r="M30" i="1"/>
  <c r="M19" i="1"/>
  <c r="M18" i="1"/>
  <c r="M16" i="1"/>
  <c r="D48" i="7"/>
  <c r="D47" i="7"/>
  <c r="D51" i="7"/>
  <c r="E45" i="38" l="1"/>
  <c r="D52" i="25"/>
  <c r="D53" i="25" s="1"/>
  <c r="G47" i="38"/>
  <c r="M37" i="1"/>
  <c r="D49" i="7"/>
  <c r="D50" i="7" s="1"/>
  <c r="E46" i="38" l="1"/>
  <c r="E47" i="38" s="1"/>
  <c r="D52" i="7"/>
  <c r="D53" i="7" s="1"/>
  <c r="F53" i="7" s="1"/>
  <c r="B31" i="7" l="1"/>
  <c r="G31" i="7" l="1"/>
  <c r="G27" i="7"/>
  <c r="H9" i="7"/>
  <c r="D6" i="38" s="1"/>
  <c r="E14" i="38" l="1"/>
  <c r="E15" i="38"/>
  <c r="G32" i="7"/>
  <c r="I32" i="7" s="1"/>
  <c r="B26" i="7"/>
  <c r="G26" i="7" s="1"/>
  <c r="I27" i="7"/>
  <c r="I31" i="7"/>
  <c r="G28" i="7"/>
  <c r="I28" i="7" s="1"/>
  <c r="D10" i="7"/>
  <c r="D13" i="7" s="1"/>
  <c r="I26" i="7" l="1"/>
  <c r="B14" i="7" l="1"/>
  <c r="H8" i="7"/>
  <c r="D5" i="38" s="1"/>
  <c r="D10" i="38" s="1"/>
  <c r="H11" i="7"/>
  <c r="H13" i="7" l="1"/>
  <c r="E7" i="38" s="1"/>
  <c r="H10" i="7"/>
  <c r="H14" i="7" l="1"/>
  <c r="AC179" i="1" l="1"/>
  <c r="AC178" i="1"/>
  <c r="AI186" i="1"/>
  <c r="AI176" i="1"/>
  <c r="AI175" i="1"/>
  <c r="AI184" i="1"/>
  <c r="AI183" i="1"/>
  <c r="AI181" i="1"/>
  <c r="AI180" i="1"/>
  <c r="AI172" i="1"/>
  <c r="AI182" i="1"/>
  <c r="AI170" i="1"/>
  <c r="AI169" i="1"/>
  <c r="V166" i="1"/>
  <c r="AC165" i="1"/>
  <c r="AC164" i="1"/>
  <c r="AC163" i="1"/>
  <c r="AC158" i="1"/>
  <c r="AC157" i="1"/>
  <c r="AC161" i="1"/>
  <c r="N149" i="1"/>
  <c r="AC160" i="1"/>
  <c r="AI146" i="1"/>
  <c r="AI152" i="1"/>
  <c r="AC148" i="1"/>
  <c r="AI154" i="1"/>
  <c r="N159" i="1"/>
  <c r="AI153" i="1"/>
  <c r="AI140" i="1"/>
  <c r="AI139" i="1"/>
  <c r="AI138" i="1"/>
  <c r="AI144" i="1"/>
  <c r="AI137" i="1"/>
  <c r="AI136" i="1"/>
  <c r="AI143" i="1"/>
  <c r="AC129" i="1"/>
  <c r="AC128" i="1" s="1"/>
  <c r="AI135" i="1"/>
  <c r="V123" i="1"/>
  <c r="V124" i="1"/>
  <c r="V126" i="1"/>
  <c r="AI118" i="1"/>
  <c r="AI117" i="1"/>
  <c r="AI116" i="1"/>
  <c r="AI115" i="1"/>
  <c r="V110" i="1"/>
  <c r="V113" i="1"/>
  <c r="V112" i="1"/>
  <c r="V111" i="1"/>
  <c r="V108" i="1"/>
  <c r="AI107" i="1"/>
  <c r="AI105" i="1" s="1"/>
  <c r="AI104" i="1"/>
  <c r="AI103" i="1"/>
  <c r="AI102" i="1"/>
  <c r="AI101" i="1"/>
  <c r="AI99" i="1"/>
  <c r="AI98" i="1"/>
  <c r="N96" i="1"/>
  <c r="N95" i="1"/>
  <c r="N94" i="1"/>
  <c r="K60" i="1"/>
  <c r="AI60" i="1" s="1"/>
  <c r="K48" i="1"/>
  <c r="AI48" i="1" s="1"/>
  <c r="K34" i="1"/>
  <c r="AI34" i="1" s="1"/>
  <c r="K47" i="1"/>
  <c r="AI47" i="1" s="1"/>
  <c r="K20" i="1"/>
  <c r="K43" i="1"/>
  <c r="AI43" i="1" s="1"/>
  <c r="K42" i="1"/>
  <c r="K52" i="1"/>
  <c r="AI52" i="1" s="1"/>
  <c r="K50" i="1"/>
  <c r="AI50" i="1" s="1"/>
  <c r="K35" i="1"/>
  <c r="K59" i="1"/>
  <c r="K41" i="1"/>
  <c r="V41" i="1" s="1"/>
  <c r="K39" i="1"/>
  <c r="K49" i="1"/>
  <c r="AI49" i="1" s="1"/>
  <c r="K58" i="1"/>
  <c r="AI58" i="1" s="1"/>
  <c r="K46" i="1"/>
  <c r="V46" i="1" s="1"/>
  <c r="K7" i="1"/>
  <c r="K45" i="1"/>
  <c r="V45" i="1" s="1"/>
  <c r="K56" i="1"/>
  <c r="AI56" i="1" s="1"/>
  <c r="K44" i="1"/>
  <c r="V44" i="1" s="1"/>
  <c r="K55" i="1"/>
  <c r="AI55" i="1" s="1"/>
  <c r="K54" i="1"/>
  <c r="AI54" i="1" s="1"/>
  <c r="K53" i="1"/>
  <c r="AI53" i="1" s="1"/>
  <c r="K40" i="1"/>
  <c r="V40" i="1" s="1"/>
  <c r="K51" i="1"/>
  <c r="V51" i="1" s="1"/>
  <c r="K36" i="1"/>
  <c r="K57" i="1"/>
  <c r="AI57" i="1" s="1"/>
  <c r="N6" i="1"/>
  <c r="N59" i="1" l="1"/>
  <c r="AE59" i="1"/>
  <c r="AI97" i="1"/>
  <c r="B30" i="26" s="1"/>
  <c r="E30" i="26" s="1"/>
  <c r="G30" i="26" s="1"/>
  <c r="AI114" i="1"/>
  <c r="B30" i="31" s="1"/>
  <c r="AI100" i="1"/>
  <c r="E30" i="30"/>
  <c r="B30" i="29"/>
  <c r="E30" i="29" s="1"/>
  <c r="AC177" i="1"/>
  <c r="AI177" i="1"/>
  <c r="AC156" i="1"/>
  <c r="AI156" i="1"/>
  <c r="AC185" i="1"/>
  <c r="AI185" i="1"/>
  <c r="V35" i="1"/>
  <c r="AI35" i="1"/>
  <c r="AC168" i="1"/>
  <c r="AI168" i="1"/>
  <c r="AI162" i="1" s="1"/>
  <c r="AC147" i="1"/>
  <c r="AI147" i="1"/>
  <c r="V120" i="1"/>
  <c r="AC120" i="1"/>
  <c r="V127" i="1"/>
  <c r="AC127" i="1"/>
  <c r="V125" i="1"/>
  <c r="AC125" i="1"/>
  <c r="V122" i="1"/>
  <c r="AC122" i="1"/>
  <c r="V170" i="1"/>
  <c r="AC170" i="1"/>
  <c r="V117" i="1"/>
  <c r="AC117" i="1"/>
  <c r="V121" i="1"/>
  <c r="AC121" i="1"/>
  <c r="V115" i="1"/>
  <c r="AC115" i="1"/>
  <c r="AB97" i="1"/>
  <c r="B22" i="26" s="1"/>
  <c r="E22" i="26" s="1"/>
  <c r="G22" i="26" s="1"/>
  <c r="X97" i="1"/>
  <c r="Z97" i="1"/>
  <c r="N188" i="1"/>
  <c r="AB171" i="1"/>
  <c r="Z171" i="1"/>
  <c r="X171" i="1"/>
  <c r="AB162" i="1"/>
  <c r="Z162" i="1"/>
  <c r="X162" i="1"/>
  <c r="N129" i="1"/>
  <c r="N48" i="1"/>
  <c r="V48" i="1"/>
  <c r="N160" i="1"/>
  <c r="V160" i="1"/>
  <c r="N161" i="1"/>
  <c r="V161" i="1"/>
  <c r="N178" i="1"/>
  <c r="V178" i="1"/>
  <c r="N157" i="1"/>
  <c r="V157" i="1"/>
  <c r="N141" i="1"/>
  <c r="V141" i="1"/>
  <c r="N148" i="1"/>
  <c r="V148" i="1"/>
  <c r="N166" i="1"/>
  <c r="N106" i="1"/>
  <c r="V106" i="1"/>
  <c r="N108" i="1"/>
  <c r="N142" i="1"/>
  <c r="V142" i="1"/>
  <c r="N158" i="1"/>
  <c r="V158" i="1"/>
  <c r="N167" i="1"/>
  <c r="V167" i="1"/>
  <c r="N179" i="1"/>
  <c r="N155" i="1"/>
  <c r="V155" i="1"/>
  <c r="N163" i="1"/>
  <c r="V163" i="1"/>
  <c r="N164" i="1"/>
  <c r="V164" i="1"/>
  <c r="N165" i="1"/>
  <c r="V165" i="1"/>
  <c r="N112" i="1"/>
  <c r="N113" i="1"/>
  <c r="N110" i="1"/>
  <c r="N111" i="1"/>
  <c r="N126" i="1"/>
  <c r="N124" i="1"/>
  <c r="N123" i="1"/>
  <c r="N42" i="1"/>
  <c r="V42" i="1"/>
  <c r="N44" i="1"/>
  <c r="N45" i="1"/>
  <c r="N40" i="1"/>
  <c r="N39" i="1"/>
  <c r="V39" i="1"/>
  <c r="N174" i="1"/>
  <c r="V174" i="1"/>
  <c r="N173" i="1"/>
  <c r="V173" i="1"/>
  <c r="N184" i="1"/>
  <c r="V184" i="1"/>
  <c r="N57" i="1"/>
  <c r="V57" i="1"/>
  <c r="N58" i="1"/>
  <c r="V58" i="1"/>
  <c r="N34" i="1"/>
  <c r="V34" i="1"/>
  <c r="N137" i="1"/>
  <c r="V137" i="1"/>
  <c r="N156" i="1"/>
  <c r="V156" i="1"/>
  <c r="N175" i="1"/>
  <c r="V175" i="1"/>
  <c r="N49" i="1"/>
  <c r="V49" i="1"/>
  <c r="N107" i="1"/>
  <c r="V107" i="1"/>
  <c r="N144" i="1"/>
  <c r="V144" i="1"/>
  <c r="N152" i="1"/>
  <c r="V152" i="1"/>
  <c r="N185" i="1"/>
  <c r="V185" i="1"/>
  <c r="N60" i="1"/>
  <c r="V60" i="1"/>
  <c r="N138" i="1"/>
  <c r="V138" i="1"/>
  <c r="N146" i="1"/>
  <c r="V146" i="1"/>
  <c r="N169" i="1"/>
  <c r="V169" i="1"/>
  <c r="N176" i="1"/>
  <c r="V176" i="1"/>
  <c r="N168" i="1"/>
  <c r="V168" i="1"/>
  <c r="N139" i="1"/>
  <c r="V139" i="1"/>
  <c r="N186" i="1"/>
  <c r="V186" i="1"/>
  <c r="N177" i="1"/>
  <c r="V177" i="1"/>
  <c r="N47" i="1"/>
  <c r="V47" i="1"/>
  <c r="N140" i="1"/>
  <c r="V140" i="1"/>
  <c r="N182" i="1"/>
  <c r="V182" i="1"/>
  <c r="N55" i="1"/>
  <c r="V55" i="1"/>
  <c r="N50" i="1"/>
  <c r="V50" i="1"/>
  <c r="N98" i="1"/>
  <c r="V98" i="1" s="1"/>
  <c r="N153" i="1"/>
  <c r="V153" i="1"/>
  <c r="N172" i="1"/>
  <c r="V172" i="1"/>
  <c r="N136" i="1"/>
  <c r="V136" i="1"/>
  <c r="N54" i="1"/>
  <c r="V54" i="1"/>
  <c r="N52" i="1"/>
  <c r="V52" i="1"/>
  <c r="N101" i="1"/>
  <c r="V101" i="1"/>
  <c r="N53" i="1"/>
  <c r="V53" i="1"/>
  <c r="N56" i="1"/>
  <c r="V56" i="1"/>
  <c r="N116" i="1"/>
  <c r="V116" i="1"/>
  <c r="N135" i="1"/>
  <c r="V135" i="1"/>
  <c r="N181" i="1"/>
  <c r="V181" i="1"/>
  <c r="N43" i="1"/>
  <c r="V43" i="1"/>
  <c r="N102" i="1"/>
  <c r="V102" i="1"/>
  <c r="N147" i="1"/>
  <c r="V147" i="1"/>
  <c r="N183" i="1"/>
  <c r="V183" i="1"/>
  <c r="N104" i="1"/>
  <c r="V104" i="1"/>
  <c r="N99" i="1"/>
  <c r="V99" i="1"/>
  <c r="N180" i="1"/>
  <c r="V180" i="1"/>
  <c r="N103" i="1"/>
  <c r="V103" i="1"/>
  <c r="N118" i="1"/>
  <c r="V118" i="1"/>
  <c r="N143" i="1"/>
  <c r="V143" i="1"/>
  <c r="N154" i="1"/>
  <c r="V154" i="1"/>
  <c r="N115" i="1"/>
  <c r="N121" i="1"/>
  <c r="N127" i="1"/>
  <c r="N117" i="1"/>
  <c r="N120" i="1"/>
  <c r="N122" i="1"/>
  <c r="N125" i="1"/>
  <c r="AI189" i="1"/>
  <c r="AI190" i="1"/>
  <c r="AI132" i="1"/>
  <c r="AI130" i="1"/>
  <c r="AI131" i="1"/>
  <c r="AI134" i="1"/>
  <c r="AI133" i="1"/>
  <c r="N7" i="1"/>
  <c r="N36" i="1"/>
  <c r="K38" i="1"/>
  <c r="AI38" i="1" s="1"/>
  <c r="K37" i="1"/>
  <c r="AC37" i="1" s="1"/>
  <c r="N20" i="1"/>
  <c r="K29" i="1"/>
  <c r="K28" i="1"/>
  <c r="AI28" i="1" s="1"/>
  <c r="K27" i="1"/>
  <c r="K26" i="1"/>
  <c r="AI26" i="1" s="1"/>
  <c r="K25" i="1"/>
  <c r="AI25" i="1" s="1"/>
  <c r="K24" i="1"/>
  <c r="AI24" i="1" s="1"/>
  <c r="K23" i="1"/>
  <c r="AI23" i="1" s="1"/>
  <c r="K22" i="1"/>
  <c r="AI22" i="1" s="1"/>
  <c r="K33" i="1"/>
  <c r="AI33" i="1" s="1"/>
  <c r="K21" i="1"/>
  <c r="AI21" i="1" s="1"/>
  <c r="K32" i="1"/>
  <c r="K31" i="1"/>
  <c r="K30" i="1"/>
  <c r="AI30" i="1" s="1"/>
  <c r="N35" i="1"/>
  <c r="N41" i="1"/>
  <c r="N46" i="1"/>
  <c r="N51" i="1"/>
  <c r="K15" i="1"/>
  <c r="AI15" i="1" s="1"/>
  <c r="K14" i="1"/>
  <c r="AI14" i="1" s="1"/>
  <c r="K13" i="1"/>
  <c r="AI13" i="1" s="1"/>
  <c r="K12" i="1"/>
  <c r="AI12" i="1" s="1"/>
  <c r="K11" i="1"/>
  <c r="AI11" i="1" s="1"/>
  <c r="K10" i="1"/>
  <c r="K9" i="1"/>
  <c r="AI9" i="1" s="1"/>
  <c r="K8" i="1"/>
  <c r="AI8" i="1" s="1"/>
  <c r="K19" i="1"/>
  <c r="AI19" i="1" s="1"/>
  <c r="K18" i="1"/>
  <c r="AI18" i="1" s="1"/>
  <c r="K17" i="1"/>
  <c r="K16" i="1"/>
  <c r="G29" i="7"/>
  <c r="I29" i="7" s="1"/>
  <c r="N32" i="1" l="1"/>
  <c r="AE32" i="1"/>
  <c r="G16" i="7" s="1"/>
  <c r="G17" i="7" s="1"/>
  <c r="B21" i="36"/>
  <c r="F21" i="36" s="1"/>
  <c r="F21" i="37"/>
  <c r="B23" i="36"/>
  <c r="F23" i="36" s="1"/>
  <c r="H23" i="36" s="1"/>
  <c r="F23" i="37"/>
  <c r="H23" i="37" s="1"/>
  <c r="B22" i="36"/>
  <c r="F22" i="36" s="1"/>
  <c r="H22" i="36" s="1"/>
  <c r="F22" i="37"/>
  <c r="H22" i="37" s="1"/>
  <c r="AI171" i="1"/>
  <c r="B23" i="35"/>
  <c r="F23" i="35" s="1"/>
  <c r="H23" i="35" s="1"/>
  <c r="B22" i="35"/>
  <c r="F22" i="35" s="1"/>
  <c r="H22" i="35" s="1"/>
  <c r="B21" i="35"/>
  <c r="F21" i="35" s="1"/>
  <c r="H21" i="35" s="1"/>
  <c r="B30" i="35"/>
  <c r="AI128" i="1"/>
  <c r="B30" i="33" s="1"/>
  <c r="E30" i="33" s="1"/>
  <c r="G30" i="33" s="1"/>
  <c r="AC145" i="1"/>
  <c r="AC119" i="1"/>
  <c r="B30" i="27"/>
  <c r="E30" i="27" s="1"/>
  <c r="G30" i="27" s="1"/>
  <c r="E30" i="31"/>
  <c r="G30" i="31" s="1"/>
  <c r="Z4" i="1"/>
  <c r="AB4" i="1"/>
  <c r="V119" i="1"/>
  <c r="AC171" i="1"/>
  <c r="AC162" i="1"/>
  <c r="G30" i="29"/>
  <c r="E33" i="29"/>
  <c r="M13" i="38" s="1"/>
  <c r="G30" i="30"/>
  <c r="E33" i="30"/>
  <c r="O13" i="38" s="1"/>
  <c r="O17" i="38" s="1"/>
  <c r="B23" i="26"/>
  <c r="E23" i="26" s="1"/>
  <c r="G23" i="26" s="1"/>
  <c r="E23" i="27"/>
  <c r="G23" i="27" s="1"/>
  <c r="B21" i="26"/>
  <c r="E21" i="26" s="1"/>
  <c r="G21" i="26" s="1"/>
  <c r="AC17" i="1"/>
  <c r="AI17" i="1"/>
  <c r="AC27" i="1"/>
  <c r="AI27" i="1"/>
  <c r="AC29" i="1"/>
  <c r="AI29" i="1"/>
  <c r="V10" i="1"/>
  <c r="AI10" i="1"/>
  <c r="V14" i="1"/>
  <c r="AC14" i="1"/>
  <c r="V171" i="1"/>
  <c r="X128" i="1"/>
  <c r="V105" i="1"/>
  <c r="N31" i="1"/>
  <c r="V31" i="1"/>
  <c r="N37" i="1"/>
  <c r="V37" i="1"/>
  <c r="N16" i="1"/>
  <c r="V16" i="1"/>
  <c r="V109" i="1"/>
  <c r="V162" i="1"/>
  <c r="V97" i="1"/>
  <c r="V100" i="1"/>
  <c r="V114" i="1"/>
  <c r="N133" i="1"/>
  <c r="V133" i="1"/>
  <c r="N18" i="1"/>
  <c r="V18" i="1"/>
  <c r="N17" i="1"/>
  <c r="V17" i="1"/>
  <c r="N27" i="1"/>
  <c r="V27" i="1"/>
  <c r="N19" i="1"/>
  <c r="V19" i="1"/>
  <c r="N28" i="1"/>
  <c r="V28" i="1"/>
  <c r="N131" i="1"/>
  <c r="V131" i="1"/>
  <c r="N30" i="1"/>
  <c r="V30" i="1"/>
  <c r="N26" i="1"/>
  <c r="V26" i="1"/>
  <c r="N134" i="1"/>
  <c r="V134" i="1"/>
  <c r="N8" i="1"/>
  <c r="V8" i="1"/>
  <c r="N29" i="1"/>
  <c r="V29" i="1"/>
  <c r="N130" i="1"/>
  <c r="V130" i="1"/>
  <c r="N9" i="1"/>
  <c r="V9" i="1"/>
  <c r="N132" i="1"/>
  <c r="V132" i="1"/>
  <c r="N13" i="1"/>
  <c r="V13" i="1"/>
  <c r="N22" i="1"/>
  <c r="V22" i="1"/>
  <c r="N190" i="1"/>
  <c r="V190" i="1"/>
  <c r="N11" i="1"/>
  <c r="V11" i="1"/>
  <c r="N12" i="1"/>
  <c r="V12" i="1"/>
  <c r="N23" i="1"/>
  <c r="V23" i="1"/>
  <c r="N21" i="1"/>
  <c r="V21" i="1"/>
  <c r="N38" i="1"/>
  <c r="V38" i="1"/>
  <c r="N33" i="1"/>
  <c r="V33" i="1"/>
  <c r="N189" i="1"/>
  <c r="V189" i="1"/>
  <c r="N15" i="1"/>
  <c r="V15" i="1"/>
  <c r="N24" i="1"/>
  <c r="V24" i="1"/>
  <c r="N25" i="1"/>
  <c r="V25" i="1"/>
  <c r="N10" i="1"/>
  <c r="AI194" i="1"/>
  <c r="AI193" i="1"/>
  <c r="AI192" i="1"/>
  <c r="AI151" i="1"/>
  <c r="AI145" i="1" s="1"/>
  <c r="X100" i="1"/>
  <c r="N14" i="1"/>
  <c r="AB100" i="1"/>
  <c r="AC114" i="1"/>
  <c r="G24" i="7"/>
  <c r="I24" i="7" s="1"/>
  <c r="G25" i="7"/>
  <c r="I25" i="7" s="1"/>
  <c r="E8" i="38" l="1"/>
  <c r="E9" i="38" s="1"/>
  <c r="G18" i="7"/>
  <c r="B22" i="7"/>
  <c r="G22" i="7" s="1"/>
  <c r="I22" i="7" s="1"/>
  <c r="F22" i="41"/>
  <c r="H22" i="41" s="1"/>
  <c r="B23" i="7"/>
  <c r="G23" i="7" s="1"/>
  <c r="I23" i="7" s="1"/>
  <c r="F23" i="41"/>
  <c r="H23" i="41" s="1"/>
  <c r="H21" i="37"/>
  <c r="B30" i="36"/>
  <c r="F30" i="36" s="1"/>
  <c r="H30" i="36" s="1"/>
  <c r="H21" i="36"/>
  <c r="B30" i="34"/>
  <c r="F30" i="34" s="1"/>
  <c r="H30" i="34" s="1"/>
  <c r="F30" i="35"/>
  <c r="B21" i="33"/>
  <c r="E21" i="33" s="1"/>
  <c r="AI4" i="1"/>
  <c r="AC4" i="1"/>
  <c r="B21" i="27"/>
  <c r="E21" i="27" s="1"/>
  <c r="G21" i="27" s="1"/>
  <c r="E21" i="31"/>
  <c r="E22" i="31"/>
  <c r="G22" i="31" s="1"/>
  <c r="B22" i="27"/>
  <c r="E22" i="27" s="1"/>
  <c r="G22" i="27" s="1"/>
  <c r="G33" i="30"/>
  <c r="E34" i="30"/>
  <c r="G33" i="29"/>
  <c r="E34" i="29"/>
  <c r="M17" i="38" s="1"/>
  <c r="E33" i="26"/>
  <c r="AC197" i="1"/>
  <c r="AI197" i="1"/>
  <c r="AC199" i="1"/>
  <c r="AI199" i="1"/>
  <c r="AC200" i="1"/>
  <c r="AI200" i="1"/>
  <c r="AC196" i="1"/>
  <c r="AI196" i="1"/>
  <c r="V4" i="1"/>
  <c r="E23" i="25"/>
  <c r="G23" i="25" s="1"/>
  <c r="X4" i="1"/>
  <c r="E21" i="25"/>
  <c r="E22" i="25"/>
  <c r="G22" i="25" s="1"/>
  <c r="Z145" i="1"/>
  <c r="B23" i="34" s="1"/>
  <c r="F23" i="34" s="1"/>
  <c r="H23" i="34" s="1"/>
  <c r="AB145" i="1"/>
  <c r="B22" i="34" s="1"/>
  <c r="F22" i="34" s="1"/>
  <c r="H22" i="34" s="1"/>
  <c r="X145" i="1"/>
  <c r="B21" i="34" s="1"/>
  <c r="F21" i="34" s="1"/>
  <c r="V128" i="1"/>
  <c r="N150" i="1"/>
  <c r="V150" i="1"/>
  <c r="N200" i="1"/>
  <c r="V200" i="1"/>
  <c r="N151" i="1"/>
  <c r="V151" i="1"/>
  <c r="N193" i="1"/>
  <c r="V193" i="1"/>
  <c r="N194" i="1"/>
  <c r="V194" i="1"/>
  <c r="N196" i="1"/>
  <c r="V196" i="1"/>
  <c r="N197" i="1"/>
  <c r="V197" i="1"/>
  <c r="N199" i="1"/>
  <c r="V199" i="1"/>
  <c r="N192" i="1"/>
  <c r="V192" i="1"/>
  <c r="B21" i="7" l="1"/>
  <c r="G21" i="7" s="1"/>
  <c r="I21" i="7" s="1"/>
  <c r="F21" i="41"/>
  <c r="B30" i="7"/>
  <c r="F30" i="41"/>
  <c r="H30" i="41" s="1"/>
  <c r="E34" i="26"/>
  <c r="E35" i="26" s="1"/>
  <c r="G35" i="26" s="1"/>
  <c r="I13" i="38"/>
  <c r="I17" i="38" s="1"/>
  <c r="AI187" i="1"/>
  <c r="B30" i="37" s="1"/>
  <c r="F30" i="37" s="1"/>
  <c r="H30" i="37" s="1"/>
  <c r="AC187" i="1"/>
  <c r="F33" i="36"/>
  <c r="AA13" i="38" s="1"/>
  <c r="H30" i="35"/>
  <c r="F33" i="35"/>
  <c r="Y13" i="38" s="1"/>
  <c r="Y17" i="38" s="1"/>
  <c r="E33" i="27"/>
  <c r="E33" i="33"/>
  <c r="U13" i="38" s="1"/>
  <c r="U17" i="38" s="1"/>
  <c r="G21" i="33"/>
  <c r="H21" i="34"/>
  <c r="F33" i="34"/>
  <c r="W13" i="38" s="1"/>
  <c r="W17" i="38" s="1"/>
  <c r="G21" i="31"/>
  <c r="E33" i="31"/>
  <c r="G33" i="26"/>
  <c r="E35" i="29"/>
  <c r="G35" i="29" s="1"/>
  <c r="E35" i="30"/>
  <c r="G35" i="30" s="1"/>
  <c r="G21" i="25"/>
  <c r="E33" i="25"/>
  <c r="G13" i="38" s="1"/>
  <c r="G17" i="38" s="1"/>
  <c r="V187" i="1"/>
  <c r="V145" i="1"/>
  <c r="M198" i="1"/>
  <c r="N198" i="1" s="1"/>
  <c r="M191" i="1"/>
  <c r="M195" i="1"/>
  <c r="N195" i="1" s="1"/>
  <c r="H21" i="41" l="1"/>
  <c r="F33" i="41"/>
  <c r="AE13" i="38" s="1"/>
  <c r="AE17" i="38" s="1"/>
  <c r="H33" i="36"/>
  <c r="AA9" i="38"/>
  <c r="AA17" i="38" s="1"/>
  <c r="Q13" i="38"/>
  <c r="Q17" i="38" s="1"/>
  <c r="G33" i="27"/>
  <c r="K13" i="38"/>
  <c r="K17" i="38" s="1"/>
  <c r="F33" i="37"/>
  <c r="N191" i="1"/>
  <c r="M187" i="1" s="1"/>
  <c r="N187" i="1" s="1"/>
  <c r="F34" i="36"/>
  <c r="F35" i="36" s="1"/>
  <c r="H35" i="36" s="1"/>
  <c r="E34" i="27"/>
  <c r="E35" i="27" s="1"/>
  <c r="G35" i="27" s="1"/>
  <c r="H33" i="35"/>
  <c r="F34" i="35"/>
  <c r="E34" i="33"/>
  <c r="G33" i="33"/>
  <c r="H33" i="34"/>
  <c r="F34" i="34"/>
  <c r="G33" i="31"/>
  <c r="E34" i="31"/>
  <c r="E36" i="30"/>
  <c r="E36" i="29"/>
  <c r="M37" i="38" s="1"/>
  <c r="E36" i="26"/>
  <c r="I36" i="38" s="1"/>
  <c r="G33" i="25"/>
  <c r="E34" i="25"/>
  <c r="V3" i="1"/>
  <c r="G30" i="7"/>
  <c r="H33" i="41" l="1"/>
  <c r="F34" i="41"/>
  <c r="H33" i="37"/>
  <c r="AC13" i="38"/>
  <c r="AC17" i="38" s="1"/>
  <c r="I36" i="30"/>
  <c r="O36" i="38"/>
  <c r="I36" i="29"/>
  <c r="M36" i="38"/>
  <c r="F34" i="37"/>
  <c r="F35" i="37" s="1"/>
  <c r="H35" i="37" s="1"/>
  <c r="N3" i="1"/>
  <c r="B4" i="37"/>
  <c r="F36" i="36"/>
  <c r="F35" i="35"/>
  <c r="H35" i="35" s="1"/>
  <c r="F35" i="34"/>
  <c r="H35" i="34" s="1"/>
  <c r="E35" i="33"/>
  <c r="G35" i="33" s="1"/>
  <c r="E35" i="31"/>
  <c r="G35" i="31" s="1"/>
  <c r="G33" i="7"/>
  <c r="E13" i="38" s="1"/>
  <c r="E17" i="38" s="1"/>
  <c r="G36" i="30"/>
  <c r="G36" i="29"/>
  <c r="E36" i="27"/>
  <c r="K36" i="38" s="1"/>
  <c r="I36" i="26"/>
  <c r="G36" i="26"/>
  <c r="E35" i="25"/>
  <c r="G35" i="25" s="1"/>
  <c r="I30" i="7"/>
  <c r="F35" i="41" l="1"/>
  <c r="H35" i="41" s="1"/>
  <c r="D48" i="37"/>
  <c r="I36" i="36"/>
  <c r="AA36" i="38"/>
  <c r="F36" i="37"/>
  <c r="H36" i="36"/>
  <c r="F36" i="35"/>
  <c r="F36" i="34"/>
  <c r="E36" i="33"/>
  <c r="U36" i="38" s="1"/>
  <c r="E36" i="31"/>
  <c r="Q36" i="38" s="1"/>
  <c r="G36" i="27"/>
  <c r="I36" i="27"/>
  <c r="E36" i="25"/>
  <c r="I33" i="7"/>
  <c r="G34" i="7"/>
  <c r="G35" i="7" s="1"/>
  <c r="I35" i="7" s="1"/>
  <c r="F36" i="41" l="1"/>
  <c r="AE36" i="38" s="1"/>
  <c r="D49" i="37"/>
  <c r="D47" i="37"/>
  <c r="H36" i="37"/>
  <c r="AC36" i="38"/>
  <c r="I36" i="35"/>
  <c r="Y36" i="38"/>
  <c r="I36" i="34"/>
  <c r="W36" i="38"/>
  <c r="I36" i="25"/>
  <c r="G36" i="38"/>
  <c r="I36" i="37"/>
  <c r="H36" i="35"/>
  <c r="H36" i="34"/>
  <c r="H36" i="33"/>
  <c r="G36" i="33"/>
  <c r="G36" i="31"/>
  <c r="I36" i="31"/>
  <c r="G36" i="25"/>
  <c r="G36" i="7"/>
  <c r="H36" i="41" l="1"/>
  <c r="D50" i="37"/>
  <c r="E36" i="38"/>
  <c r="I36" i="7"/>
  <c r="K36" i="7"/>
  <c r="D52" i="37" l="1"/>
  <c r="D53" i="37" s="1"/>
  <c r="AC46" i="38"/>
  <c r="AC47" i="38" s="1"/>
  <c r="E20" i="38"/>
  <c r="G20" i="38"/>
  <c r="I20" i="38"/>
  <c r="K20" i="38"/>
  <c r="M20" i="38"/>
  <c r="O20" i="38"/>
  <c r="Q20" i="38"/>
  <c r="S20" i="38"/>
  <c r="U20" i="38"/>
  <c r="W20" i="38"/>
  <c r="Y20" i="38"/>
  <c r="AA20" i="38"/>
  <c r="AC20" i="38"/>
  <c r="AE20" i="38"/>
  <c r="E21" i="38"/>
  <c r="G21" i="38"/>
  <c r="I21" i="38"/>
  <c r="K21" i="38"/>
  <c r="M21" i="38"/>
  <c r="O21" i="38"/>
  <c r="Q21" i="38"/>
  <c r="S21" i="38"/>
  <c r="U21" i="38"/>
  <c r="W21" i="38"/>
  <c r="Y21" i="38"/>
  <c r="AA21" i="38"/>
  <c r="AC21" i="38"/>
  <c r="AE21" i="38"/>
  <c r="E22" i="38"/>
  <c r="G22" i="38"/>
  <c r="I22" i="38"/>
  <c r="K22" i="38"/>
  <c r="M22" i="38"/>
  <c r="O22" i="38"/>
  <c r="Q22" i="38"/>
  <c r="S22" i="38"/>
  <c r="U22" i="38"/>
  <c r="W22" i="38"/>
  <c r="Y22" i="38"/>
  <c r="AA22" i="38"/>
  <c r="AC22" i="38"/>
  <c r="AE22" i="38"/>
  <c r="E25" i="38"/>
  <c r="G25" i="38"/>
  <c r="I25" i="38"/>
  <c r="K25" i="38"/>
  <c r="M25" i="38"/>
  <c r="O25" i="38"/>
  <c r="Q25" i="38"/>
  <c r="S25" i="38"/>
  <c r="U25" i="38"/>
  <c r="W25" i="38"/>
  <c r="Y25" i="38"/>
  <c r="AA25" i="38"/>
  <c r="AC25" i="38"/>
  <c r="AE25" i="38"/>
  <c r="E26" i="38"/>
  <c r="G26" i="38"/>
  <c r="I26" i="38"/>
  <c r="K26" i="38"/>
  <c r="M26" i="38"/>
  <c r="O26" i="38"/>
  <c r="Q26" i="38"/>
  <c r="S26" i="38"/>
  <c r="U26" i="38"/>
  <c r="W26" i="38"/>
  <c r="Y26" i="38"/>
  <c r="AA26" i="38"/>
  <c r="AC26" i="38"/>
  <c r="AE26" i="38"/>
  <c r="E27" i="38"/>
  <c r="G27" i="38"/>
  <c r="I27" i="38"/>
  <c r="K27" i="38"/>
  <c r="M27" i="38"/>
  <c r="O27" i="38"/>
  <c r="Q27" i="38"/>
  <c r="S27" i="38"/>
  <c r="U27" i="38"/>
  <c r="W27" i="38"/>
  <c r="Y27" i="38"/>
  <c r="AA27" i="38"/>
  <c r="AC27" i="38"/>
  <c r="AE27" i="38"/>
  <c r="E28" i="38"/>
  <c r="G28" i="38"/>
  <c r="I28" i="38"/>
  <c r="K28" i="38"/>
  <c r="M28" i="38"/>
  <c r="O28" i="38"/>
  <c r="Q28" i="38"/>
  <c r="S28" i="38"/>
  <c r="U28" i="38"/>
  <c r="W28" i="38"/>
  <c r="Y28" i="38"/>
  <c r="AA28" i="38"/>
  <c r="AC28" i="38"/>
  <c r="AE28" i="38"/>
  <c r="E31" i="38"/>
  <c r="G31" i="38"/>
  <c r="I31" i="38"/>
  <c r="K31" i="38"/>
  <c r="M31" i="38"/>
  <c r="O31" i="38"/>
  <c r="Q31" i="38"/>
  <c r="S31" i="38"/>
  <c r="U31" i="38"/>
  <c r="W31" i="38"/>
  <c r="Y31" i="38"/>
  <c r="AA31" i="38"/>
  <c r="AC31" i="38"/>
  <c r="AE31" i="38"/>
  <c r="AF31" i="38"/>
  <c r="E32" i="38"/>
  <c r="G32" i="38"/>
  <c r="I32" i="38"/>
  <c r="K32" i="38"/>
  <c r="M32" i="38"/>
  <c r="O32" i="38"/>
  <c r="Q32" i="38"/>
  <c r="S32" i="38"/>
  <c r="U32" i="38"/>
  <c r="W32" i="38"/>
  <c r="Y32" i="38"/>
  <c r="AA32" i="38"/>
  <c r="AC32" i="38"/>
  <c r="AE32" i="38"/>
  <c r="E34" i="38"/>
  <c r="G34" i="38"/>
  <c r="I34" i="38"/>
  <c r="K34" i="38"/>
  <c r="M34" i="38"/>
  <c r="O34" i="38"/>
  <c r="Q34" i="38"/>
  <c r="S34" i="38"/>
  <c r="U34" i="38"/>
  <c r="W34" i="38"/>
  <c r="Y34" i="38"/>
  <c r="AA34" i="38"/>
  <c r="AC34" i="38"/>
  <c r="AE34" i="38"/>
  <c r="E35" i="38"/>
  <c r="G35" i="38"/>
  <c r="I35" i="38"/>
  <c r="K35" i="38"/>
  <c r="M35" i="38"/>
  <c r="O35" i="38"/>
  <c r="Q35" i="38"/>
  <c r="S35" i="38"/>
  <c r="U35" i="38"/>
  <c r="W35" i="38"/>
  <c r="Y35" i="38"/>
  <c r="AA35" i="38"/>
  <c r="AC35" i="38"/>
  <c r="AE35" i="38"/>
  <c r="E37" i="38"/>
  <c r="G37" i="38"/>
  <c r="I37" i="38"/>
  <c r="K37" i="38"/>
  <c r="O37" i="38"/>
  <c r="Q37" i="38"/>
  <c r="S37" i="38"/>
  <c r="U37" i="38"/>
  <c r="W37" i="38"/>
  <c r="Y37" i="38"/>
  <c r="AA37" i="38"/>
  <c r="AC37" i="38"/>
  <c r="AE37" i="38"/>
  <c r="E38" i="38"/>
  <c r="G38" i="38"/>
  <c r="I38" i="38"/>
  <c r="K38" i="38"/>
  <c r="M38" i="38"/>
  <c r="O38" i="38"/>
  <c r="Q38" i="38"/>
  <c r="S38" i="38"/>
  <c r="U38" i="38"/>
  <c r="W38" i="38"/>
  <c r="Y38" i="38"/>
  <c r="AA38" i="38"/>
  <c r="AC38" i="38"/>
  <c r="AE38" i="38"/>
  <c r="E40" i="38"/>
  <c r="G40" i="38"/>
  <c r="I40" i="38"/>
  <c r="K40" i="38"/>
  <c r="M40" i="38"/>
  <c r="O40" i="38"/>
  <c r="Q40" i="38"/>
  <c r="S40" i="38"/>
  <c r="U40" i="38"/>
  <c r="W40" i="38"/>
  <c r="Y40" i="38"/>
  <c r="AA40" i="38"/>
  <c r="AC40" i="38"/>
  <c r="AE40" i="38"/>
  <c r="E41" i="38"/>
  <c r="G41" i="38"/>
  <c r="I41" i="38"/>
  <c r="K41" i="38"/>
  <c r="M41" i="38"/>
  <c r="O41" i="38"/>
  <c r="Q41" i="38"/>
  <c r="S41" i="38"/>
  <c r="U41" i="38"/>
  <c r="W41" i="38"/>
  <c r="Y41" i="38"/>
  <c r="AA41" i="38"/>
  <c r="AC41" i="38"/>
  <c r="AE41" i="38"/>
  <c r="AF41" i="38"/>
  <c r="E48" i="38"/>
  <c r="G48" i="38"/>
  <c r="I48" i="38"/>
  <c r="K48" i="38"/>
  <c r="M48" i="38"/>
  <c r="O48" i="38"/>
  <c r="Q48" i="38"/>
  <c r="S48" i="38"/>
  <c r="U48" i="38"/>
  <c r="W48" i="38"/>
  <c r="Y48" i="38"/>
  <c r="AA48" i="38"/>
  <c r="AC48" i="38"/>
  <c r="AE48" i="38"/>
  <c r="E49" i="38"/>
  <c r="G49" i="38"/>
  <c r="I49" i="38"/>
  <c r="K49" i="38"/>
  <c r="M49" i="38"/>
  <c r="O49" i="38"/>
  <c r="Q49" i="38"/>
  <c r="S49" i="38"/>
  <c r="U49" i="38"/>
  <c r="W49" i="38"/>
  <c r="Y49" i="38"/>
  <c r="AA49" i="38"/>
  <c r="AC49" i="38"/>
  <c r="AE49" i="38"/>
  <c r="E50" i="38"/>
  <c r="G50" i="38"/>
  <c r="I50" i="38"/>
  <c r="K50" i="38"/>
  <c r="M50" i="38"/>
  <c r="O50" i="38"/>
  <c r="Q50" i="38"/>
  <c r="S50" i="38"/>
  <c r="U50" i="38"/>
  <c r="W50" i="38"/>
  <c r="Y50" i="38"/>
  <c r="AA50" i="38"/>
  <c r="AC50" i="38"/>
  <c r="AE50" i="38"/>
  <c r="AF50" i="38"/>
</calcChain>
</file>

<file path=xl/sharedStrings.xml><?xml version="1.0" encoding="utf-8"?>
<sst xmlns="http://schemas.openxmlformats.org/spreadsheetml/2006/main" count="3950" uniqueCount="842">
  <si>
    <t>S.No</t>
  </si>
  <si>
    <t>Level</t>
  </si>
  <si>
    <t>L1</t>
  </si>
  <si>
    <t>L2</t>
  </si>
  <si>
    <t>L3</t>
  </si>
  <si>
    <t>Drawing
No.</t>
  </si>
  <si>
    <t>Rev</t>
  </si>
  <si>
    <t xml:space="preserve">Description </t>
  </si>
  <si>
    <t>Qty.</t>
  </si>
  <si>
    <t>Total 
Qty.</t>
  </si>
  <si>
    <t>Net Wt.
LBS</t>
  </si>
  <si>
    <t>Net Weight 
(Kg)</t>
  </si>
  <si>
    <t>Total Weight 
(Kg)</t>
  </si>
  <si>
    <t>Type</t>
  </si>
  <si>
    <t>DRG.
Material</t>
  </si>
  <si>
    <t>Alt. Material</t>
  </si>
  <si>
    <t>IS Thk
(Inch)</t>
  </si>
  <si>
    <t>IS Thk
(mm)</t>
  </si>
  <si>
    <t xml:space="preserve">Width </t>
  </si>
  <si>
    <t>Length</t>
  </si>
  <si>
    <t xml:space="preserve">Paint </t>
  </si>
  <si>
    <t>Plate</t>
  </si>
  <si>
    <t>A</t>
  </si>
  <si>
    <t>QTY</t>
  </si>
  <si>
    <t>Gross Wt 
(kg)</t>
  </si>
  <si>
    <t xml:space="preserve">Cutting 
Time </t>
  </si>
  <si>
    <t xml:space="preserve">Cutting Cost </t>
  </si>
  <si>
    <t xml:space="preserve">No. of 
bends </t>
  </si>
  <si>
    <t>Bending
 Details</t>
  </si>
  <si>
    <t>Machining
Time (min)</t>
  </si>
  <si>
    <t>Machining 
Cost</t>
  </si>
  <si>
    <t>Other 
Process</t>
  </si>
  <si>
    <t>Other process
Cost</t>
  </si>
  <si>
    <t>Welding
 Length (M)</t>
  </si>
  <si>
    <t>Remarks</t>
  </si>
  <si>
    <t>Assy No.</t>
  </si>
  <si>
    <t>Item No.</t>
  </si>
  <si>
    <t>Weld Length</t>
  </si>
  <si>
    <t xml:space="preserve">No of Run </t>
  </si>
  <si>
    <t xml:space="preserve">No of Places </t>
  </si>
  <si>
    <t xml:space="preserve">Total Weld </t>
  </si>
  <si>
    <t>Row Labels</t>
  </si>
  <si>
    <t>Grand Total</t>
  </si>
  <si>
    <t>Sum of Gross Wt 
(kg)</t>
  </si>
  <si>
    <t>Rod</t>
  </si>
  <si>
    <t>Total</t>
  </si>
  <si>
    <t xml:space="preserve">COSTING SHEET </t>
  </si>
  <si>
    <t>PRODUCT NAME:-</t>
  </si>
  <si>
    <t>RFQ Ref.</t>
  </si>
  <si>
    <t>ITEM DRG NO</t>
  </si>
  <si>
    <t>Total Quantity</t>
  </si>
  <si>
    <t xml:space="preserve">Total Net WT as per Drawing </t>
  </si>
  <si>
    <t>COSTBREAKUP OF COMPONENT (QTY-01 No.)</t>
  </si>
  <si>
    <t>RAW MATERIAL COST</t>
  </si>
  <si>
    <t>SPEC</t>
  </si>
  <si>
    <t>GROSS WT. (KG)</t>
  </si>
  <si>
    <t>NET WT (KG)</t>
  </si>
  <si>
    <t>SCRAP (KG)</t>
  </si>
  <si>
    <t>RM RATE (RS/KG)</t>
  </si>
  <si>
    <t>SCRAP RATE (RS/KG)</t>
  </si>
  <si>
    <t>NET RM COST (RS)</t>
  </si>
  <si>
    <t>TOTAL (RS)</t>
  </si>
  <si>
    <t>BOP COST</t>
  </si>
  <si>
    <t>BOP COST (RS)</t>
  </si>
  <si>
    <t xml:space="preserve">TOTAL BOP </t>
  </si>
  <si>
    <t>TOTAL OF RM + BOP (RS)</t>
  </si>
  <si>
    <t>PROCESS COST</t>
  </si>
  <si>
    <t>RATE</t>
  </si>
  <si>
    <t>TOTAL COST</t>
  </si>
  <si>
    <t>LASER /PLASMA/PIPE -  Cutting (Min.)</t>
  </si>
  <si>
    <t>Machining (Hrs)</t>
  </si>
  <si>
    <t>BENDING BY CNC BENDING (STROKE)</t>
  </si>
  <si>
    <t>MIG WELDING (MTR.)</t>
  </si>
  <si>
    <t>GRINDING/BUFFING &amp; FINISHING (hrs)</t>
  </si>
  <si>
    <t>INSPECTION &amp; TESTING (HRS)</t>
  </si>
  <si>
    <t xml:space="preserve">STRESS RELIEVING </t>
  </si>
  <si>
    <t>As Actual, If required</t>
  </si>
  <si>
    <t xml:space="preserve">Shot Blasting </t>
  </si>
  <si>
    <t>Hot Dip Galvanization</t>
  </si>
  <si>
    <t>PAINTING (including material &amp; Labor)</t>
  </si>
  <si>
    <t>TOTAL RM+BOP+PC</t>
  </si>
  <si>
    <t>Min.</t>
  </si>
  <si>
    <t xml:space="preserve">NOTES:- </t>
  </si>
  <si>
    <t>OTHER COST</t>
  </si>
  <si>
    <t>Stress relieveing NOT FOUND ON PRINTS, IF REQUIRED</t>
  </si>
  <si>
    <t>As Actual</t>
  </si>
  <si>
    <t>RECURRING COST</t>
  </si>
  <si>
    <t>A.</t>
  </si>
  <si>
    <t>RM Cost</t>
  </si>
  <si>
    <t>Weight in Kg.</t>
  </si>
  <si>
    <t>Price in INR</t>
  </si>
  <si>
    <t>i.</t>
  </si>
  <si>
    <t>RM Gross Weight</t>
  </si>
  <si>
    <t>ii.</t>
  </si>
  <si>
    <t>RM Net Weight</t>
  </si>
  <si>
    <t>iii.</t>
  </si>
  <si>
    <t>iv.</t>
  </si>
  <si>
    <t>TOTAL RM COST</t>
  </si>
  <si>
    <t>B.</t>
  </si>
  <si>
    <t>Process Cost</t>
  </si>
  <si>
    <t>Assy Cost</t>
  </si>
  <si>
    <t>Fabrication / Process Cost</t>
  </si>
  <si>
    <t>Paint</t>
  </si>
  <si>
    <t>Inspection and Testing</t>
  </si>
  <si>
    <t>v.</t>
  </si>
  <si>
    <t>TOTAL BASIC COST</t>
  </si>
  <si>
    <t>C.</t>
  </si>
  <si>
    <t>Fixed Cost</t>
  </si>
  <si>
    <t>i</t>
  </si>
  <si>
    <t>ICC Cost</t>
  </si>
  <si>
    <t>ii</t>
  </si>
  <si>
    <t>Rejection</t>
  </si>
  <si>
    <t>Sub Total</t>
  </si>
  <si>
    <t>D.</t>
  </si>
  <si>
    <t>Variable Cost</t>
  </si>
  <si>
    <t xml:space="preserve">Contingency / Warranty </t>
  </si>
  <si>
    <t>Overheads</t>
  </si>
  <si>
    <t xml:space="preserve">Contribution / Profit </t>
  </si>
  <si>
    <t>Total Price</t>
  </si>
  <si>
    <t>NON-RECURRING  COST</t>
  </si>
  <si>
    <t>ENGINEERING CHARGES</t>
  </si>
  <si>
    <t>DEVELOPMENT OF JIG AND FIXTURES (01 time)</t>
  </si>
  <si>
    <t>Surface Area
SQM</t>
  </si>
  <si>
    <t>Stamping Cost (HRS)</t>
  </si>
  <si>
    <t xml:space="preserve">Tacking Fixture main Frame </t>
  </si>
  <si>
    <t>Fixture Details</t>
  </si>
  <si>
    <t>OH + Contingency</t>
  </si>
  <si>
    <t xml:space="preserve">Total Product Cost Without Profit </t>
  </si>
  <si>
    <t>Assembly</t>
  </si>
  <si>
    <t>Column Labels</t>
  </si>
  <si>
    <t>Total Sum of Total Weight 
(Kg)</t>
  </si>
  <si>
    <t>Total Sum of Gross Wt 
(kg)</t>
  </si>
  <si>
    <t>Sum of Total Weight 
(Kg)</t>
  </si>
  <si>
    <t>No paint Detail Found</t>
  </si>
  <si>
    <t>No BOP found in the Drawing Details</t>
  </si>
  <si>
    <t>FE cost</t>
  </si>
  <si>
    <t>ITEM-1</t>
  </si>
  <si>
    <t>Assy. No</t>
  </si>
  <si>
    <t>Raw Material Cost</t>
  </si>
  <si>
    <t xml:space="preserve">Packaging </t>
  </si>
  <si>
    <t>F</t>
  </si>
  <si>
    <t xml:space="preserve">Transportation </t>
  </si>
  <si>
    <t xml:space="preserve">EX Works </t>
  </si>
  <si>
    <t>Total Price for X Parts</t>
  </si>
  <si>
    <t xml:space="preserve">Total Cost Each Part </t>
  </si>
  <si>
    <t>Rate Per Gross Wt kg</t>
  </si>
  <si>
    <t>Rate Per Net Wt kg</t>
  </si>
  <si>
    <t>Internal Cal. Cost Per X parts</t>
  </si>
  <si>
    <t xml:space="preserve">Margin </t>
  </si>
  <si>
    <t>Margin %</t>
  </si>
  <si>
    <t>NRC Cost Without 20% Margin</t>
  </si>
  <si>
    <t>Canrig Scope</t>
  </si>
  <si>
    <t>TOTAL PROCESS COST OF PC</t>
  </si>
  <si>
    <t>(All)</t>
  </si>
  <si>
    <t>Size (mm)</t>
  </si>
  <si>
    <t xml:space="preserve">Rate </t>
  </si>
  <si>
    <t>Cost</t>
  </si>
  <si>
    <t xml:space="preserve">Testing Templates </t>
  </si>
  <si>
    <t>Development and Engg</t>
  </si>
  <si>
    <t>Approx Wt /Days</t>
  </si>
  <si>
    <t xml:space="preserve">Total  Cost </t>
  </si>
  <si>
    <t>NRC COST BREAKUP</t>
  </si>
  <si>
    <t>FE COST</t>
  </si>
  <si>
    <t>SUB TOTAL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</si>
  <si>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</si>
  <si>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</si>
  <si>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</si>
  <si>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</si>
  <si>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</si>
  <si>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</si>
  <si>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</si>
  <si>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</si>
  <si>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</si>
  <si>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</si>
  <si>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</si>
  <si>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</si>
  <si>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</si>
  <si>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</si>
  <si>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</si>
  <si>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</si>
  <si>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</si>
  <si>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</si>
  <si>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</si>
  <si>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</si>
  <si>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</si>
  <si>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</si>
  <si>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</si>
  <si>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</si>
  <si>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</si>
  <si>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</si>
  <si>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</si>
  <si>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</si>
  <si>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</si>
  <si>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</si>
  <si>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</si>
  <si>
    <t>AY30011</t>
  </si>
  <si>
    <t>WELDMENT, R2D CATWALK, LEV 1, PC4100</t>
  </si>
  <si>
    <t>WELDMENT, CATWALK ODS BEAM, R2D, PC4100</t>
  </si>
  <si>
    <t>AY30010</t>
  </si>
  <si>
    <t>WELDMENT, CATWALK DS BEAM, R2D, PC4100</t>
  </si>
  <si>
    <t>AY30009</t>
  </si>
  <si>
    <t>PLATE, ROLL BAR END CAP, PC4100</t>
  </si>
  <si>
    <t>A572 Gr. 50</t>
  </si>
  <si>
    <t>DT34313</t>
  </si>
  <si>
    <t>PLATE, BACK MID STOP RIB, PC4100</t>
  </si>
  <si>
    <t>DT34402</t>
  </si>
  <si>
    <t>PIPE, CABLE ROLL, PC4100</t>
  </si>
  <si>
    <t>A.S.T.M. A106 GR.B</t>
  </si>
  <si>
    <t>DT34403</t>
  </si>
  <si>
    <t>A992 / A572</t>
  </si>
  <si>
    <t>DT34404</t>
  </si>
  <si>
    <t>A36/S275JR</t>
  </si>
  <si>
    <t>DT34405</t>
  </si>
  <si>
    <t>DT34406</t>
  </si>
  <si>
    <t>CHANNEL, UPN200x2198 LG</t>
  </si>
  <si>
    <t>-</t>
  </si>
  <si>
    <t>PLATE, BOTTOM PLATE, JUNK BOX, PC4100</t>
  </si>
  <si>
    <t>ASTM A572 Gr. 50 / A516 Gr.70 / S355JR</t>
  </si>
  <si>
    <t>DT34390</t>
  </si>
  <si>
    <t>CHANNEL, UPN80X1143 LG</t>
  </si>
  <si>
    <t>CHANNEL, UPN80.000X4623.000 LG</t>
  </si>
  <si>
    <t>UPN80x4623</t>
  </si>
  <si>
    <t>BAR, FLAT, 45.000 X 6.000 X 329.406 LG</t>
  </si>
  <si>
    <t>A36/S275JR/SA 516 GR.70</t>
  </si>
  <si>
    <t>FB45X6X329</t>
  </si>
  <si>
    <t>PI 6" SCH XS X 2388mm</t>
  </si>
  <si>
    <t>G40.21-44W</t>
  </si>
  <si>
    <t>BAR, FLAT, 45.000 X 6.000 X 280.194 LG</t>
  </si>
  <si>
    <t>FB45X6X280</t>
  </si>
  <si>
    <t>PLATE, FRONT LIP, JUNK BOX, PC4100</t>
  </si>
  <si>
    <t>DT34389</t>
  </si>
  <si>
    <t>CHANNEL, UPN80.000 LG</t>
  </si>
  <si>
    <t>UPN80X1651</t>
  </si>
  <si>
    <t>BAR, FLAT, 80.000 X 6.000 X 4634.000 LG</t>
  </si>
  <si>
    <t>FB80X6X4634</t>
  </si>
  <si>
    <t>BAR, FLAT, 80.000 X 6.000 X 4585.000 LG</t>
  </si>
  <si>
    <t>FB80X6X4585</t>
  </si>
  <si>
    <t>BAR, FLAT, 5 X 38 X 67 LG</t>
  </si>
  <si>
    <t>AY30006.002</t>
  </si>
  <si>
    <t>PLATE, LEFT SIDE WALL, JUNK BOX, PC4100</t>
  </si>
  <si>
    <t>DT34392</t>
  </si>
  <si>
    <t>PLATE, BACK LIP, JUNK BOX, PC4100</t>
  </si>
  <si>
    <t>DT34391</t>
  </si>
  <si>
    <t>PLATE, RIGHT SIDE WALL, JUNK BOX, PC4100</t>
  </si>
  <si>
    <t>DT34388</t>
  </si>
  <si>
    <t>DT34387</t>
  </si>
  <si>
    <t>FLANGE, SCULLY, 3/4" NPT</t>
  </si>
  <si>
    <t>CARBON STEEL</t>
  </si>
  <si>
    <t>M11504</t>
  </si>
  <si>
    <t>PLATE, CROSS CHANNEL GUSSET, PC4100</t>
  </si>
  <si>
    <t>DT34314</t>
  </si>
  <si>
    <t>Main Assy.</t>
  </si>
  <si>
    <t>Sub Assy.</t>
  </si>
  <si>
    <t>REAR ODS BEAM WEB</t>
  </si>
  <si>
    <t>DT34393</t>
  </si>
  <si>
    <t>PLATE, OUTER ODS BEAM TOP FLANGE, R2D, PC4100</t>
  </si>
  <si>
    <t>DT34394</t>
  </si>
  <si>
    <t>PLATE, OUTER BEAM BACK ANGLE CAP, PC4100</t>
  </si>
  <si>
    <t>DT34395</t>
  </si>
  <si>
    <t>PLATE, OUTER FRONT BEAM NOSE CAP, PC4100</t>
  </si>
  <si>
    <t>DT34315</t>
  </si>
  <si>
    <t>PLATE, REAR OUTER BEAM ANGLE CAP, PC4100</t>
  </si>
  <si>
    <t>ASTM A572 Gr. 50 / S355JR</t>
  </si>
  <si>
    <t>DT34396</t>
  </si>
  <si>
    <t>PLATE, ANGLE CAP, PC4100</t>
  </si>
  <si>
    <t>DT34397</t>
  </si>
  <si>
    <t>CATWALK CONNECTION PLATE, PC4100</t>
  </si>
  <si>
    <t>DT34327</t>
  </si>
  <si>
    <t>PLATE, CARRIER CONNECTION PLATE GUSSET, PC4100</t>
  </si>
  <si>
    <t>DT34328</t>
  </si>
  <si>
    <t>PIPE, 33 OD x 21 ID X 51 L</t>
  </si>
  <si>
    <t>ASTM A106 GR.B</t>
  </si>
  <si>
    <t>DT34378</t>
  </si>
  <si>
    <t>REAR CATWALK CONNECTION BLOCK, PC4100</t>
  </si>
  <si>
    <t>DT34398</t>
  </si>
  <si>
    <t>BAR, FLAT, 200 X 20 X 4777 LG</t>
  </si>
  <si>
    <t>BAR, FLAT, 75 x 12 x 381 LG</t>
  </si>
  <si>
    <t>REAR DS BEAM WEB, R2D, PC4100</t>
  </si>
  <si>
    <t>DT34400</t>
  </si>
  <si>
    <t>PLATE, OUTER BEAM D5 TOP FLANGE, R2D, PC4100</t>
  </si>
  <si>
    <t>DT34401</t>
  </si>
  <si>
    <t>PIPE, 1/2" SCH 40 x 1035 LG</t>
  </si>
  <si>
    <t>UNISTRUT, 41.3 x 22.2 x 457 LG</t>
  </si>
  <si>
    <t>G40.21-44W / A572 G50</t>
  </si>
  <si>
    <t>PLATE, SAFETY BAR HOLDER, PC4100</t>
  </si>
  <si>
    <t>DT34399</t>
  </si>
  <si>
    <t>Pipe</t>
  </si>
  <si>
    <t>BOP 
Unistruct</t>
  </si>
  <si>
    <t>PIPE, 4SCH80 X 254 LG</t>
  </si>
  <si>
    <t>PLATE, 86 X 86X 6</t>
  </si>
  <si>
    <t>Channel</t>
  </si>
  <si>
    <t>Beam</t>
  </si>
  <si>
    <t>W-BEAM 600 X 220 X 4572 LG</t>
  </si>
  <si>
    <t>UPN80 X 45</t>
  </si>
  <si>
    <t>R6</t>
  </si>
  <si>
    <t>CHANNEL, UPN80.000X 4672.000 LG</t>
  </si>
  <si>
    <t xml:space="preserve">Die Bending </t>
  </si>
  <si>
    <t>BOP</t>
  </si>
  <si>
    <t>Dia 21.3 x 2.77 thk</t>
  </si>
  <si>
    <t>Dia 168.28 x 10.97thk</t>
  </si>
  <si>
    <t>*</t>
  </si>
  <si>
    <t>STAMP</t>
  </si>
  <si>
    <t>UPN200 X 740 LG</t>
  </si>
  <si>
    <t>DT34447</t>
  </si>
  <si>
    <t>POSITIONING CAP. FALSE FLOOR</t>
  </si>
  <si>
    <t>ASTM A516 Gr. 70/S275JR</t>
  </si>
  <si>
    <t>DT34448</t>
  </si>
  <si>
    <t>RIB, FALSE FLOOR, PC4100</t>
  </si>
  <si>
    <t>DT34407</t>
  </si>
  <si>
    <t>PLATE 6 X 622 X854, PC4100</t>
  </si>
  <si>
    <t>ASTM A572 GR.50/S355JR</t>
  </si>
  <si>
    <t>R11</t>
  </si>
  <si>
    <t>DT34380</t>
  </si>
  <si>
    <t>PLATE, HINGED FLOOR CONNECTION, PC4100</t>
  </si>
  <si>
    <t>DT34439</t>
  </si>
  <si>
    <t>PLATE, HINGED FLOOR DECK FORMING, PC4100</t>
  </si>
  <si>
    <t>ASTM A572 Gr. 50 / S355JR OR A516 Gr.70</t>
  </si>
  <si>
    <t>R5</t>
  </si>
  <si>
    <t>PLATE, 13 X 10 X 724 LG.</t>
  </si>
  <si>
    <t>PLATE, 13 X 10 X 355 LG</t>
  </si>
  <si>
    <t>PIPE,3.5SCH 80 X 965 LG</t>
  </si>
  <si>
    <t>Dia 101.6 x 8.08 thk</t>
  </si>
  <si>
    <t>DT34474</t>
  </si>
  <si>
    <t>PLATE,SAFETY BAR CAP, PC4100</t>
  </si>
  <si>
    <t>DT34475</t>
  </si>
  <si>
    <t>HANDLE, SAFETY BAR, PC4100
BAR, ROUND, 12</t>
  </si>
  <si>
    <t>Dia 12</t>
  </si>
  <si>
    <t>HAND RAIL,WELDMENT,42" CATWALK, PC4100</t>
  </si>
  <si>
    <t>HSS, 40 X 40 X 5 X 965 LG</t>
  </si>
  <si>
    <t>Sq. Tube</t>
  </si>
  <si>
    <t>ASTM A500 GR B</t>
  </si>
  <si>
    <t>40x40x 5thk</t>
  </si>
  <si>
    <t>HSS, 40 X 40 X 5 X 1113 LG</t>
  </si>
  <si>
    <t>HSS, 40 X 40 X 5 X 926 LG</t>
  </si>
  <si>
    <t>HSS, 40 X 40 X 5 X 1039 LG</t>
  </si>
  <si>
    <t>WELDMENT,SKATE BODY, REVERSE VEE, PC4100</t>
  </si>
  <si>
    <t>DT34574</t>
  </si>
  <si>
    <t>SKATE MID RIB, PC4100</t>
  </si>
  <si>
    <t>DT34573</t>
  </si>
  <si>
    <t>PIPE PUSHER, PC4100</t>
  </si>
  <si>
    <t>DT34572</t>
  </si>
  <si>
    <t>SKID PAD MOUNT, PC4100</t>
  </si>
  <si>
    <t>DT34571</t>
  </si>
  <si>
    <t>PLATE, SKATE REVERSED VEE, PC4100</t>
  </si>
  <si>
    <t>WELDMENT,RAMPRAIL, PC4100</t>
  </si>
  <si>
    <t>HSS 50x50x5x12187 LG</t>
  </si>
  <si>
    <t>HSS 50x50x5x219 LG</t>
  </si>
  <si>
    <t>HSS 50x50x5x87 LG</t>
  </si>
  <si>
    <t>HSS 50x50x5x191 LG</t>
  </si>
  <si>
    <t>HSS 50x50x5x397 LG</t>
  </si>
  <si>
    <t>HSS 50x50x5x410 LG</t>
  </si>
  <si>
    <t>HSS 50x50x5x51 LG</t>
  </si>
  <si>
    <t>HSS 50x50x5x319 LG</t>
  </si>
  <si>
    <t>WELDMENT, RAMP, SHEAVE SUB B, PC4100</t>
  </si>
  <si>
    <t>DT27245</t>
  </si>
  <si>
    <t>WELDMENT, RAMP SHEAVE SUB, PC4100</t>
  </si>
  <si>
    <t>PLATE, 15/32 X 8 X 14 [12 X 203 X 356]</t>
  </si>
  <si>
    <t>G40.21-44W / ASTM A572 G50</t>
  </si>
  <si>
    <t>PLATE, 3/4 X 24 1/32 X 46 3/8 [20 X 610 X 1178]</t>
  </si>
  <si>
    <t>PLATE, 3/4 X 24 1/32 X 51 7/8 [20 X 610 X 1318]</t>
  </si>
  <si>
    <t>PLATE, 1/2 X 2 X 12 [12 X 51 X 305]</t>
  </si>
  <si>
    <t>PLATE, 1/2 X 4 X 4 [13 X 102 X 102]</t>
  </si>
  <si>
    <t>DT34621</t>
  </si>
  <si>
    <t>PLATE, RAMP TOP CAP GUSSET, PC41000</t>
  </si>
  <si>
    <t>DT34622</t>
  </si>
  <si>
    <t>PLATE, RAMP ROLL END CAP, PC4100</t>
  </si>
  <si>
    <t>DT34623</t>
  </si>
  <si>
    <t>PLATE, RAMP TOP CAP, PC4100</t>
  </si>
  <si>
    <t>DT34624</t>
  </si>
  <si>
    <t>PLATE, TOP ROLLER BEARING SUPPORT, PC4100</t>
  </si>
  <si>
    <t>DT34625</t>
  </si>
  <si>
    <t>PLATE, RAMP ROLLER GUSSET, PC4100</t>
  </si>
  <si>
    <t>DT34626</t>
  </si>
  <si>
    <t>PLATE, RAMP TOP ROLLER GUSSET, PC4100</t>
  </si>
  <si>
    <t>PIPE, 6" SCH80 X 54" LONG</t>
  </si>
  <si>
    <t>A.S.T.M. A106 GR. B</t>
  </si>
  <si>
    <t>PIPE, 2" SCH.40, 2.0 LONG</t>
  </si>
  <si>
    <t>Dia 60.3 x 3.91 thk</t>
  </si>
  <si>
    <t>PLATE, 13 x 32 x 127 [1/2 x 1 1/4 x 5]</t>
  </si>
  <si>
    <t>ASTM A572-50 / Q345</t>
  </si>
  <si>
    <t>PLATE, 13 x 101 x 160 [1/2 x 4 x 6 5/16]</t>
  </si>
  <si>
    <t>WELDMENT, 30 FT LIFT ARM, PC4100</t>
  </si>
  <si>
    <t>DT34647</t>
  </si>
  <si>
    <t>PLATE, LIFT ARM RIB GUSSET, PC4100</t>
  </si>
  <si>
    <t>DT34648</t>
  </si>
  <si>
    <t>PLATE, LIFT ARM LINK, PC4100</t>
  </si>
  <si>
    <t>DT34657</t>
  </si>
  <si>
    <t>SET COLLAR, 2 IN, PC4100 
ROUND BAR, 76.20OD, 22.23 LG</t>
  </si>
  <si>
    <t>BROWNING SCS-2</t>
  </si>
  <si>
    <t>Dia 76</t>
  </si>
  <si>
    <t>DT34649</t>
  </si>
  <si>
    <t>HSS, LIFT ARM FRAME STIFFENER, PC4100</t>
  </si>
  <si>
    <t>—</t>
  </si>
  <si>
    <t>HSS,150 X 80 X 10 X 1851 LG</t>
  </si>
  <si>
    <t>Rec. Tube</t>
  </si>
  <si>
    <t>EN 10025-2 S355J2</t>
  </si>
  <si>
    <t>150x80x 10thk</t>
  </si>
  <si>
    <t>PLATE, 10 THK, 85 X130</t>
  </si>
  <si>
    <t>PLATE, 6 THK, 88.9 X 140 , PC4100</t>
  </si>
  <si>
    <t>ASTM A516 Gr 70</t>
  </si>
  <si>
    <t>DT34650</t>
  </si>
  <si>
    <t>PLATE, LIFT ARM CAP PLATE, PC4100</t>
  </si>
  <si>
    <t>DT34651</t>
  </si>
  <si>
    <t>PLATE, LIFT ARM, PIPE GUIDE, PC4100</t>
  </si>
  <si>
    <t>HSS 150 X 100 X 12 X 8682 LG, PC4100</t>
  </si>
  <si>
    <t>DT34652</t>
  </si>
  <si>
    <t>LIFT ARM COLLAR STOP PLATE, PC4100</t>
  </si>
  <si>
    <t>PIPE, 1" SCH 160 x 3353 LG, PC4100</t>
  </si>
  <si>
    <t>EN 10216-2 P265GH</t>
  </si>
  <si>
    <t>Dia 33.4x 6.35</t>
  </si>
  <si>
    <t>PIPE, 1" SCH 160 x 4572 LG, PC4100</t>
  </si>
  <si>
    <t>H13386</t>
  </si>
  <si>
    <t>COUPLING, 1, 6000, SKT WELD</t>
  </si>
  <si>
    <t>PIPE, 1" SCH 160 x 3048 LG, PC4100</t>
  </si>
  <si>
    <t>PIPE, 1" SCH 160 x 4877 LG</t>
  </si>
  <si>
    <t>DT34668</t>
  </si>
  <si>
    <t>HSS, SPEAR TUBE ENTRY, PC4100 
HSS, 120 X 80 X 5 X 914 LG</t>
  </si>
  <si>
    <t>ASTM A516 Gr. 70 / S275JR</t>
  </si>
  <si>
    <t>120x80x 5thk</t>
  </si>
  <si>
    <t>DT34667</t>
  </si>
  <si>
    <t>HSS, INTERMEDIATE SPEAR TUBE, PC4100</t>
  </si>
  <si>
    <t>DT34666</t>
  </si>
  <si>
    <t>HSS, SPEAR TUBE EXIT, PC4100</t>
  </si>
  <si>
    <t>DT34665</t>
  </si>
  <si>
    <t>ROUNDBAR, LIFT ARM ENTRY GUIDE, PC4100</t>
  </si>
  <si>
    <t>A36 / S275JR</t>
  </si>
  <si>
    <t>HSS 120 X 80 X 5 X 125 LG</t>
  </si>
  <si>
    <t>DT34664</t>
  </si>
  <si>
    <t>PLATE, SPEAR PIVOT EAR, PC4100</t>
  </si>
  <si>
    <t>A36 / S275JR / SA 516 GR.70</t>
  </si>
  <si>
    <t>DT34663</t>
  </si>
  <si>
    <t>SPEAR WEAR PAD MOUNT, PC4100</t>
  </si>
  <si>
    <t>DT34662</t>
  </si>
  <si>
    <t>GORETRACK MOUNT PLATE, PC4100</t>
  </si>
  <si>
    <t>WELDMENT,42D CARRIER REAR, PC4100</t>
  </si>
  <si>
    <t>DT34528</t>
  </si>
  <si>
    <t>PLATE, CARRIER MASTER RIB, PC4100</t>
  </si>
  <si>
    <t>DT34752</t>
  </si>
  <si>
    <t>DT34753</t>
  </si>
  <si>
    <t>DT34754</t>
  </si>
  <si>
    <t>PLATE, REAR ROLLER EAR, PC4100</t>
  </si>
  <si>
    <t>DT34755</t>
  </si>
  <si>
    <t>PLATE, TENSIONER ASSEMBLY MOUNT, PC4100</t>
  </si>
  <si>
    <t>DT34756</t>
  </si>
  <si>
    <t>PLATE, REAR SKATE SUPPORT, PC4100</t>
  </si>
  <si>
    <t>DT34757</t>
  </si>
  <si>
    <t>SET COLLAR, Ø1.75", PC4100</t>
  </si>
  <si>
    <t>AISI C1045</t>
  </si>
  <si>
    <t>Dia 72</t>
  </si>
  <si>
    <t>DT34758</t>
  </si>
  <si>
    <t>HSS, PULLY GUARD, PC4100</t>
  </si>
  <si>
    <t>200 X 150 X 12thk</t>
  </si>
  <si>
    <t>DT34759</t>
  </si>
  <si>
    <t>PLATE, BACK AXLE CAP, PC4100</t>
  </si>
  <si>
    <t>FLAT BAR, 25 x 50 x 50 LG [1 x 2 x 2]</t>
  </si>
  <si>
    <t>DT34550</t>
  </si>
  <si>
    <t>GUSSET, FLANGE, CARRIER, PC4100</t>
  </si>
  <si>
    <t>DT34760</t>
  </si>
  <si>
    <t>PLATE, REAR ROLLER EAR INNER CAP, PC4100</t>
  </si>
  <si>
    <t>DT34537</t>
  </si>
  <si>
    <t>PLATE, KICKER GUSSET, PC4100</t>
  </si>
  <si>
    <t>DT34546</t>
  </si>
  <si>
    <t>PLATE, CARRIER FLANGE PLATE, PC4100</t>
  </si>
  <si>
    <t>DT34547</t>
  </si>
  <si>
    <t>PLATE, CARRIER FLANGE PLATE GUSSET, PC4100</t>
  </si>
  <si>
    <t>D</t>
  </si>
  <si>
    <t>FRONT CARRIER SHIPPING MOUNT</t>
  </si>
  <si>
    <t>PLATE, 3/8 x 13 x 36 [10 x 330 x 914]</t>
  </si>
  <si>
    <t>G40.21-44W/AG72 G50</t>
  </si>
  <si>
    <t>PLATE, 3/8 x 16 1/4 x 13 [10 x 413 x 330]</t>
  </si>
  <si>
    <t>C</t>
  </si>
  <si>
    <t>BACK CARRIER SHIPPING BRACKET</t>
  </si>
  <si>
    <t>BC SHIPPING MOUNT</t>
  </si>
  <si>
    <t>BC SHIPPING SUPPORT</t>
  </si>
  <si>
    <t>BC SHIPPING GUSSET</t>
  </si>
  <si>
    <t xml:space="preserve">BRACKET MASTER SHIPPING </t>
  </si>
  <si>
    <t>CATWALK CONNECTION PLATE</t>
  </si>
  <si>
    <t>EAR BRACKET</t>
  </si>
  <si>
    <t>BRACKET, MASTER SHIPPING 2</t>
  </si>
  <si>
    <t>PartID</t>
  </si>
  <si>
    <t>WELDMENT, R2D CATWALK, LEV 2, PC4100</t>
  </si>
  <si>
    <t>AY30012</t>
  </si>
  <si>
    <t>WELDMENT, PANEL GUARD, PC4100</t>
  </si>
  <si>
    <t>DT34384</t>
  </si>
  <si>
    <t>PLATE, SLAVE SKID CHANNEL CAP, PC4100</t>
  </si>
  <si>
    <t>DT34383</t>
  </si>
  <si>
    <t>HSS, RIGHT SIDE LASER POST, PC4100</t>
  </si>
  <si>
    <t>DT34381</t>
  </si>
  <si>
    <t>HSS, LEFT SIDE LASER POST, PC4100</t>
  </si>
  <si>
    <t>DT34382</t>
  </si>
  <si>
    <t>CHANNEL, UPN200 X 464 LG</t>
  </si>
  <si>
    <t>CHANNEL, UPN200 X 4321.175 LG</t>
  </si>
  <si>
    <t>BAR, FLAT, 30 X 10 X 622 LG</t>
  </si>
  <si>
    <t>COUPLING, HALF, 3/4" NPT</t>
  </si>
  <si>
    <t>CHANNEL, UPN200 X 3025 LG</t>
  </si>
  <si>
    <t>WELDMENT, HINGED FLOOR MNT, PC4100</t>
  </si>
  <si>
    <t>AY30014</t>
  </si>
  <si>
    <t>HSS, 50 X 50 X 5 X 184 LG</t>
  </si>
  <si>
    <t>HSS, 50 X 50 X 5 X 558 LG</t>
  </si>
  <si>
    <t>HSS, 50 X 50 X 5 X 520 LG</t>
  </si>
  <si>
    <t>50x50x 5thk</t>
  </si>
  <si>
    <t>PLATE, 116X76X6</t>
  </si>
  <si>
    <t>HSS,100 X 80 X 5X 864 LG</t>
  </si>
  <si>
    <t>100x80x 5thk</t>
  </si>
  <si>
    <t>PLATE, HINGED FLOOR FORMING CAP, PC4100</t>
  </si>
  <si>
    <t>PLATE, HINGED FLOOR MNT, PC4100</t>
  </si>
  <si>
    <t>PLATE, HINGE FLOOR MOUNT SHORT, PC4100</t>
  </si>
  <si>
    <t>PLATE, 6 x 232 x 749, PC4100</t>
  </si>
  <si>
    <t>DT34373</t>
  </si>
  <si>
    <t>DT34339</t>
  </si>
  <si>
    <t>DT34374</t>
  </si>
  <si>
    <t>DT34366</t>
  </si>
  <si>
    <t>DT34379</t>
  </si>
  <si>
    <t>A36/275JR</t>
  </si>
  <si>
    <t>ASTM A572 Gr. 50 /A516 Gr.70/S355JR</t>
  </si>
  <si>
    <t>BAR, RD, 12 x 25 LG, PC4100</t>
  </si>
  <si>
    <t>PLATE, ROLL SUPPORT, PC4100</t>
  </si>
  <si>
    <t>DT34325</t>
  </si>
  <si>
    <t>MID FLOOR HANGER FRONT, PC4100</t>
  </si>
  <si>
    <t>DT34333</t>
  </si>
  <si>
    <t>FLOOR, WIDE HANGER, PC4100</t>
  </si>
  <si>
    <t>DT34386</t>
  </si>
  <si>
    <t>HSS, HORIZONTAL ALIGNER, PC4100</t>
  </si>
  <si>
    <t>DT34385</t>
  </si>
  <si>
    <t>BAR, FLAT, 51 X 25 X 400 LG</t>
  </si>
  <si>
    <t>UNISTRUCT, 41 X 22 X 368 LG</t>
  </si>
  <si>
    <t>DT34360</t>
  </si>
  <si>
    <t>L4</t>
  </si>
  <si>
    <t>HSS, 80 X 80 X 10 LG</t>
  </si>
  <si>
    <t>PLATE, 97X60X6</t>
  </si>
  <si>
    <t>80x80x 10thk</t>
  </si>
  <si>
    <t>PIPE, 4 SCH 80 X 628 LG</t>
  </si>
  <si>
    <t>Dia 114.3 x 8.56 thk</t>
  </si>
  <si>
    <t>W-BEAM, REAR CARRIER BEAM - DS, PC4100 
W-BEAM, 190 X 450 X 3600</t>
  </si>
  <si>
    <t>NPB 450x190x67.16</t>
  </si>
  <si>
    <t>NPB 600x 220x 107.57</t>
  </si>
  <si>
    <t>IS 2062
E 350 A</t>
  </si>
  <si>
    <t>ISMC 200 x 75</t>
  </si>
  <si>
    <t>CARRIER RAIL BOTTOM STIFFNER, DS, PC4100
UPN80 X 45</t>
  </si>
  <si>
    <t>CARRIER RAIL BOTTOM STIFFNER, ODS, PC4100
UPN80 X 45</t>
  </si>
  <si>
    <t>YST 310</t>
  </si>
  <si>
    <t>Apollo</t>
  </si>
  <si>
    <t>E250 A/BR</t>
  </si>
  <si>
    <t>E350 A/BR</t>
  </si>
  <si>
    <t>Material</t>
  </si>
  <si>
    <t>200x150x 12thk</t>
  </si>
  <si>
    <t>All</t>
  </si>
  <si>
    <t>Rate/Kg</t>
  </si>
  <si>
    <t xml:space="preserve">MOQ Weight </t>
  </si>
  <si>
    <t xml:space="preserve">Cal. Weight </t>
  </si>
  <si>
    <t>Rec Tube</t>
  </si>
  <si>
    <t>Sum of Total
 Weight (Kg)</t>
  </si>
  <si>
    <t>Sum of
 Gross Wt (kg)</t>
  </si>
  <si>
    <t>E350 A</t>
  </si>
  <si>
    <t>Sail (IS 808:2021 E350)</t>
  </si>
  <si>
    <r>
      <rPr>
        <strike/>
        <sz val="12"/>
        <color theme="1"/>
        <rFont val="Calibri"/>
        <family val="2"/>
      </rPr>
      <t>UPN80 X 45/</t>
    </r>
    <r>
      <rPr>
        <sz val="12"/>
        <color theme="1"/>
        <rFont val="Calibri"/>
        <family val="2"/>
      </rPr>
      <t>ISMC 75x40</t>
    </r>
  </si>
  <si>
    <t>E250 A/</t>
  </si>
  <si>
    <r>
      <t>80x80x</t>
    </r>
    <r>
      <rPr>
        <strike/>
        <sz val="12"/>
        <color theme="1"/>
        <rFont val="Calibri"/>
        <family val="2"/>
      </rPr>
      <t xml:space="preserve"> 10thk </t>
    </r>
    <r>
      <rPr>
        <sz val="12"/>
        <color theme="1"/>
        <rFont val="Calibri"/>
        <family val="2"/>
      </rPr>
      <t>x 6 thk</t>
    </r>
  </si>
  <si>
    <r>
      <rPr>
        <strike/>
        <sz val="12"/>
        <color theme="1"/>
        <rFont val="Calibri"/>
        <family val="2"/>
      </rPr>
      <t>100x80x 5thk</t>
    </r>
    <r>
      <rPr>
        <sz val="12"/>
        <color theme="1"/>
        <rFont val="Calibri"/>
        <family val="2"/>
      </rPr>
      <t xml:space="preserve">
120x60x5 thk</t>
    </r>
  </si>
  <si>
    <t>Apollo Make</t>
  </si>
  <si>
    <t>JSIL</t>
  </si>
  <si>
    <t>SAIL</t>
  </si>
  <si>
    <t>Yash Pipe</t>
  </si>
  <si>
    <t>Collective 
Weight</t>
  </si>
  <si>
    <t>E250 A</t>
  </si>
  <si>
    <t>IS 2062 
E350 A/BO</t>
  </si>
  <si>
    <t>IS 2062 
E250 A/BO</t>
  </si>
  <si>
    <t>Rolled Section
E350A</t>
  </si>
  <si>
    <t>Rolled Section
E250A</t>
  </si>
  <si>
    <t>ISMC 200x 75</t>
  </si>
  <si>
    <t xml:space="preserve">JSPL </t>
  </si>
  <si>
    <t>Sum of Gross Wt (kg)</t>
  </si>
  <si>
    <t>IS 2062 
E250 A/BR</t>
  </si>
  <si>
    <t>IS 2062 
E350 A/BR</t>
  </si>
  <si>
    <t>9.1.1</t>
  </si>
  <si>
    <t>9.1.2</t>
  </si>
  <si>
    <t>9.1.3</t>
  </si>
  <si>
    <t>9.1.4</t>
  </si>
  <si>
    <t>9.1.5</t>
  </si>
  <si>
    <t>10.4.1</t>
  </si>
  <si>
    <t>10.4.2</t>
  </si>
  <si>
    <t>13A</t>
  </si>
  <si>
    <t>13B</t>
  </si>
  <si>
    <t>13C</t>
  </si>
  <si>
    <t>13D</t>
  </si>
  <si>
    <t>13A.1</t>
  </si>
  <si>
    <t>13A.2</t>
  </si>
  <si>
    <t>13B.1</t>
  </si>
  <si>
    <t>13B.2</t>
  </si>
  <si>
    <t>13B.3</t>
  </si>
  <si>
    <t>13C.1</t>
  </si>
  <si>
    <t>13C.2</t>
  </si>
  <si>
    <t>13D.1</t>
  </si>
  <si>
    <t>13D.2</t>
  </si>
  <si>
    <t>BOM All RFQ PACKAGE PC4100</t>
  </si>
  <si>
    <t>All RFQ PACKAGE PC4100</t>
  </si>
  <si>
    <t>00</t>
  </si>
  <si>
    <t>1A</t>
  </si>
  <si>
    <t>1B</t>
  </si>
  <si>
    <t>1C</t>
  </si>
  <si>
    <t>1D</t>
  </si>
  <si>
    <t>1E</t>
  </si>
  <si>
    <t>1F</t>
  </si>
  <si>
    <t>1G</t>
  </si>
  <si>
    <t>1H</t>
  </si>
  <si>
    <t>1I</t>
  </si>
  <si>
    <t>1J</t>
  </si>
  <si>
    <t>1K</t>
  </si>
  <si>
    <t>1K.1</t>
  </si>
  <si>
    <t>1K.2</t>
  </si>
  <si>
    <t>1K.3</t>
  </si>
  <si>
    <t>1K.4</t>
  </si>
  <si>
    <t>1K.5</t>
  </si>
  <si>
    <t>1E.1</t>
  </si>
  <si>
    <t>1E.2</t>
  </si>
  <si>
    <t>1D.1</t>
  </si>
  <si>
    <t>1D.2</t>
  </si>
  <si>
    <t>1B.1</t>
  </si>
  <si>
    <t>1B.2</t>
  </si>
  <si>
    <t>1B.3</t>
  </si>
  <si>
    <t>1A.1</t>
  </si>
  <si>
    <t>1A.2</t>
  </si>
  <si>
    <t>1A.3</t>
  </si>
  <si>
    <t>1A.4</t>
  </si>
  <si>
    <t>1A.5</t>
  </si>
  <si>
    <t>1A.5.1</t>
  </si>
  <si>
    <t>1A.5.2</t>
  </si>
  <si>
    <t>1A.6</t>
  </si>
  <si>
    <t>1A.7</t>
  </si>
  <si>
    <t>1A.8</t>
  </si>
  <si>
    <t>1A.9</t>
  </si>
  <si>
    <t>1A.1.1</t>
  </si>
  <si>
    <t>1A.1.2</t>
  </si>
  <si>
    <t>1A.1.5</t>
  </si>
  <si>
    <t>1A.1.3</t>
  </si>
  <si>
    <t>1A.1.4</t>
  </si>
  <si>
    <t>1A.1.6</t>
  </si>
  <si>
    <t>1A.1.7</t>
  </si>
  <si>
    <t>1A.1.8</t>
  </si>
  <si>
    <t>1A.1.9</t>
  </si>
  <si>
    <t>1A.1.10</t>
  </si>
  <si>
    <t>1A.1.11</t>
  </si>
  <si>
    <t>1A.1.12</t>
  </si>
  <si>
    <t>1A.1.13</t>
  </si>
  <si>
    <t>1A.1.14</t>
  </si>
  <si>
    <t>1A.1.15</t>
  </si>
  <si>
    <t>1A.1.16</t>
  </si>
  <si>
    <t>1A.1.17</t>
  </si>
  <si>
    <t>1A.1.18</t>
  </si>
  <si>
    <t>1A.1.19</t>
  </si>
  <si>
    <t>1A.1.20</t>
  </si>
  <si>
    <t>1A.1.21</t>
  </si>
  <si>
    <t>1A.1.22</t>
  </si>
  <si>
    <t>1A.1.23</t>
  </si>
  <si>
    <t>1A.1.24</t>
  </si>
  <si>
    <t>1A.1.25</t>
  </si>
  <si>
    <t>1A.1.26</t>
  </si>
  <si>
    <t>1A.1.27</t>
  </si>
  <si>
    <t>1A.1.1.1</t>
  </si>
  <si>
    <t>1A.1.1.2</t>
  </si>
  <si>
    <t>1A.1.1.3</t>
  </si>
  <si>
    <t>1A.1.1.4</t>
  </si>
  <si>
    <t>1A.1.1.5</t>
  </si>
  <si>
    <t>1A.1.1.6</t>
  </si>
  <si>
    <t>1A.1.1.7</t>
  </si>
  <si>
    <t>1A.1.1.8</t>
  </si>
  <si>
    <t>1A.1.1.9</t>
  </si>
  <si>
    <t>1A.1.1.10</t>
  </si>
  <si>
    <t>1A.1.1.11</t>
  </si>
  <si>
    <t>1A.1.1.12</t>
  </si>
  <si>
    <t>1A.1.2.1</t>
  </si>
  <si>
    <t>1A.1.2.2</t>
  </si>
  <si>
    <t>1A.1.2.3</t>
  </si>
  <si>
    <t>1A.1.2.4</t>
  </si>
  <si>
    <t>1A.1.2.5</t>
  </si>
  <si>
    <t>1A.1.2.6</t>
  </si>
  <si>
    <t>1A.1.2.7</t>
  </si>
  <si>
    <t>1A.1.2.8</t>
  </si>
  <si>
    <t>1A.1.2.9</t>
  </si>
  <si>
    <t>1A.1.2.10</t>
  </si>
  <si>
    <t>1A.1.2.11</t>
  </si>
  <si>
    <t>1A.1.2.12</t>
  </si>
  <si>
    <t>1A.1.2.13</t>
  </si>
  <si>
    <t>1A.1.5.1</t>
  </si>
  <si>
    <t>1A.1.5.2</t>
  </si>
  <si>
    <t>Assy No</t>
  </si>
  <si>
    <t>Rod IS 2062 
E250 A/BR</t>
  </si>
  <si>
    <t>IS 2062: E350 A/BR</t>
  </si>
  <si>
    <t>IS 2062: E250 A/BR</t>
  </si>
  <si>
    <t>Yash 6m</t>
  </si>
  <si>
    <r>
      <rPr>
        <strike/>
        <sz val="12"/>
        <color theme="1"/>
        <rFont val="Calibri"/>
        <family val="2"/>
      </rPr>
      <t>150x80x 10thk</t>
    </r>
    <r>
      <rPr>
        <sz val="12"/>
        <color theme="1"/>
        <rFont val="Calibri"/>
        <family val="2"/>
      </rPr>
      <t xml:space="preserve"> 
150x100x 8thk</t>
    </r>
  </si>
  <si>
    <t xml:space="preserve">NOTES:- Joint need to make while welding </t>
  </si>
  <si>
    <r>
      <rPr>
        <strike/>
        <sz val="12"/>
        <color theme="1"/>
        <rFont val="Calibri"/>
        <family val="2"/>
      </rPr>
      <t xml:space="preserve">120x80x 5thk 
</t>
    </r>
    <r>
      <rPr>
        <sz val="12"/>
        <color theme="1"/>
        <rFont val="Calibri"/>
        <family val="2"/>
      </rPr>
      <t>120x60x 5thk</t>
    </r>
  </si>
  <si>
    <t>ROD E250A/BR</t>
  </si>
  <si>
    <t>NOTES:-</t>
  </si>
  <si>
    <t>Rolled Section E350A/BR</t>
  </si>
  <si>
    <t>ITEM-2</t>
  </si>
  <si>
    <t>ITEM-3</t>
  </si>
  <si>
    <t>ITEM-4</t>
  </si>
  <si>
    <t>ITEM-5</t>
  </si>
  <si>
    <t xml:space="preserve">Shaft Cost /Fastener/ BOP </t>
  </si>
  <si>
    <t>ITEM-6</t>
  </si>
  <si>
    <t>ITEM-7</t>
  </si>
  <si>
    <t>ITEM-8</t>
  </si>
  <si>
    <t>ITEM-9</t>
  </si>
  <si>
    <t>ITEM-10</t>
  </si>
  <si>
    <t>ITEM-11</t>
  </si>
  <si>
    <t>ITEM-12</t>
  </si>
  <si>
    <t>ITEM-13</t>
  </si>
  <si>
    <t>Yash</t>
  </si>
  <si>
    <t>Stamping Cost (HRS)/Straightning</t>
  </si>
  <si>
    <t>Testing Templates /Guided Rod</t>
  </si>
  <si>
    <t xml:space="preserve">Rotation arrangement </t>
  </si>
  <si>
    <t xml:space="preserve">Templates </t>
  </si>
  <si>
    <r>
      <rPr>
        <strike/>
        <sz val="12"/>
        <rFont val="Calibri"/>
        <family val="2"/>
      </rPr>
      <t xml:space="preserve">150 X 100 X 12thk </t>
    </r>
    <r>
      <rPr>
        <sz val="12"/>
        <rFont val="Calibri"/>
        <family val="2"/>
      </rPr>
      <t xml:space="preserve">
150x100x 8thk</t>
    </r>
  </si>
  <si>
    <t>WELDMENT, PC4100,42' CATWALK, RAMP B</t>
  </si>
  <si>
    <t>AY30131</t>
  </si>
  <si>
    <t>WELDMENT, PC4100, 42' CATWALK, RAMP</t>
  </si>
  <si>
    <t>14.1.1</t>
  </si>
  <si>
    <t>DT34598</t>
  </si>
  <si>
    <t>PLATE, RAMP BOTTOM PLATE</t>
  </si>
  <si>
    <t xml:space="preserve">Split need to make to achive the length </t>
  </si>
  <si>
    <t>14.1.2</t>
  </si>
  <si>
    <t>DT34599</t>
  </si>
  <si>
    <t>PLATE, RAMP RIB</t>
  </si>
  <si>
    <t>14.1.3</t>
  </si>
  <si>
    <t>DT34600</t>
  </si>
  <si>
    <t>PLATE, RAMP WINCH SUPPORT</t>
  </si>
  <si>
    <t>14.1.4</t>
  </si>
  <si>
    <t>DT34604</t>
  </si>
  <si>
    <t>GUSSET, 191mm [7 1/2"] CHANNEL</t>
  </si>
  <si>
    <t>ASTM A572 Gr. 50 /A516 Gr.70/ S355JR</t>
  </si>
  <si>
    <t>14.1.5</t>
  </si>
  <si>
    <t>DT34605</t>
  </si>
  <si>
    <t>GUSSET, DS, RAMP CHANNEL</t>
  </si>
  <si>
    <t>14.1.6</t>
  </si>
  <si>
    <t>DT34606</t>
  </si>
  <si>
    <t>CHANNEL, RAMP CARRIER LEAD IN - LH</t>
  </si>
  <si>
    <t>UPN 160 X 65 X 18.8</t>
  </si>
  <si>
    <t>14.1.7</t>
  </si>
  <si>
    <t>DT34607</t>
  </si>
  <si>
    <t>CHANNEL, RAMP CARRIER LEAD IN - RH</t>
  </si>
  <si>
    <t>14.1.8</t>
  </si>
  <si>
    <t>DT34608</t>
  </si>
  <si>
    <t>CHANNEL, RAMP MID BOTTOM RAIL</t>
  </si>
  <si>
    <t>14.1.9</t>
  </si>
  <si>
    <t>DT34609</t>
  </si>
  <si>
    <t>CHANNEL, RAMP BOTTOM RAIL</t>
  </si>
  <si>
    <t>14.1.10</t>
  </si>
  <si>
    <t>HSS, 200 X 150 X 12 X 1584 LG</t>
  </si>
  <si>
    <t>14.1.11</t>
  </si>
  <si>
    <t>HSS, 200 X 150 X 12 X 1956 LG</t>
  </si>
  <si>
    <t>14.1.12</t>
  </si>
  <si>
    <t>HSS, 150 X 50 X 6 X 282 LG</t>
  </si>
  <si>
    <t>14.1.13</t>
  </si>
  <si>
    <t>FB 150 X 12 X 265 LONG</t>
  </si>
  <si>
    <t>14.1.14</t>
  </si>
  <si>
    <t>CHANNEL, UPN160X12979 LG</t>
  </si>
  <si>
    <t>14.1.15</t>
  </si>
  <si>
    <t>PLATE, 13 X 130 X 180</t>
  </si>
  <si>
    <t>EN 10025-2 S355JR</t>
  </si>
  <si>
    <t>AY30132</t>
  </si>
  <si>
    <t>WELDMENT, RAMP PIVOT, PC4100</t>
  </si>
  <si>
    <t xml:space="preserve"> A572 Gr. 50</t>
  </si>
  <si>
    <t>DT34615</t>
  </si>
  <si>
    <t>SAFETY LOOP, PC4100</t>
  </si>
  <si>
    <t xml:space="preserve"> AISI C1045</t>
  </si>
  <si>
    <t>Dia 30</t>
  </si>
  <si>
    <t>DT34616</t>
  </si>
  <si>
    <t>PLATE, RAMP CARRIER LEAD-IN FISH PLATE,</t>
  </si>
  <si>
    <t>PLATE, RAMP RIB, PC4100</t>
  </si>
  <si>
    <t>DT34617</t>
  </si>
  <si>
    <t>STAIR RETAINER PLATE, PC4100</t>
  </si>
  <si>
    <t xml:space="preserve"> ASTM A572 Gr.</t>
  </si>
  <si>
    <t xml:space="preserve">150x50x 6thk </t>
  </si>
  <si>
    <t>150x100x 12thk</t>
  </si>
  <si>
    <r>
      <rPr>
        <strike/>
        <sz val="12"/>
        <color theme="1"/>
        <rFont val="Calibri"/>
        <family val="2"/>
      </rPr>
      <t>150x100x 12thk</t>
    </r>
    <r>
      <rPr>
        <sz val="12"/>
        <color theme="1"/>
        <rFont val="Calibri"/>
        <family val="2"/>
      </rPr>
      <t xml:space="preserve"> 
150x100x 8thk</t>
    </r>
  </si>
  <si>
    <t>IS 2062
 E250 A/BR</t>
  </si>
  <si>
    <r>
      <rPr>
        <strike/>
        <sz val="12"/>
        <color theme="1"/>
        <rFont val="Calibri"/>
        <family val="2"/>
      </rPr>
      <t xml:space="preserve">UPN80 X 45/
</t>
    </r>
    <r>
      <rPr>
        <sz val="12"/>
        <color theme="1"/>
        <rFont val="Calibri"/>
        <family val="2"/>
      </rPr>
      <t>ISMC 75x40</t>
    </r>
  </si>
  <si>
    <t>Gross 
 Weight (Kg)</t>
  </si>
  <si>
    <t xml:space="preserve"> E250 A/BR</t>
  </si>
  <si>
    <t>PLATE,RAMP PIVOT BUSHING, PC4100</t>
  </si>
  <si>
    <t>RAMP PIVOT, PC4100</t>
  </si>
  <si>
    <t>PLATE,RAMP PIVOT CAP 1, PC4100</t>
  </si>
  <si>
    <t>PLATE,RAMP PIVOT CAP 2, PC4100</t>
  </si>
  <si>
    <t>PLATE,RAMP PIVOT CAP 3, PC4100</t>
  </si>
  <si>
    <t>14.2.1</t>
  </si>
  <si>
    <t>14.2.2</t>
  </si>
  <si>
    <t>14.2.3</t>
  </si>
  <si>
    <t>14.2.4</t>
  </si>
  <si>
    <t>14.2.5</t>
  </si>
  <si>
    <t>DT34610</t>
  </si>
  <si>
    <t>DT34611</t>
  </si>
  <si>
    <t>DT34612</t>
  </si>
  <si>
    <t>DT34613</t>
  </si>
  <si>
    <t>DT34614</t>
  </si>
  <si>
    <t>Dia 142</t>
  </si>
  <si>
    <t>R10, 152L</t>
  </si>
  <si>
    <t>Cutting 
Perimeter(M)</t>
  </si>
  <si>
    <t>ROD</t>
  </si>
  <si>
    <t>ITEM-14</t>
  </si>
  <si>
    <t>S.NO</t>
  </si>
  <si>
    <t xml:space="preserve">Per Pcs </t>
  </si>
  <si>
    <t>FOR EQS 25% margin</t>
  </si>
  <si>
    <t>estimated</t>
  </si>
  <si>
    <t>UPN 80 X 45</t>
  </si>
  <si>
    <t>Rate /Meter</t>
  </si>
  <si>
    <t>100x80x6</t>
  </si>
  <si>
    <t>120x80x6.5</t>
  </si>
  <si>
    <t>150x100x11to12</t>
  </si>
  <si>
    <t>150x80x9.5 to 10thk</t>
  </si>
  <si>
    <t>Rate/kg</t>
  </si>
  <si>
    <t>MOQ
 Weight</t>
  </si>
  <si>
    <t>Calculated Gross Wt.</t>
  </si>
  <si>
    <t>Size
Remarks</t>
  </si>
  <si>
    <t>Cost On
 Calculated Gross</t>
  </si>
  <si>
    <t>Hi tech</t>
  </si>
  <si>
    <t>Pipe Sind</t>
  </si>
  <si>
    <t>Total For Pipe</t>
  </si>
  <si>
    <t>Total For Tubes</t>
  </si>
  <si>
    <r>
      <rPr>
        <strike/>
        <sz val="12"/>
        <color theme="1"/>
        <rFont val="Calibri"/>
        <family val="2"/>
      </rPr>
      <t xml:space="preserve">UPN 160 X 65 X 18.8 </t>
    </r>
    <r>
      <rPr>
        <sz val="12"/>
        <color theme="1"/>
        <rFont val="Calibri"/>
        <family val="2"/>
      </rPr>
      <t xml:space="preserve">
ISMC 175x75x19.6</t>
    </r>
  </si>
  <si>
    <t xml:space="preserve">ASTM A572 Gr. 50 / A516 Gr.70 / S355JR/ G40.21-44W </t>
  </si>
  <si>
    <t>EN 10025-2 
S355J2</t>
  </si>
  <si>
    <t>ASTM A516 Gr.70/S275JR</t>
  </si>
  <si>
    <t>EN 19</t>
  </si>
  <si>
    <t>Gi Sheet 
2mm thk</t>
  </si>
  <si>
    <t xml:space="preserve">Vendor </t>
  </si>
  <si>
    <t>Weight /Meter</t>
  </si>
  <si>
    <t>Tube</t>
  </si>
  <si>
    <t>W-BEAM, 190 X 450</t>
  </si>
  <si>
    <t>NPB 450x190x 67.16</t>
  </si>
  <si>
    <t xml:space="preserve">W-BEAM 600 X 220 </t>
  </si>
  <si>
    <t>ISMC 75x40</t>
  </si>
  <si>
    <t>ISMC 175x 75</t>
  </si>
  <si>
    <t>Alternate size (mm)
(As per indian availablity)</t>
  </si>
  <si>
    <t>80x80x 8thk</t>
  </si>
  <si>
    <t>Available as required</t>
  </si>
  <si>
    <t>UPN 200 x 75</t>
  </si>
  <si>
    <t xml:space="preserve">UPN 160 X 65 </t>
  </si>
  <si>
    <t>Or builtup to achive the Dimension as per UPN 160 with suitable thickness and material</t>
  </si>
  <si>
    <t>Actual Quotated (10-06-2025) Jigs &amp; Fixture</t>
  </si>
  <si>
    <t>Actual Quotated (10-06-2025) Engg.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</si>
</sst>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  <numFmt numFmtId="167" formatCode="0.0%"/>
  </numFmts>
  <fonts count="4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8" tint="-0.249977111117893"/>
      <name val="Arial"/>
      <family val="2"/>
    </font>
    <font>
      <b/>
      <sz val="10"/>
      <color rgb="FF0000FF"/>
      <name val="Arial"/>
      <family val="2"/>
    </font>
    <font>
      <b/>
      <i/>
      <sz val="10"/>
      <color rgb="FF3333FF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10"/>
      <color rgb="FF3333FF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b/>
      <sz val="11"/>
      <name val="Arial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trike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0"/>
      <color rgb="FFFFC000"/>
      <name val="Arial"/>
      <family val="2"/>
    </font>
    <font>
      <b/>
      <sz val="10"/>
      <color rgb="FFFFC000"/>
      <name val="Arial"/>
      <family val="2"/>
    </font>
    <font>
      <strike/>
      <sz val="12"/>
      <name val="Calibri"/>
      <family val="2"/>
    </font>
    <font>
      <sz val="12"/>
      <color rgb="FFFFFF00"/>
      <name val="Calibri"/>
      <family val="2"/>
    </font>
    <font>
      <sz val="11"/>
      <color theme="1"/>
      <name val="Calibri"/>
    </font>
    <font>
      <sz val="12"/>
      <color theme="1"/>
      <name val="Calibri"/>
    </font>
    <font>
      <b/>
      <sz val="10"/>
      <color theme="8" tint="0.3999755851924192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Calibri"/>
      <family val="2"/>
    </font>
    <font>
      <b/>
      <sz val="10"/>
      <name val="Aptos Narrow"/>
      <family val="2"/>
      <scheme val="minor"/>
    </font>
    <font>
      <sz val="12"/>
      <color rgb="FF222222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49992370372631"/>
        <bgColor indexed="26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9" fontId="0" fillId="0" borderId="14" xfId="0" applyNumberFormat="1" applyBorder="1"/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/>
    <xf numFmtId="0" fontId="0" fillId="0" borderId="13" xfId="0" applyBorder="1" applyAlignment="1">
      <alignment horizontal="center" vertical="center"/>
    </xf>
    <xf numFmtId="0" fontId="7" fillId="0" borderId="0" xfId="3" applyFont="1" applyAlignment="1">
      <alignment horizontal="left" vertical="center" wrapText="1"/>
    </xf>
    <xf numFmtId="0" fontId="5" fillId="0" borderId="0" xfId="3"/>
    <xf numFmtId="0" fontId="5" fillId="0" borderId="0" xfId="3" applyAlignment="1">
      <alignment horizontal="left" vertical="center"/>
    </xf>
    <xf numFmtId="0" fontId="7" fillId="0" borderId="22" xfId="3" applyFont="1" applyBorder="1" applyAlignment="1">
      <alignment horizontal="left" vertical="center" wrapText="1"/>
    </xf>
    <xf numFmtId="0" fontId="7" fillId="0" borderId="14" xfId="3" applyFont="1" applyBorder="1" applyAlignment="1">
      <alignment vertical="center" wrapText="1"/>
    </xf>
    <xf numFmtId="0" fontId="5" fillId="0" borderId="0" xfId="3" applyAlignment="1">
      <alignment horizontal="left"/>
    </xf>
    <xf numFmtId="0" fontId="7" fillId="0" borderId="26" xfId="1" applyNumberFormat="1" applyFont="1" applyBorder="1" applyAlignment="1">
      <alignment horizontal="center" vertical="center" wrapText="1"/>
    </xf>
    <xf numFmtId="0" fontId="7" fillId="0" borderId="14" xfId="3" applyFont="1" applyBorder="1" applyAlignment="1">
      <alignment horizontal="left" vertical="center" wrapText="1"/>
    </xf>
    <xf numFmtId="166" fontId="7" fillId="0" borderId="26" xfId="1" applyNumberFormat="1" applyFont="1" applyBorder="1" applyAlignment="1">
      <alignment horizontal="center" vertical="center" wrapText="1"/>
    </xf>
    <xf numFmtId="1" fontId="8" fillId="0" borderId="0" xfId="3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7" fillId="9" borderId="2" xfId="3" applyNumberFormat="1" applyFont="1" applyFill="1" applyBorder="1" applyAlignment="1">
      <alignment horizontal="left" vertical="center" wrapText="1"/>
    </xf>
    <xf numFmtId="1" fontId="7" fillId="10" borderId="30" xfId="3" applyNumberFormat="1" applyFont="1" applyFill="1" applyBorder="1" applyAlignment="1">
      <alignment horizontal="center" vertical="center" wrapText="1"/>
    </xf>
    <xf numFmtId="1" fontId="7" fillId="10" borderId="4" xfId="3" applyNumberFormat="1" applyFont="1" applyFill="1" applyBorder="1" applyAlignment="1">
      <alignment horizontal="center" vertical="center" wrapText="1"/>
    </xf>
    <xf numFmtId="1" fontId="7" fillId="11" borderId="31" xfId="3" applyNumberFormat="1" applyFont="1" applyFill="1" applyBorder="1" applyAlignment="1">
      <alignment horizontal="left" vertical="center" wrapText="1"/>
    </xf>
    <xf numFmtId="2" fontId="5" fillId="0" borderId="19" xfId="3" applyNumberFormat="1" applyBorder="1" applyAlignment="1">
      <alignment horizontal="center" vertical="center"/>
    </xf>
    <xf numFmtId="2" fontId="5" fillId="0" borderId="20" xfId="3" applyNumberFormat="1" applyBorder="1" applyAlignment="1">
      <alignment horizontal="center" vertical="center"/>
    </xf>
    <xf numFmtId="2" fontId="5" fillId="0" borderId="21" xfId="3" applyNumberFormat="1" applyBorder="1" applyAlignment="1">
      <alignment horizontal="center" vertical="center"/>
    </xf>
    <xf numFmtId="1" fontId="5" fillId="0" borderId="32" xfId="3" applyNumberFormat="1" applyBorder="1" applyAlignment="1">
      <alignment horizontal="left" vertical="center" wrapText="1"/>
    </xf>
    <xf numFmtId="2" fontId="5" fillId="0" borderId="14" xfId="3" applyNumberFormat="1" applyBorder="1" applyAlignment="1">
      <alignment horizontal="center" vertical="center"/>
    </xf>
    <xf numFmtId="1" fontId="7" fillId="11" borderId="32" xfId="3" applyNumberFormat="1" applyFont="1" applyFill="1" applyBorder="1" applyAlignment="1">
      <alignment horizontal="left" vertical="center" wrapText="1"/>
    </xf>
    <xf numFmtId="2" fontId="5" fillId="11" borderId="14" xfId="3" applyNumberFormat="1" applyFill="1" applyBorder="1" applyAlignment="1">
      <alignment horizontal="center" vertical="center" wrapText="1"/>
    </xf>
    <xf numFmtId="10" fontId="8" fillId="0" borderId="0" xfId="2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7" fillId="0" borderId="32" xfId="3" applyNumberFormat="1" applyFont="1" applyBorder="1" applyAlignment="1">
      <alignment horizontal="left" vertical="center" wrapText="1"/>
    </xf>
    <xf numFmtId="165" fontId="7" fillId="0" borderId="22" xfId="3" applyNumberFormat="1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horizontal="center" vertical="center" wrapText="1"/>
    </xf>
    <xf numFmtId="1" fontId="7" fillId="11" borderId="34" xfId="3" applyNumberFormat="1" applyFont="1" applyFill="1" applyBorder="1" applyAlignment="1">
      <alignment horizontal="left" vertical="center" wrapText="1"/>
    </xf>
    <xf numFmtId="1" fontId="8" fillId="0" borderId="0" xfId="1" applyNumberFormat="1" applyFont="1" applyAlignment="1">
      <alignment horizontal="left" vertical="center" wrapText="1"/>
    </xf>
    <xf numFmtId="1" fontId="7" fillId="11" borderId="15" xfId="3" applyNumberFormat="1" applyFont="1" applyFill="1" applyBorder="1" applyAlignment="1">
      <alignment horizontal="left" vertical="center" wrapText="1"/>
    </xf>
    <xf numFmtId="2" fontId="9" fillId="0" borderId="0" xfId="3" applyNumberFormat="1" applyFont="1" applyAlignment="1">
      <alignment horizontal="left"/>
    </xf>
    <xf numFmtId="1" fontId="7" fillId="11" borderId="22" xfId="3" applyNumberFormat="1" applyFont="1" applyFill="1" applyBorder="1" applyAlignment="1">
      <alignment horizontal="left" vertical="center" wrapText="1"/>
    </xf>
    <xf numFmtId="1" fontId="10" fillId="11" borderId="14" xfId="3" applyNumberFormat="1" applyFont="1" applyFill="1" applyBorder="1" applyAlignment="1">
      <alignment horizontal="center" vertical="center" wrapText="1"/>
    </xf>
    <xf numFmtId="1" fontId="10" fillId="0" borderId="14" xfId="3" applyNumberFormat="1" applyFont="1" applyBorder="1" applyAlignment="1">
      <alignment horizontal="center" vertical="center" wrapText="1"/>
    </xf>
    <xf numFmtId="166" fontId="7" fillId="0" borderId="26" xfId="1" applyNumberFormat="1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166" fontId="7" fillId="11" borderId="26" xfId="1" applyNumberFormat="1" applyFont="1" applyFill="1" applyBorder="1" applyAlignment="1">
      <alignment horizontal="left" vertical="center" wrapText="1"/>
    </xf>
    <xf numFmtId="166" fontId="7" fillId="11" borderId="39" xfId="1" applyNumberFormat="1" applyFont="1" applyFill="1" applyBorder="1" applyAlignment="1">
      <alignment horizontal="left" vertical="center" wrapText="1"/>
    </xf>
    <xf numFmtId="1" fontId="7" fillId="11" borderId="44" xfId="3" applyNumberFormat="1" applyFont="1" applyFill="1" applyBorder="1" applyAlignment="1">
      <alignment horizontal="left" vertical="center" wrapText="1"/>
    </xf>
    <xf numFmtId="1" fontId="7" fillId="11" borderId="45" xfId="3" applyNumberFormat="1" applyFont="1" applyFill="1" applyBorder="1" applyAlignment="1">
      <alignment horizontal="left" vertical="center" wrapText="1"/>
    </xf>
    <xf numFmtId="1" fontId="7" fillId="0" borderId="45" xfId="3" applyNumberFormat="1" applyFont="1" applyBorder="1" applyAlignment="1">
      <alignment horizontal="left" vertical="center" wrapText="1"/>
    </xf>
    <xf numFmtId="1" fontId="7" fillId="0" borderId="46" xfId="3" applyNumberFormat="1" applyFont="1" applyBorder="1" applyAlignment="1">
      <alignment horizontal="left" vertical="center" wrapText="1"/>
    </xf>
    <xf numFmtId="166" fontId="7" fillId="11" borderId="47" xfId="1" applyNumberFormat="1" applyFont="1" applyFill="1" applyBorder="1" applyAlignment="1">
      <alignment horizontal="left" vertical="center" wrapText="1"/>
    </xf>
    <xf numFmtId="1" fontId="7" fillId="11" borderId="48" xfId="3" applyNumberFormat="1" applyFont="1" applyFill="1" applyBorder="1" applyAlignment="1">
      <alignment horizontal="left" vertical="center" wrapText="1"/>
    </xf>
    <xf numFmtId="2" fontId="7" fillId="11" borderId="14" xfId="3" applyNumberFormat="1" applyFont="1" applyFill="1" applyBorder="1" applyAlignment="1">
      <alignment horizontal="left" vertical="center" wrapText="1"/>
    </xf>
    <xf numFmtId="2" fontId="7" fillId="0" borderId="14" xfId="3" applyNumberFormat="1" applyFont="1" applyBorder="1" applyAlignment="1">
      <alignment horizontal="left" vertical="center" wrapText="1"/>
    </xf>
    <xf numFmtId="2" fontId="7" fillId="0" borderId="23" xfId="3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left" vertical="center" wrapText="1"/>
    </xf>
    <xf numFmtId="1" fontId="12" fillId="14" borderId="48" xfId="3" applyNumberFormat="1" applyFont="1" applyFill="1" applyBorder="1" applyAlignment="1">
      <alignment horizontal="left" vertical="center" wrapText="1"/>
    </xf>
    <xf numFmtId="2" fontId="12" fillId="14" borderId="14" xfId="3" applyNumberFormat="1" applyFont="1" applyFill="1" applyBorder="1" applyAlignment="1">
      <alignment horizontal="left" vertical="center" wrapText="1"/>
    </xf>
    <xf numFmtId="2" fontId="12" fillId="6" borderId="14" xfId="3" applyNumberFormat="1" applyFont="1" applyFill="1" applyBorder="1" applyAlignment="1">
      <alignment horizontal="left" vertical="center" wrapText="1"/>
    </xf>
    <xf numFmtId="2" fontId="12" fillId="6" borderId="23" xfId="3" applyNumberFormat="1" applyFont="1" applyFill="1" applyBorder="1" applyAlignment="1">
      <alignment horizontal="left" vertical="center" wrapText="1"/>
    </xf>
    <xf numFmtId="166" fontId="12" fillId="14" borderId="26" xfId="1" applyNumberFormat="1" applyFont="1" applyFill="1" applyBorder="1" applyAlignment="1">
      <alignment horizontal="left" vertical="center" wrapText="1"/>
    </xf>
    <xf numFmtId="166" fontId="7" fillId="0" borderId="26" xfId="1" applyNumberFormat="1" applyFont="1" applyFill="1" applyBorder="1" applyAlignment="1">
      <alignment horizontal="left" vertical="center" wrapText="1"/>
    </xf>
    <xf numFmtId="1" fontId="13" fillId="0" borderId="0" xfId="3" applyNumberFormat="1" applyFont="1" applyAlignment="1">
      <alignment horizontal="left" vertical="center" wrapText="1"/>
    </xf>
    <xf numFmtId="1" fontId="7" fillId="11" borderId="49" xfId="3" applyNumberFormat="1" applyFont="1" applyFill="1" applyBorder="1" applyAlignment="1">
      <alignment horizontal="left" vertical="center" wrapText="1"/>
    </xf>
    <xf numFmtId="1" fontId="7" fillId="0" borderId="49" xfId="3" applyNumberFormat="1" applyFont="1" applyBorder="1" applyAlignment="1">
      <alignment horizontal="left" vertical="center" wrapText="1"/>
    </xf>
    <xf numFmtId="1" fontId="7" fillId="0" borderId="50" xfId="3" applyNumberFormat="1" applyFont="1" applyBorder="1" applyAlignment="1">
      <alignment horizontal="left" vertical="center" wrapText="1"/>
    </xf>
    <xf numFmtId="166" fontId="7" fillId="11" borderId="51" xfId="1" applyNumberFormat="1" applyFont="1" applyFill="1" applyBorder="1" applyAlignment="1">
      <alignment horizontal="left" vertical="center" wrapText="1"/>
    </xf>
    <xf numFmtId="9" fontId="8" fillId="0" borderId="0" xfId="2" applyFont="1" applyAlignment="1">
      <alignment horizontal="left" vertical="center" wrapText="1"/>
    </xf>
    <xf numFmtId="43" fontId="5" fillId="0" borderId="0" xfId="3" applyNumberFormat="1"/>
    <xf numFmtId="166" fontId="5" fillId="0" borderId="0" xfId="1" applyNumberFormat="1" applyFont="1"/>
    <xf numFmtId="166" fontId="5" fillId="6" borderId="21" xfId="1" applyNumberFormat="1" applyFont="1" applyFill="1" applyBorder="1" applyAlignment="1">
      <alignment horizontal="center" vertical="center"/>
    </xf>
    <xf numFmtId="166" fontId="5" fillId="0" borderId="26" xfId="1" applyNumberFormat="1" applyFont="1" applyBorder="1"/>
    <xf numFmtId="2" fontId="5" fillId="0" borderId="63" xfId="3" applyNumberFormat="1" applyBorder="1" applyAlignment="1">
      <alignment horizontal="center" vertical="center"/>
    </xf>
    <xf numFmtId="2" fontId="5" fillId="0" borderId="26" xfId="3" applyNumberFormat="1" applyBorder="1" applyAlignment="1">
      <alignment horizontal="center" vertical="center"/>
    </xf>
    <xf numFmtId="2" fontId="5" fillId="11" borderId="26" xfId="3" applyNumberFormat="1" applyFill="1" applyBorder="1" applyAlignment="1">
      <alignment horizontal="center" vertical="center" wrapText="1"/>
    </xf>
    <xf numFmtId="165" fontId="7" fillId="0" borderId="26" xfId="3" applyNumberFormat="1" applyFont="1" applyBorder="1" applyAlignment="1">
      <alignment horizontal="center" vertical="center" wrapText="1"/>
    </xf>
    <xf numFmtId="2" fontId="5" fillId="0" borderId="22" xfId="3" applyNumberFormat="1" applyBorder="1" applyAlignment="1">
      <alignment horizontal="center" vertical="center"/>
    </xf>
    <xf numFmtId="2" fontId="5" fillId="11" borderId="22" xfId="3" applyNumberFormat="1" applyFill="1" applyBorder="1" applyAlignment="1">
      <alignment horizontal="center" vertical="center" wrapText="1"/>
    </xf>
    <xf numFmtId="2" fontId="13" fillId="0" borderId="0" xfId="2" applyNumberFormat="1" applyFont="1" applyAlignment="1">
      <alignment horizontal="left" vertical="center" wrapText="1"/>
    </xf>
    <xf numFmtId="0" fontId="16" fillId="0" borderId="14" xfId="0" applyFont="1" applyBorder="1" applyAlignment="1">
      <alignment horizontal="center" vertical="center"/>
    </xf>
    <xf numFmtId="43" fontId="16" fillId="0" borderId="14" xfId="0" applyNumberFormat="1" applyFont="1" applyBorder="1" applyAlignment="1">
      <alignment horizontal="center" vertical="center"/>
    </xf>
    <xf numFmtId="1" fontId="7" fillId="20" borderId="64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vertical="center" wrapText="1"/>
    </xf>
    <xf numFmtId="1" fontId="11" fillId="0" borderId="38" xfId="3" applyNumberFormat="1" applyFont="1" applyBorder="1" applyAlignment="1">
      <alignment horizontal="left" vertical="center" wrapText="1"/>
    </xf>
    <xf numFmtId="166" fontId="7" fillId="0" borderId="25" xfId="1" applyNumberFormat="1" applyFont="1" applyBorder="1" applyAlignment="1">
      <alignment horizontal="center" vertical="center" wrapText="1"/>
    </xf>
    <xf numFmtId="2" fontId="7" fillId="0" borderId="23" xfId="3" applyNumberFormat="1" applyFont="1" applyBorder="1" applyAlignment="1">
      <alignment horizontal="center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6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 wrapText="1"/>
    </xf>
    <xf numFmtId="0" fontId="22" fillId="5" borderId="13" xfId="0" applyFont="1" applyFill="1" applyBorder="1" applyAlignment="1">
      <alignment horizontal="center" vertical="center"/>
    </xf>
    <xf numFmtId="2" fontId="22" fillId="5" borderId="14" xfId="0" applyNumberFormat="1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9" fontId="22" fillId="5" borderId="14" xfId="2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/>
    </xf>
    <xf numFmtId="2" fontId="24" fillId="0" borderId="13" xfId="0" applyNumberFormat="1" applyFont="1" applyFill="1" applyBorder="1" applyAlignment="1">
      <alignment horizontal="center" vertical="center" wrapText="1"/>
    </xf>
    <xf numFmtId="2" fontId="23" fillId="0" borderId="14" xfId="0" applyNumberFormat="1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 wrapText="1"/>
    </xf>
    <xf numFmtId="2" fontId="24" fillId="0" borderId="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2" fontId="22" fillId="4" borderId="13" xfId="0" applyNumberFormat="1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horizontal="center" vertical="center"/>
    </xf>
    <xf numFmtId="1" fontId="24" fillId="0" borderId="14" xfId="0" applyNumberFormat="1" applyFont="1" applyFill="1" applyBorder="1" applyAlignment="1">
      <alignment horizontal="center" vertical="center"/>
    </xf>
    <xf numFmtId="0" fontId="5" fillId="0" borderId="52" xfId="3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64" fontId="21" fillId="2" borderId="8" xfId="0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9" fontId="19" fillId="2" borderId="8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2" fontId="24" fillId="0" borderId="0" xfId="0" applyNumberFormat="1" applyFont="1" applyFill="1" applyAlignment="1">
      <alignment horizontal="center" vertical="center"/>
    </xf>
    <xf numFmtId="0" fontId="0" fillId="0" borderId="13" xfId="0" applyBorder="1"/>
    <xf numFmtId="0" fontId="20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7" fillId="0" borderId="23" xfId="3" applyFont="1" applyBorder="1" applyAlignment="1">
      <alignment horizontal="left" vertical="center" wrapText="1"/>
    </xf>
    <xf numFmtId="2" fontId="5" fillId="0" borderId="57" xfId="3" applyNumberFormat="1" applyBorder="1" applyAlignment="1">
      <alignment horizontal="center" vertical="center"/>
    </xf>
    <xf numFmtId="2" fontId="5" fillId="0" borderId="23" xfId="3" applyNumberFormat="1" applyBorder="1" applyAlignment="1">
      <alignment horizontal="center" vertical="center"/>
    </xf>
    <xf numFmtId="1" fontId="10" fillId="0" borderId="23" xfId="3" applyNumberFormat="1" applyFont="1" applyBorder="1" applyAlignment="1">
      <alignment horizontal="center" vertical="center" wrapText="1"/>
    </xf>
    <xf numFmtId="1" fontId="7" fillId="11" borderId="23" xfId="3" applyNumberFormat="1" applyFont="1" applyFill="1" applyBorder="1" applyAlignment="1">
      <alignment horizontal="left" vertical="center" wrapText="1"/>
    </xf>
    <xf numFmtId="1" fontId="7" fillId="11" borderId="70" xfId="3" applyNumberFormat="1" applyFont="1" applyFill="1" applyBorder="1" applyAlignment="1">
      <alignment horizontal="left" vertical="center" wrapText="1"/>
    </xf>
    <xf numFmtId="0" fontId="5" fillId="0" borderId="57" xfId="3" applyBorder="1" applyAlignment="1">
      <alignment horizontal="left" vertical="center"/>
    </xf>
    <xf numFmtId="166" fontId="7" fillId="20" borderId="47" xfId="1" applyNumberFormat="1" applyFont="1" applyFill="1" applyBorder="1" applyAlignment="1">
      <alignment horizontal="left" vertical="center" wrapText="1"/>
    </xf>
    <xf numFmtId="166" fontId="7" fillId="11" borderId="14" xfId="1" applyNumberFormat="1" applyFont="1" applyFill="1" applyBorder="1" applyAlignment="1">
      <alignment horizontal="left" vertical="center" wrapText="1"/>
    </xf>
    <xf numFmtId="9" fontId="7" fillId="11" borderId="14" xfId="2" applyFont="1" applyFill="1" applyBorder="1" applyAlignment="1">
      <alignment horizontal="left" vertical="center" wrapText="1"/>
    </xf>
    <xf numFmtId="0" fontId="16" fillId="0" borderId="0" xfId="5" applyFont="1"/>
    <xf numFmtId="0" fontId="27" fillId="21" borderId="19" xfId="5" applyFont="1" applyFill="1" applyBorder="1" applyAlignment="1">
      <alignment horizontal="center" vertical="center" wrapText="1"/>
    </xf>
    <xf numFmtId="0" fontId="27" fillId="21" borderId="21" xfId="5" applyFont="1" applyFill="1" applyBorder="1" applyAlignment="1">
      <alignment horizontal="center" vertical="center" wrapText="1"/>
    </xf>
    <xf numFmtId="0" fontId="27" fillId="21" borderId="22" xfId="5" applyFont="1" applyFill="1" applyBorder="1" applyAlignment="1">
      <alignment horizontal="center" vertical="center" wrapText="1"/>
    </xf>
    <xf numFmtId="0" fontId="27" fillId="21" borderId="26" xfId="5" applyFont="1" applyFill="1" applyBorder="1" applyAlignment="1">
      <alignment horizontal="center" vertical="center" wrapText="1"/>
    </xf>
    <xf numFmtId="0" fontId="17" fillId="17" borderId="33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left" vertical="center" wrapText="1"/>
    </xf>
    <xf numFmtId="2" fontId="17" fillId="17" borderId="37" xfId="5" applyNumberFormat="1" applyFont="1" applyFill="1" applyBorder="1" applyAlignment="1">
      <alignment horizontal="center" vertical="center"/>
    </xf>
    <xf numFmtId="0" fontId="18" fillId="0" borderId="22" xfId="5" applyFont="1" applyBorder="1" applyAlignment="1">
      <alignment horizontal="center" vertical="center"/>
    </xf>
    <xf numFmtId="0" fontId="18" fillId="0" borderId="14" xfId="5" applyFont="1" applyBorder="1" applyAlignment="1">
      <alignment vertical="center" wrapText="1"/>
    </xf>
    <xf numFmtId="43" fontId="18" fillId="0" borderId="22" xfId="5" applyNumberFormat="1" applyFont="1" applyBorder="1" applyAlignment="1">
      <alignment horizontal="center" vertical="center" wrapText="1"/>
    </xf>
    <xf numFmtId="43" fontId="16" fillId="0" borderId="26" xfId="6" applyFont="1" applyBorder="1" applyAlignment="1">
      <alignment horizontal="center" vertical="center"/>
    </xf>
    <xf numFmtId="0" fontId="16" fillId="0" borderId="33" xfId="5" applyFont="1" applyBorder="1" applyAlignment="1">
      <alignment horizontal="center" vertical="center"/>
    </xf>
    <xf numFmtId="0" fontId="18" fillId="0" borderId="13" xfId="5" applyFont="1" applyBorder="1" applyAlignment="1">
      <alignment vertical="center" wrapText="1"/>
    </xf>
    <xf numFmtId="9" fontId="16" fillId="0" borderId="33" xfId="7" applyFont="1" applyBorder="1" applyAlignment="1">
      <alignment horizontal="center" vertical="center"/>
    </xf>
    <xf numFmtId="166" fontId="16" fillId="0" borderId="37" xfId="6" applyNumberFormat="1" applyFont="1" applyBorder="1" applyAlignment="1">
      <alignment horizontal="center" vertical="center"/>
    </xf>
    <xf numFmtId="1" fontId="16" fillId="0" borderId="73" xfId="5" applyNumberFormat="1" applyFont="1" applyBorder="1" applyAlignment="1">
      <alignment horizontal="center" vertical="center"/>
    </xf>
    <xf numFmtId="43" fontId="18" fillId="0" borderId="26" xfId="6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8" fillId="0" borderId="7" xfId="5" applyFont="1" applyBorder="1" applyAlignment="1">
      <alignment horizontal="center" vertical="center"/>
    </xf>
    <xf numFmtId="166" fontId="17" fillId="0" borderId="12" xfId="6" applyNumberFormat="1" applyFont="1" applyBorder="1" applyAlignment="1">
      <alignment horizontal="center" vertical="center"/>
    </xf>
    <xf numFmtId="0" fontId="16" fillId="0" borderId="54" xfId="5" applyFont="1" applyBorder="1" applyAlignment="1">
      <alignment vertical="center"/>
    </xf>
    <xf numFmtId="0" fontId="17" fillId="0" borderId="55" xfId="5" applyFont="1" applyBorder="1" applyAlignment="1">
      <alignment vertical="center"/>
    </xf>
    <xf numFmtId="9" fontId="18" fillId="0" borderId="54" xfId="7" applyFont="1" applyBorder="1" applyAlignment="1">
      <alignment horizontal="center" vertical="center"/>
    </xf>
    <xf numFmtId="43" fontId="17" fillId="0" borderId="56" xfId="6" applyFont="1" applyBorder="1" applyAlignment="1">
      <alignment horizontal="center" vertical="center"/>
    </xf>
    <xf numFmtId="0" fontId="17" fillId="18" borderId="19" xfId="5" applyFont="1" applyFill="1" applyBorder="1" applyAlignment="1">
      <alignment horizontal="center" vertical="center"/>
    </xf>
    <xf numFmtId="0" fontId="17" fillId="18" borderId="57" xfId="5" applyFont="1" applyFill="1" applyBorder="1" applyAlignment="1">
      <alignment vertical="center"/>
    </xf>
    <xf numFmtId="0" fontId="17" fillId="18" borderId="31" xfId="5" applyFont="1" applyFill="1" applyBorder="1" applyAlignment="1">
      <alignment horizontal="center" vertical="center"/>
    </xf>
    <xf numFmtId="0" fontId="17" fillId="18" borderId="59" xfId="5" applyFont="1" applyFill="1" applyBorder="1" applyAlignment="1">
      <alignment horizontal="center" vertical="center"/>
    </xf>
    <xf numFmtId="0" fontId="18" fillId="0" borderId="14" xfId="5" applyFont="1" applyBorder="1" applyAlignment="1">
      <alignment vertical="center"/>
    </xf>
    <xf numFmtId="166" fontId="18" fillId="0" borderId="26" xfId="6" applyNumberFormat="1" applyFont="1" applyBorder="1" applyAlignment="1">
      <alignment horizontal="center" vertical="center"/>
    </xf>
    <xf numFmtId="0" fontId="16" fillId="0" borderId="22" xfId="5" applyFont="1" applyBorder="1" applyAlignment="1">
      <alignment horizontal="center" vertical="center"/>
    </xf>
    <xf numFmtId="0" fontId="17" fillId="0" borderId="60" xfId="5" applyFont="1" applyBorder="1" applyAlignment="1">
      <alignment horizontal="center" vertical="center"/>
    </xf>
    <xf numFmtId="0" fontId="17" fillId="0" borderId="61" xfId="5" applyFont="1" applyBorder="1" applyAlignment="1">
      <alignment vertical="center"/>
    </xf>
    <xf numFmtId="0" fontId="18" fillId="0" borderId="60" xfId="5" applyFont="1" applyBorder="1" applyAlignment="1">
      <alignment horizontal="center" vertical="center"/>
    </xf>
    <xf numFmtId="43" fontId="17" fillId="0" borderId="62" xfId="6" applyFont="1" applyBorder="1" applyAlignment="1">
      <alignment horizontal="center" vertical="center"/>
    </xf>
    <xf numFmtId="0" fontId="17" fillId="0" borderId="54" xfId="5" applyFont="1" applyBorder="1" applyAlignment="1">
      <alignment horizontal="center" vertical="center"/>
    </xf>
    <xf numFmtId="0" fontId="18" fillId="0" borderId="54" xfId="5" applyFont="1" applyBorder="1" applyAlignment="1">
      <alignment horizontal="center" vertical="center"/>
    </xf>
    <xf numFmtId="0" fontId="19" fillId="22" borderId="19" xfId="5" applyFont="1" applyFill="1" applyBorder="1" applyAlignment="1">
      <alignment horizontal="center" vertical="center"/>
    </xf>
    <xf numFmtId="1" fontId="17" fillId="23" borderId="20" xfId="3" applyNumberFormat="1" applyFont="1" applyFill="1" applyBorder="1" applyAlignment="1">
      <alignment vertical="center" wrapText="1"/>
    </xf>
    <xf numFmtId="1" fontId="17" fillId="23" borderId="19" xfId="3" applyNumberFormat="1" applyFont="1" applyFill="1" applyBorder="1" applyAlignment="1">
      <alignment horizontal="center" vertical="center" wrapText="1"/>
    </xf>
    <xf numFmtId="1" fontId="17" fillId="23" borderId="21" xfId="3" applyNumberFormat="1" applyFont="1" applyFill="1" applyBorder="1" applyAlignment="1">
      <alignment horizontal="center" vertical="center" wrapText="1"/>
    </xf>
    <xf numFmtId="0" fontId="18" fillId="0" borderId="22" xfId="5" applyFont="1" applyBorder="1" applyAlignment="1">
      <alignment horizontal="center" vertical="center" wrapText="1"/>
    </xf>
    <xf numFmtId="166" fontId="18" fillId="11" borderId="26" xfId="6" applyNumberFormat="1" applyFont="1" applyFill="1" applyBorder="1" applyAlignment="1">
      <alignment horizontal="center" vertical="center" wrapText="1"/>
    </xf>
    <xf numFmtId="0" fontId="17" fillId="0" borderId="8" xfId="5" applyFont="1" applyBorder="1" applyAlignment="1">
      <alignment vertical="center" wrapText="1"/>
    </xf>
    <xf numFmtId="0" fontId="18" fillId="0" borderId="7" xfId="5" applyFont="1" applyBorder="1" applyAlignment="1">
      <alignment horizontal="center" vertical="center" wrapText="1"/>
    </xf>
    <xf numFmtId="166" fontId="17" fillId="11" borderId="12" xfId="6" applyNumberFormat="1" applyFont="1" applyFill="1" applyBorder="1" applyAlignment="1">
      <alignment horizontal="center" vertical="center" wrapText="1"/>
    </xf>
    <xf numFmtId="0" fontId="17" fillId="0" borderId="54" xfId="5" applyFont="1" applyBorder="1" applyAlignment="1">
      <alignment vertical="center"/>
    </xf>
    <xf numFmtId="0" fontId="17" fillId="0" borderId="56" xfId="5" applyFont="1" applyBorder="1" applyAlignment="1">
      <alignment horizontal="center" vertical="center"/>
    </xf>
    <xf numFmtId="0" fontId="17" fillId="10" borderId="19" xfId="5" applyFont="1" applyFill="1" applyBorder="1" applyAlignment="1">
      <alignment horizontal="center" vertical="center"/>
    </xf>
    <xf numFmtId="0" fontId="17" fillId="10" borderId="57" xfId="5" applyFont="1" applyFill="1" applyBorder="1" applyAlignment="1">
      <alignment vertical="center"/>
    </xf>
    <xf numFmtId="0" fontId="17" fillId="10" borderId="31" xfId="5" applyFont="1" applyFill="1" applyBorder="1" applyAlignment="1">
      <alignment horizontal="center" vertical="center"/>
    </xf>
    <xf numFmtId="0" fontId="17" fillId="10" borderId="59" xfId="5" applyFont="1" applyFill="1" applyBorder="1" applyAlignment="1">
      <alignment horizontal="center" vertical="center"/>
    </xf>
    <xf numFmtId="10" fontId="18" fillId="0" borderId="22" xfId="5" applyNumberFormat="1" applyFont="1" applyBorder="1" applyAlignment="1">
      <alignment horizontal="center" vertical="center"/>
    </xf>
    <xf numFmtId="0" fontId="18" fillId="0" borderId="28" xfId="5" applyFont="1" applyBorder="1" applyAlignment="1">
      <alignment vertical="center"/>
    </xf>
    <xf numFmtId="10" fontId="18" fillId="0" borderId="27" xfId="5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3" xfId="5" applyFont="1" applyBorder="1" applyAlignment="1">
      <alignment vertical="center"/>
    </xf>
    <xf numFmtId="0" fontId="18" fillId="0" borderId="33" xfId="5" applyFont="1" applyBorder="1" applyAlignment="1">
      <alignment horizontal="center" vertical="center"/>
    </xf>
    <xf numFmtId="166" fontId="17" fillId="0" borderId="37" xfId="6" applyNumberFormat="1" applyFont="1" applyBorder="1" applyAlignment="1">
      <alignment horizontal="center" vertical="center"/>
    </xf>
    <xf numFmtId="0" fontId="17" fillId="0" borderId="28" xfId="5" applyFont="1" applyBorder="1" applyAlignment="1">
      <alignment horizontal="center" vertical="center"/>
    </xf>
    <xf numFmtId="0" fontId="17" fillId="0" borderId="28" xfId="5" applyFont="1" applyBorder="1" applyAlignment="1">
      <alignment vertical="center"/>
    </xf>
    <xf numFmtId="0" fontId="18" fillId="0" borderId="27" xfId="5" applyFont="1" applyBorder="1" applyAlignment="1">
      <alignment horizontal="center" vertical="center"/>
    </xf>
    <xf numFmtId="43" fontId="18" fillId="0" borderId="29" xfId="6" applyFont="1" applyBorder="1" applyAlignment="1">
      <alignment horizontal="center" vertical="center"/>
    </xf>
    <xf numFmtId="0" fontId="17" fillId="5" borderId="7" xfId="5" applyFont="1" applyFill="1" applyBorder="1" applyAlignment="1">
      <alignment horizontal="center" vertical="center"/>
    </xf>
    <xf numFmtId="0" fontId="17" fillId="5" borderId="8" xfId="5" applyFont="1" applyFill="1" applyBorder="1" applyAlignment="1">
      <alignment vertical="center"/>
    </xf>
    <xf numFmtId="0" fontId="18" fillId="5" borderId="16" xfId="5" applyFont="1" applyFill="1" applyBorder="1" applyAlignment="1">
      <alignment horizontal="center" vertical="center"/>
    </xf>
    <xf numFmtId="166" fontId="17" fillId="5" borderId="12" xfId="6" applyNumberFormat="1" applyFont="1" applyFill="1" applyBorder="1" applyAlignment="1">
      <alignment horizontal="center" vertical="center"/>
    </xf>
    <xf numFmtId="0" fontId="17" fillId="22" borderId="7" xfId="5" applyFont="1" applyFill="1" applyBorder="1" applyAlignment="1">
      <alignment horizontal="center" vertical="center"/>
    </xf>
    <xf numFmtId="0" fontId="17" fillId="22" borderId="8" xfId="5" applyFont="1" applyFill="1" applyBorder="1" applyAlignment="1">
      <alignment vertical="center"/>
    </xf>
    <xf numFmtId="0" fontId="18" fillId="22" borderId="7" xfId="5" applyFont="1" applyFill="1" applyBorder="1" applyAlignment="1">
      <alignment horizontal="center" vertical="center"/>
    </xf>
    <xf numFmtId="43" fontId="17" fillId="22" borderId="12" xfId="6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0" xfId="5" applyFont="1" applyAlignment="1">
      <alignment vertical="center"/>
    </xf>
    <xf numFmtId="0" fontId="19" fillId="0" borderId="0" xfId="5" applyFont="1" applyAlignment="1">
      <alignment horizontal="center" vertical="center"/>
    </xf>
    <xf numFmtId="43" fontId="17" fillId="0" borderId="0" xfId="6" applyFont="1" applyBorder="1" applyAlignment="1">
      <alignment horizontal="center" vertical="center"/>
    </xf>
    <xf numFmtId="0" fontId="18" fillId="0" borderId="19" xfId="5" applyFont="1" applyBorder="1" applyAlignment="1">
      <alignment horizontal="center" vertical="center"/>
    </xf>
    <xf numFmtId="43" fontId="18" fillId="0" borderId="20" xfId="6" applyFont="1" applyBorder="1" applyAlignment="1">
      <alignment horizontal="left" vertical="center"/>
    </xf>
    <xf numFmtId="0" fontId="16" fillId="0" borderId="20" xfId="5" applyFont="1" applyBorder="1" applyAlignment="1">
      <alignment horizontal="center" vertical="center"/>
    </xf>
    <xf numFmtId="43" fontId="18" fillId="0" borderId="20" xfId="6" applyFont="1" applyBorder="1" applyAlignment="1">
      <alignment horizontal="center" vertical="center"/>
    </xf>
    <xf numFmtId="0" fontId="18" fillId="0" borderId="35" xfId="5" applyFont="1" applyBorder="1" applyAlignment="1">
      <alignment horizontal="center" vertical="center"/>
    </xf>
    <xf numFmtId="43" fontId="18" fillId="0" borderId="36" xfId="6" applyFont="1" applyFill="1" applyBorder="1" applyAlignment="1">
      <alignment horizontal="left" vertical="center"/>
    </xf>
    <xf numFmtId="0" fontId="16" fillId="0" borderId="36" xfId="5" applyFont="1" applyBorder="1" applyAlignment="1">
      <alignment horizontal="center" vertical="center"/>
    </xf>
    <xf numFmtId="43" fontId="18" fillId="0" borderId="36" xfId="6" applyFont="1" applyFill="1" applyBorder="1" applyAlignment="1">
      <alignment horizontal="center" vertical="center"/>
    </xf>
    <xf numFmtId="0" fontId="18" fillId="0" borderId="20" xfId="5" applyFont="1" applyBorder="1" applyAlignment="1">
      <alignment horizontal="left" vertical="center"/>
    </xf>
    <xf numFmtId="0" fontId="18" fillId="0" borderId="14" xfId="5" applyFont="1" applyBorder="1" applyAlignment="1">
      <alignment horizontal="left" vertical="center"/>
    </xf>
    <xf numFmtId="43" fontId="18" fillId="0" borderId="14" xfId="6" applyFont="1" applyBorder="1" applyAlignment="1">
      <alignment horizontal="center" vertical="center"/>
    </xf>
    <xf numFmtId="0" fontId="16" fillId="0" borderId="14" xfId="5" applyFont="1" applyBorder="1" applyAlignment="1">
      <alignment horizontal="center" vertical="center"/>
    </xf>
    <xf numFmtId="0" fontId="17" fillId="0" borderId="35" xfId="5" applyFont="1" applyBorder="1" applyAlignment="1">
      <alignment horizontal="center" vertical="center"/>
    </xf>
    <xf numFmtId="0" fontId="17" fillId="0" borderId="36" xfId="5" applyFont="1" applyBorder="1" applyAlignment="1">
      <alignment horizontal="left" vertical="center"/>
    </xf>
    <xf numFmtId="0" fontId="19" fillId="0" borderId="36" xfId="5" applyFont="1" applyBorder="1" applyAlignment="1">
      <alignment horizontal="center" vertical="center"/>
    </xf>
    <xf numFmtId="167" fontId="17" fillId="0" borderId="36" xfId="2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17" fillId="24" borderId="33" xfId="5" applyFont="1" applyFill="1" applyBorder="1" applyAlignment="1">
      <alignment horizontal="center" vertical="center"/>
    </xf>
    <xf numFmtId="165" fontId="17" fillId="24" borderId="37" xfId="7" applyNumberFormat="1" applyFont="1" applyFill="1" applyBorder="1" applyAlignment="1">
      <alignment horizontal="center" vertical="center"/>
    </xf>
    <xf numFmtId="0" fontId="17" fillId="24" borderId="14" xfId="5" applyFont="1" applyFill="1" applyBorder="1" applyAlignment="1">
      <alignment vertical="center" wrapText="1"/>
    </xf>
    <xf numFmtId="0" fontId="19" fillId="0" borderId="15" xfId="5" applyFont="1" applyBorder="1"/>
    <xf numFmtId="0" fontId="4" fillId="0" borderId="0" xfId="5" applyAlignment="1">
      <alignment vertical="center" wrapText="1"/>
    </xf>
    <xf numFmtId="3" fontId="4" fillId="0" borderId="0" xfId="5" applyNumberFormat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3" fontId="16" fillId="0" borderId="0" xfId="5" applyNumberFormat="1" applyFont="1" applyAlignment="1">
      <alignment horizontal="center" vertical="center"/>
    </xf>
    <xf numFmtId="0" fontId="5" fillId="0" borderId="74" xfId="3" applyBorder="1" applyAlignment="1">
      <alignment horizontal="left" vertical="center"/>
    </xf>
    <xf numFmtId="166" fontId="14" fillId="0" borderId="39" xfId="1" applyNumberFormat="1" applyFont="1" applyBorder="1" applyAlignment="1">
      <alignment horizontal="center" vertical="center" wrapText="1"/>
    </xf>
    <xf numFmtId="166" fontId="7" fillId="0" borderId="0" xfId="1" applyNumberFormat="1" applyFont="1"/>
    <xf numFmtId="0" fontId="7" fillId="0" borderId="0" xfId="3" applyFont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17" fillId="24" borderId="54" xfId="5" applyFont="1" applyFill="1" applyBorder="1" applyAlignment="1">
      <alignment horizontal="center" vertical="center"/>
    </xf>
    <xf numFmtId="165" fontId="17" fillId="24" borderId="56" xfId="7" applyNumberFormat="1" applyFont="1" applyFill="1" applyBorder="1" applyAlignment="1">
      <alignment horizontal="center" vertical="center"/>
    </xf>
    <xf numFmtId="0" fontId="17" fillId="24" borderId="28" xfId="5" applyFont="1" applyFill="1" applyBorder="1" applyAlignment="1">
      <alignment vertical="center" wrapText="1"/>
    </xf>
    <xf numFmtId="0" fontId="19" fillId="0" borderId="60" xfId="5" applyFont="1" applyBorder="1" applyAlignment="1">
      <alignment horizontal="center" vertical="center"/>
    </xf>
    <xf numFmtId="43" fontId="19" fillId="0" borderId="62" xfId="5" applyNumberFormat="1" applyFont="1" applyBorder="1" applyAlignment="1">
      <alignment horizontal="center" vertical="center"/>
    </xf>
    <xf numFmtId="0" fontId="17" fillId="24" borderId="19" xfId="5" applyFont="1" applyFill="1" applyBorder="1" applyAlignment="1">
      <alignment horizontal="center" vertical="center"/>
    </xf>
    <xf numFmtId="165" fontId="17" fillId="24" borderId="21" xfId="7" applyNumberFormat="1" applyFont="1" applyFill="1" applyBorder="1" applyAlignment="1">
      <alignment horizontal="center" vertical="center"/>
    </xf>
    <xf numFmtId="43" fontId="16" fillId="0" borderId="26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43" fontId="16" fillId="0" borderId="29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19" fillId="0" borderId="8" xfId="0" applyNumberFormat="1" applyFont="1" applyBorder="1" applyAlignment="1">
      <alignment horizontal="center" vertical="center"/>
    </xf>
    <xf numFmtId="43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6" fillId="0" borderId="28" xfId="0" applyNumberFormat="1" applyFont="1" applyBorder="1" applyAlignment="1">
      <alignment horizontal="center" vertical="center"/>
    </xf>
    <xf numFmtId="0" fontId="19" fillId="24" borderId="14" xfId="0" applyFont="1" applyFill="1" applyBorder="1" applyAlignment="1">
      <alignment horizontal="center" vertical="center"/>
    </xf>
    <xf numFmtId="43" fontId="19" fillId="24" borderId="14" xfId="0" applyNumberFormat="1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43" fontId="16" fillId="0" borderId="20" xfId="0" applyNumberFormat="1" applyFont="1" applyBorder="1" applyAlignment="1">
      <alignment horizontal="center" vertical="center"/>
    </xf>
    <xf numFmtId="43" fontId="16" fillId="0" borderId="21" xfId="0" applyNumberFormat="1" applyFont="1" applyBorder="1" applyAlignment="1">
      <alignment horizontal="center" vertical="center"/>
    </xf>
    <xf numFmtId="0" fontId="3" fillId="24" borderId="22" xfId="0" applyFont="1" applyFill="1" applyBorder="1" applyAlignment="1">
      <alignment horizontal="center" vertical="center" wrapText="1"/>
    </xf>
    <xf numFmtId="43" fontId="19" fillId="24" borderId="26" xfId="0" applyNumberFormat="1" applyFont="1" applyFill="1" applyBorder="1" applyAlignment="1">
      <alignment horizontal="center" vertical="center"/>
    </xf>
    <xf numFmtId="43" fontId="5" fillId="0" borderId="0" xfId="3" applyNumberFormat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center" vertical="center"/>
    </xf>
    <xf numFmtId="2" fontId="24" fillId="0" borderId="14" xfId="0" applyNumberFormat="1" applyFont="1" applyBorder="1" applyAlignment="1">
      <alignment horizontal="center" vertical="center"/>
    </xf>
    <xf numFmtId="2" fontId="24" fillId="0" borderId="13" xfId="0" applyNumberFormat="1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" fontId="24" fillId="0" borderId="14" xfId="0" applyNumberFormat="1" applyFont="1" applyBorder="1" applyAlignment="1">
      <alignment horizontal="center" vertical="center"/>
    </xf>
    <xf numFmtId="2" fontId="24" fillId="0" borderId="13" xfId="0" applyNumberFormat="1" applyFont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/>
    </xf>
    <xf numFmtId="165" fontId="24" fillId="0" borderId="14" xfId="0" applyNumberFormat="1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24" fillId="6" borderId="14" xfId="0" applyFont="1" applyFill="1" applyBorder="1" applyAlignment="1">
      <alignment horizontal="center" vertical="center"/>
    </xf>
    <xf numFmtId="0" fontId="7" fillId="0" borderId="23" xfId="3" applyFont="1" applyBorder="1" applyAlignment="1">
      <alignment horizontal="center" vertical="center" wrapText="1"/>
    </xf>
    <xf numFmtId="0" fontId="5" fillId="0" borderId="74" xfId="3" applyBorder="1" applyAlignment="1">
      <alignment horizontal="left" vertical="center"/>
    </xf>
    <xf numFmtId="1" fontId="7" fillId="20" borderId="64" xfId="3" applyNumberFormat="1" applyFont="1" applyFill="1" applyBorder="1" applyAlignment="1">
      <alignment horizontal="left" vertical="center" wrapText="1"/>
    </xf>
    <xf numFmtId="0" fontId="5" fillId="0" borderId="52" xfId="3" applyBorder="1" applyAlignment="1">
      <alignment horizontal="left" vertical="center"/>
    </xf>
    <xf numFmtId="1" fontId="7" fillId="11" borderId="22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23" fillId="0" borderId="0" xfId="0" applyFont="1"/>
    <xf numFmtId="0" fontId="23" fillId="0" borderId="14" xfId="0" applyNumberFormat="1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4" fillId="27" borderId="14" xfId="0" applyFont="1" applyFill="1" applyBorder="1" applyAlignment="1">
      <alignment horizontal="center" vertical="center"/>
    </xf>
    <xf numFmtId="0" fontId="22" fillId="27" borderId="14" xfId="0" applyFont="1" applyFill="1" applyBorder="1" applyAlignment="1">
      <alignment horizontal="center" vertical="center"/>
    </xf>
    <xf numFmtId="0" fontId="22" fillId="27" borderId="14" xfId="0" applyFont="1" applyFill="1" applyBorder="1" applyAlignment="1">
      <alignment horizontal="left" vertical="center" wrapText="1"/>
    </xf>
    <xf numFmtId="0" fontId="22" fillId="27" borderId="13" xfId="0" applyFont="1" applyFill="1" applyBorder="1" applyAlignment="1">
      <alignment horizontal="center" vertical="center"/>
    </xf>
    <xf numFmtId="2" fontId="22" fillId="27" borderId="14" xfId="0" applyNumberFormat="1" applyFont="1" applyFill="1" applyBorder="1" applyAlignment="1">
      <alignment horizontal="center" vertical="center"/>
    </xf>
    <xf numFmtId="2" fontId="22" fillId="27" borderId="13" xfId="0" applyNumberFormat="1" applyFont="1" applyFill="1" applyBorder="1" applyAlignment="1">
      <alignment horizontal="center" vertical="center" wrapText="1"/>
    </xf>
    <xf numFmtId="0" fontId="22" fillId="27" borderId="14" xfId="0" applyFont="1" applyFill="1" applyBorder="1" applyAlignment="1">
      <alignment horizontal="center" vertical="center" wrapText="1"/>
    </xf>
    <xf numFmtId="0" fontId="2" fillId="27" borderId="14" xfId="0" applyFont="1" applyFill="1" applyBorder="1" applyAlignment="1">
      <alignment horizontal="center" vertical="center" wrapText="1"/>
    </xf>
    <xf numFmtId="0" fontId="21" fillId="27" borderId="14" xfId="0" applyFont="1" applyFill="1" applyBorder="1" applyAlignment="1">
      <alignment horizontal="center" vertical="center"/>
    </xf>
    <xf numFmtId="9" fontId="22" fillId="27" borderId="14" xfId="2" applyFont="1" applyFill="1" applyBorder="1" applyAlignment="1">
      <alignment horizontal="center" vertical="center"/>
    </xf>
    <xf numFmtId="0" fontId="22" fillId="27" borderId="0" xfId="0" applyFont="1" applyFill="1" applyAlignment="1">
      <alignment horizontal="center" vertical="center"/>
    </xf>
    <xf numFmtId="1" fontId="7" fillId="20" borderId="64" xfId="3" applyNumberFormat="1" applyFont="1" applyFill="1" applyBorder="1" applyAlignment="1">
      <alignment horizontal="left" vertical="center" wrapText="1"/>
    </xf>
    <xf numFmtId="0" fontId="5" fillId="0" borderId="52" xfId="3" applyBorder="1" applyAlignment="1">
      <alignment horizontal="left" vertical="center"/>
    </xf>
    <xf numFmtId="1" fontId="7" fillId="11" borderId="22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7" fillId="0" borderId="23" xfId="3" applyFont="1" applyBorder="1" applyAlignment="1">
      <alignment horizontal="center" vertical="center" wrapText="1"/>
    </xf>
    <xf numFmtId="0" fontId="5" fillId="0" borderId="74" xfId="3" applyBorder="1" applyAlignment="1">
      <alignment horizontal="left" vertical="center"/>
    </xf>
    <xf numFmtId="0" fontId="25" fillId="0" borderId="14" xfId="0" applyFont="1" applyFill="1" applyBorder="1" applyAlignment="1">
      <alignment horizontal="left" vertical="center" wrapText="1"/>
    </xf>
    <xf numFmtId="0" fontId="29" fillId="0" borderId="14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/>
    </xf>
    <xf numFmtId="2" fontId="32" fillId="0" borderId="14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0" xfId="0" applyFont="1"/>
    <xf numFmtId="2" fontId="23" fillId="26" borderId="14" xfId="0" applyNumberFormat="1" applyFont="1" applyFill="1" applyBorder="1" applyAlignment="1">
      <alignment horizontal="center" vertical="center"/>
    </xf>
    <xf numFmtId="0" fontId="32" fillId="0" borderId="14" xfId="0" applyFont="1" applyBorder="1" applyAlignment="1">
      <alignment vertical="center"/>
    </xf>
    <xf numFmtId="0" fontId="7" fillId="0" borderId="52" xfId="3" applyFont="1" applyBorder="1" applyAlignment="1">
      <alignment vertical="center" wrapText="1"/>
    </xf>
    <xf numFmtId="0" fontId="7" fillId="0" borderId="23" xfId="3" applyFont="1" applyBorder="1" applyAlignment="1">
      <alignment vertical="center" wrapText="1"/>
    </xf>
    <xf numFmtId="2" fontId="5" fillId="12" borderId="61" xfId="3" applyNumberFormat="1" applyFill="1" applyBorder="1" applyAlignment="1">
      <alignment horizontal="center" vertical="center" wrapText="1"/>
    </xf>
    <xf numFmtId="2" fontId="5" fillId="12" borderId="62" xfId="3" applyNumberFormat="1" applyFill="1" applyBorder="1" applyAlignment="1">
      <alignment horizontal="center" vertical="center" wrapText="1"/>
    </xf>
    <xf numFmtId="2" fontId="5" fillId="0" borderId="32" xfId="3" applyNumberFormat="1" applyBorder="1" applyAlignment="1">
      <alignment horizontal="center" vertical="center"/>
    </xf>
    <xf numFmtId="165" fontId="5" fillId="11" borderId="35" xfId="3" applyNumberFormat="1" applyFill="1" applyBorder="1" applyAlignment="1">
      <alignment horizontal="center" vertical="center" wrapText="1"/>
    </xf>
    <xf numFmtId="165" fontId="5" fillId="11" borderId="36" xfId="3" applyNumberFormat="1" applyFill="1" applyBorder="1" applyAlignment="1">
      <alignment horizontal="center" vertical="center" wrapText="1"/>
    </xf>
    <xf numFmtId="165" fontId="5" fillId="11" borderId="39" xfId="3" applyNumberFormat="1" applyFill="1" applyBorder="1" applyAlignment="1">
      <alignment horizontal="center" vertical="center" wrapText="1"/>
    </xf>
    <xf numFmtId="2" fontId="5" fillId="0" borderId="0" xfId="3" applyNumberFormat="1"/>
    <xf numFmtId="164" fontId="24" fillId="0" borderId="14" xfId="0" applyNumberFormat="1" applyFont="1" applyBorder="1" applyAlignment="1">
      <alignment horizontal="center" vertical="center"/>
    </xf>
    <xf numFmtId="9" fontId="21" fillId="2" borderId="5" xfId="0" applyNumberFormat="1" applyFont="1" applyFill="1" applyBorder="1" applyAlignment="1">
      <alignment horizontal="center" vertical="center" wrapText="1"/>
    </xf>
    <xf numFmtId="49" fontId="22" fillId="27" borderId="14" xfId="0" applyNumberFormat="1" applyFont="1" applyFill="1" applyBorder="1" applyAlignment="1">
      <alignment horizontal="center" vertical="center"/>
    </xf>
    <xf numFmtId="0" fontId="29" fillId="0" borderId="9" xfId="0" applyFont="1" applyBorder="1" applyAlignment="1">
      <alignment vertical="center"/>
    </xf>
    <xf numFmtId="0" fontId="29" fillId="0" borderId="18" xfId="0" applyFont="1" applyBorder="1" applyAlignment="1">
      <alignment vertical="center"/>
    </xf>
    <xf numFmtId="0" fontId="23" fillId="0" borderId="13" xfId="0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2" fontId="23" fillId="0" borderId="37" xfId="0" applyNumberFormat="1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2" fontId="23" fillId="0" borderId="26" xfId="0" applyNumberFormat="1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2" fontId="32" fillId="0" borderId="36" xfId="0" applyNumberFormat="1" applyFont="1" applyBorder="1" applyAlignment="1">
      <alignment horizontal="center" vertical="center"/>
    </xf>
    <xf numFmtId="0" fontId="32" fillId="0" borderId="36" xfId="0" applyFont="1" applyBorder="1" applyAlignment="1">
      <alignment vertical="center"/>
    </xf>
    <xf numFmtId="2" fontId="23" fillId="0" borderId="36" xfId="0" applyNumberFormat="1" applyFont="1" applyBorder="1" applyAlignment="1">
      <alignment horizontal="center" vertical="center"/>
    </xf>
    <xf numFmtId="2" fontId="32" fillId="0" borderId="39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2" fontId="23" fillId="0" borderId="20" xfId="0" applyNumberFormat="1" applyFont="1" applyBorder="1" applyAlignment="1">
      <alignment horizontal="center" vertical="center"/>
    </xf>
    <xf numFmtId="2" fontId="23" fillId="0" borderId="21" xfId="0" applyNumberFormat="1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2" fontId="30" fillId="0" borderId="14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3" fillId="26" borderId="14" xfId="0" applyFont="1" applyFill="1" applyBorder="1" applyAlignment="1">
      <alignment horizontal="center" vertical="center"/>
    </xf>
    <xf numFmtId="1" fontId="7" fillId="26" borderId="30" xfId="3" applyNumberFormat="1" applyFont="1" applyFill="1" applyBorder="1" applyAlignment="1">
      <alignment horizontal="center" vertical="center" wrapText="1"/>
    </xf>
    <xf numFmtId="165" fontId="5" fillId="11" borderId="14" xfId="3" applyNumberFormat="1" applyFill="1" applyBorder="1" applyAlignment="1">
      <alignment horizontal="center" vertical="center" wrapText="1"/>
    </xf>
    <xf numFmtId="165" fontId="5" fillId="11" borderId="22" xfId="3" applyNumberFormat="1" applyFill="1" applyBorder="1" applyAlignment="1">
      <alignment horizontal="center" vertical="center" wrapText="1"/>
    </xf>
    <xf numFmtId="165" fontId="5" fillId="11" borderId="26" xfId="3" applyNumberFormat="1" applyFill="1" applyBorder="1" applyAlignment="1">
      <alignment horizontal="center" vertical="center" wrapText="1"/>
    </xf>
    <xf numFmtId="2" fontId="5" fillId="12" borderId="35" xfId="3" applyNumberFormat="1" applyFill="1" applyBorder="1" applyAlignment="1">
      <alignment horizontal="center" vertical="center" wrapText="1"/>
    </xf>
    <xf numFmtId="2" fontId="5" fillId="12" borderId="36" xfId="3" applyNumberFormat="1" applyFill="1" applyBorder="1" applyAlignment="1">
      <alignment horizontal="center" vertical="center" wrapText="1"/>
    </xf>
    <xf numFmtId="2" fontId="5" fillId="12" borderId="39" xfId="3" applyNumberFormat="1" applyFill="1" applyBorder="1" applyAlignment="1">
      <alignment horizontal="center" vertical="center" wrapText="1"/>
    </xf>
    <xf numFmtId="165" fontId="12" fillId="0" borderId="14" xfId="3" applyNumberFormat="1" applyFont="1" applyBorder="1" applyAlignment="1">
      <alignment horizontal="center" vertical="center" wrapText="1"/>
    </xf>
    <xf numFmtId="0" fontId="27" fillId="21" borderId="24" xfId="5" applyFont="1" applyFill="1" applyBorder="1" applyAlignment="1">
      <alignment horizontal="center" vertical="center" wrapText="1"/>
    </xf>
    <xf numFmtId="0" fontId="27" fillId="21" borderId="14" xfId="5" applyFont="1" applyFill="1" applyBorder="1" applyAlignment="1">
      <alignment horizontal="center" vertical="center" wrapText="1"/>
    </xf>
    <xf numFmtId="0" fontId="17" fillId="17" borderId="76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center" vertical="center"/>
    </xf>
    <xf numFmtId="43" fontId="18" fillId="0" borderId="24" xfId="5" applyNumberFormat="1" applyFont="1" applyBorder="1" applyAlignment="1">
      <alignment horizontal="center" vertical="center" wrapText="1"/>
    </xf>
    <xf numFmtId="43" fontId="18" fillId="0" borderId="14" xfId="5" applyNumberFormat="1" applyFont="1" applyBorder="1" applyAlignment="1">
      <alignment horizontal="center" vertical="center" wrapText="1"/>
    </xf>
    <xf numFmtId="9" fontId="16" fillId="0" borderId="76" xfId="7" applyFont="1" applyBorder="1" applyAlignment="1">
      <alignment horizontal="center" vertical="center"/>
    </xf>
    <xf numFmtId="1" fontId="16" fillId="0" borderId="67" xfId="5" applyNumberFormat="1" applyFont="1" applyBorder="1" applyAlignment="1">
      <alignment horizontal="center" vertical="center"/>
    </xf>
    <xf numFmtId="0" fontId="18" fillId="0" borderId="11" xfId="5" applyFont="1" applyBorder="1" applyAlignment="1">
      <alignment horizontal="center" vertical="center"/>
    </xf>
    <xf numFmtId="0" fontId="18" fillId="0" borderId="8" xfId="5" applyFont="1" applyBorder="1" applyAlignment="1">
      <alignment horizontal="center" vertical="center"/>
    </xf>
    <xf numFmtId="9" fontId="18" fillId="0" borderId="77" xfId="7" applyFont="1" applyBorder="1" applyAlignment="1">
      <alignment horizontal="center" vertical="center"/>
    </xf>
    <xf numFmtId="0" fontId="17" fillId="18" borderId="58" xfId="5" applyFont="1" applyFill="1" applyBorder="1" applyAlignment="1">
      <alignment horizontal="center" vertical="center"/>
    </xf>
    <xf numFmtId="0" fontId="18" fillId="0" borderId="24" xfId="5" applyFont="1" applyBorder="1" applyAlignment="1">
      <alignment horizontal="center" vertical="center"/>
    </xf>
    <xf numFmtId="0" fontId="18" fillId="0" borderId="78" xfId="5" applyFont="1" applyBorder="1" applyAlignment="1">
      <alignment horizontal="center" vertical="center"/>
    </xf>
    <xf numFmtId="43" fontId="17" fillId="0" borderId="38" xfId="6" applyFont="1" applyBorder="1" applyAlignment="1">
      <alignment horizontal="center" vertical="center"/>
    </xf>
    <xf numFmtId="43" fontId="17" fillId="0" borderId="79" xfId="6" applyFont="1" applyBorder="1" applyAlignment="1">
      <alignment horizontal="center" vertical="center"/>
    </xf>
    <xf numFmtId="0" fontId="18" fillId="0" borderId="77" xfId="5" applyFont="1" applyBorder="1" applyAlignment="1">
      <alignment horizontal="center" vertical="center"/>
    </xf>
    <xf numFmtId="0" fontId="18" fillId="0" borderId="55" xfId="5" applyFont="1" applyBorder="1" applyAlignment="1">
      <alignment horizontal="center" vertical="center"/>
    </xf>
    <xf numFmtId="1" fontId="17" fillId="23" borderId="31" xfId="3" applyNumberFormat="1" applyFont="1" applyFill="1" applyBorder="1" applyAlignment="1">
      <alignment horizontal="center" vertical="center" wrapText="1"/>
    </xf>
    <xf numFmtId="1" fontId="17" fillId="23" borderId="59" xfId="3" applyNumberFormat="1" applyFont="1" applyFill="1" applyBorder="1" applyAlignment="1">
      <alignment horizontal="center" vertical="center" wrapText="1"/>
    </xf>
    <xf numFmtId="1" fontId="17" fillId="23" borderId="63" xfId="3" applyNumberFormat="1" applyFont="1" applyFill="1" applyBorder="1" applyAlignment="1">
      <alignment horizontal="center" vertical="center" wrapText="1"/>
    </xf>
    <xf numFmtId="1" fontId="17" fillId="23" borderId="20" xfId="3" applyNumberFormat="1" applyFont="1" applyFill="1" applyBorder="1" applyAlignment="1">
      <alignment horizontal="center" vertical="center" wrapText="1"/>
    </xf>
    <xf numFmtId="166" fontId="18" fillId="11" borderId="32" xfId="6" applyNumberFormat="1" applyFont="1" applyFill="1" applyBorder="1" applyAlignment="1">
      <alignment horizontal="center" vertical="center" wrapText="1"/>
    </xf>
    <xf numFmtId="0" fontId="18" fillId="0" borderId="24" xfId="5" applyFont="1" applyBorder="1" applyAlignment="1">
      <alignment horizontal="center" vertical="center" wrapText="1"/>
    </xf>
    <xf numFmtId="0" fontId="18" fillId="0" borderId="14" xfId="5" applyFont="1" applyBorder="1" applyAlignment="1">
      <alignment horizontal="center" vertical="center" wrapText="1"/>
    </xf>
    <xf numFmtId="166" fontId="17" fillId="11" borderId="17" xfId="6" applyNumberFormat="1" applyFont="1" applyFill="1" applyBorder="1" applyAlignment="1">
      <alignment horizontal="center" vertical="center" wrapText="1"/>
    </xf>
    <xf numFmtId="0" fontId="18" fillId="0" borderId="11" xfId="5" applyFont="1" applyBorder="1" applyAlignment="1">
      <alignment horizontal="center" vertical="center" wrapText="1"/>
    </xf>
    <xf numFmtId="0" fontId="18" fillId="0" borderId="8" xfId="5" applyFont="1" applyBorder="1" applyAlignment="1">
      <alignment horizontal="center" vertical="center" wrapText="1"/>
    </xf>
    <xf numFmtId="0" fontId="17" fillId="0" borderId="38" xfId="5" applyFont="1" applyBorder="1" applyAlignment="1">
      <alignment horizontal="center" vertical="center"/>
    </xf>
    <xf numFmtId="0" fontId="17" fillId="0" borderId="77" xfId="5" applyFont="1" applyBorder="1" applyAlignment="1">
      <alignment horizontal="center" vertical="center"/>
    </xf>
    <xf numFmtId="0" fontId="17" fillId="0" borderId="55" xfId="5" applyFont="1" applyBorder="1" applyAlignment="1">
      <alignment horizontal="center" vertical="center"/>
    </xf>
    <xf numFmtId="0" fontId="17" fillId="10" borderId="58" xfId="5" applyFont="1" applyFill="1" applyBorder="1" applyAlignment="1">
      <alignment horizontal="center" vertical="center"/>
    </xf>
    <xf numFmtId="166" fontId="18" fillId="0" borderId="32" xfId="6" applyNumberFormat="1" applyFont="1" applyBorder="1" applyAlignment="1">
      <alignment horizontal="center" vertical="center"/>
    </xf>
    <xf numFmtId="10" fontId="18" fillId="0" borderId="24" xfId="5" applyNumberFormat="1" applyFont="1" applyBorder="1" applyAlignment="1">
      <alignment horizontal="center" vertical="center"/>
    </xf>
    <xf numFmtId="10" fontId="18" fillId="0" borderId="14" xfId="5" applyNumberFormat="1" applyFont="1" applyBorder="1" applyAlignment="1">
      <alignment horizontal="center" vertical="center"/>
    </xf>
    <xf numFmtId="166" fontId="18" fillId="0" borderId="80" xfId="6" applyNumberFormat="1" applyFont="1" applyBorder="1" applyAlignment="1">
      <alignment horizontal="center" vertical="center"/>
    </xf>
    <xf numFmtId="10" fontId="18" fillId="0" borderId="75" xfId="5" applyNumberFormat="1" applyFont="1" applyBorder="1" applyAlignment="1">
      <alignment horizontal="center" vertical="center"/>
    </xf>
    <xf numFmtId="10" fontId="18" fillId="0" borderId="28" xfId="5" applyNumberFormat="1" applyFont="1" applyBorder="1" applyAlignment="1">
      <alignment horizontal="center" vertical="center"/>
    </xf>
    <xf numFmtId="166" fontId="17" fillId="0" borderId="17" xfId="6" applyNumberFormat="1" applyFont="1" applyBorder="1" applyAlignment="1">
      <alignment horizontal="center" vertical="center"/>
    </xf>
    <xf numFmtId="166" fontId="17" fillId="0" borderId="73" xfId="6" applyNumberFormat="1" applyFont="1" applyBorder="1" applyAlignment="1">
      <alignment horizontal="center" vertical="center"/>
    </xf>
    <xf numFmtId="166" fontId="17" fillId="0" borderId="13" xfId="6" applyNumberFormat="1" applyFont="1" applyBorder="1" applyAlignment="1">
      <alignment horizontal="center" vertical="center"/>
    </xf>
    <xf numFmtId="0" fontId="18" fillId="0" borderId="76" xfId="5" applyFont="1" applyBorder="1" applyAlignment="1">
      <alignment horizontal="center" vertical="center"/>
    </xf>
    <xf numFmtId="0" fontId="18" fillId="0" borderId="13" xfId="5" applyFont="1" applyBorder="1" applyAlignment="1">
      <alignment horizontal="center" vertical="center"/>
    </xf>
    <xf numFmtId="43" fontId="18" fillId="0" borderId="80" xfId="6" applyFont="1" applyBorder="1" applyAlignment="1">
      <alignment horizontal="center" vertical="center"/>
    </xf>
    <xf numFmtId="43" fontId="18" fillId="0" borderId="28" xfId="6" applyFont="1" applyBorder="1" applyAlignment="1">
      <alignment horizontal="center" vertical="center"/>
    </xf>
    <xf numFmtId="0" fontId="18" fillId="0" borderId="75" xfId="5" applyFont="1" applyBorder="1" applyAlignment="1">
      <alignment horizontal="center" vertical="center"/>
    </xf>
    <xf numFmtId="0" fontId="18" fillId="0" borderId="28" xfId="5" applyFont="1" applyBorder="1" applyAlignment="1">
      <alignment horizontal="center" vertical="center"/>
    </xf>
    <xf numFmtId="0" fontId="18" fillId="5" borderId="11" xfId="5" applyFont="1" applyFill="1" applyBorder="1" applyAlignment="1">
      <alignment horizontal="center" vertical="center"/>
    </xf>
    <xf numFmtId="0" fontId="18" fillId="5" borderId="8" xfId="5" applyFont="1" applyFill="1" applyBorder="1" applyAlignment="1">
      <alignment horizontal="center" vertical="center"/>
    </xf>
    <xf numFmtId="0" fontId="18" fillId="22" borderId="11" xfId="5" applyFont="1" applyFill="1" applyBorder="1" applyAlignment="1">
      <alignment horizontal="center" vertical="center"/>
    </xf>
    <xf numFmtId="43" fontId="17" fillId="22" borderId="8" xfId="6" applyFont="1" applyFill="1" applyBorder="1" applyAlignment="1">
      <alignment horizontal="center" vertical="center"/>
    </xf>
    <xf numFmtId="0" fontId="18" fillId="22" borderId="8" xfId="5" applyFont="1" applyFill="1" applyBorder="1" applyAlignment="1">
      <alignment horizontal="center" vertical="center"/>
    </xf>
    <xf numFmtId="43" fontId="18" fillId="0" borderId="21" xfId="6" applyFont="1" applyBorder="1" applyAlignment="1">
      <alignment horizontal="center" vertical="center"/>
    </xf>
    <xf numFmtId="43" fontId="18" fillId="0" borderId="39" xfId="6" applyFont="1" applyFill="1" applyBorder="1" applyAlignment="1">
      <alignment horizontal="center" vertical="center"/>
    </xf>
    <xf numFmtId="167" fontId="17" fillId="0" borderId="39" xfId="2" applyNumberFormat="1" applyFont="1" applyBorder="1" applyAlignment="1">
      <alignment horizontal="center" vertical="center"/>
    </xf>
    <xf numFmtId="0" fontId="17" fillId="0" borderId="22" xfId="5" applyFont="1" applyBorder="1" applyAlignment="1">
      <alignment horizontal="center" vertical="center"/>
    </xf>
    <xf numFmtId="2" fontId="36" fillId="26" borderId="20" xfId="3" applyNumberFormat="1" applyFont="1" applyFill="1" applyBorder="1" applyAlignment="1">
      <alignment horizontal="center" vertical="center"/>
    </xf>
    <xf numFmtId="165" fontId="37" fillId="26" borderId="14" xfId="3" applyNumberFormat="1" applyFont="1" applyFill="1" applyBorder="1" applyAlignment="1">
      <alignment horizontal="center" vertical="center" wrapText="1"/>
    </xf>
    <xf numFmtId="2" fontId="16" fillId="0" borderId="20" xfId="0" applyNumberFormat="1" applyFont="1" applyBorder="1" applyAlignment="1">
      <alignment horizontal="center" vertical="center"/>
    </xf>
    <xf numFmtId="2" fontId="16" fillId="0" borderId="14" xfId="0" applyNumberFormat="1" applyFont="1" applyBorder="1" applyAlignment="1">
      <alignment horizontal="center" vertical="center"/>
    </xf>
    <xf numFmtId="2" fontId="19" fillId="24" borderId="14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43" fontId="16" fillId="0" borderId="13" xfId="0" applyNumberFormat="1" applyFont="1" applyBorder="1" applyAlignment="1">
      <alignment horizontal="center" vertical="center"/>
    </xf>
    <xf numFmtId="43" fontId="16" fillId="0" borderId="37" xfId="0" applyNumberFormat="1" applyFont="1" applyBorder="1" applyAlignment="1">
      <alignment horizontal="center" vertical="center"/>
    </xf>
    <xf numFmtId="0" fontId="3" fillId="24" borderId="1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5" fillId="0" borderId="52" xfId="3" applyBorder="1" applyAlignment="1">
      <alignment horizontal="left" vertical="center"/>
    </xf>
    <xf numFmtId="0" fontId="5" fillId="0" borderId="74" xfId="3" applyBorder="1" applyAlignment="1">
      <alignment horizontal="left" vertical="center"/>
    </xf>
    <xf numFmtId="1" fontId="7" fillId="11" borderId="22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1" fontId="7" fillId="20" borderId="64" xfId="3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4" fillId="6" borderId="14" xfId="0" applyFont="1" applyFill="1" applyBorder="1" applyAlignment="1">
      <alignment horizontal="center" vertical="center" wrapText="1"/>
    </xf>
    <xf numFmtId="1" fontId="39" fillId="28" borderId="14" xfId="0" applyNumberFormat="1" applyFont="1" applyFill="1" applyBorder="1" applyAlignment="1">
      <alignment horizontal="center" vertical="center"/>
    </xf>
    <xf numFmtId="2" fontId="39" fillId="28" borderId="14" xfId="0" applyNumberFormat="1" applyFont="1" applyFill="1" applyBorder="1" applyAlignment="1">
      <alignment horizontal="center" vertical="center"/>
    </xf>
    <xf numFmtId="0" fontId="0" fillId="0" borderId="14" xfId="0" pivotButton="1" applyBorder="1"/>
    <xf numFmtId="2" fontId="0" fillId="0" borderId="14" xfId="0" applyNumberFormat="1" applyBorder="1"/>
    <xf numFmtId="0" fontId="24" fillId="4" borderId="14" xfId="0" applyFont="1" applyFill="1" applyBorder="1" applyAlignment="1">
      <alignment horizontal="center" vertical="center" wrapText="1"/>
    </xf>
    <xf numFmtId="0" fontId="0" fillId="0" borderId="14" xfId="0" pivotButton="1" applyBorder="1" applyAlignment="1">
      <alignment horizontal="center" vertical="center"/>
    </xf>
    <xf numFmtId="0" fontId="41" fillId="0" borderId="0" xfId="0" pivotButton="1" applyFont="1"/>
    <xf numFmtId="0" fontId="41" fillId="0" borderId="0" xfId="0" applyFont="1"/>
    <xf numFmtId="0" fontId="41" fillId="0" borderId="0" xfId="0" applyFont="1" applyAlignment="1">
      <alignment horizontal="left"/>
    </xf>
    <xf numFmtId="165" fontId="41" fillId="0" borderId="0" xfId="0" applyNumberFormat="1" applyFont="1" applyAlignment="1">
      <alignment horizontal="center" vertical="center"/>
    </xf>
    <xf numFmtId="165" fontId="40" fillId="0" borderId="0" xfId="0" applyNumberFormat="1" applyFont="1" applyAlignment="1">
      <alignment horizontal="center" vertical="center"/>
    </xf>
    <xf numFmtId="0" fontId="29" fillId="0" borderId="3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29" fillId="0" borderId="19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5" fillId="0" borderId="0" xfId="3" applyFont="1"/>
    <xf numFmtId="0" fontId="2" fillId="0" borderId="3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2" fontId="26" fillId="0" borderId="14" xfId="0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2" fontId="2" fillId="0" borderId="36" xfId="0" applyNumberFormat="1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0" fillId="26" borderId="14" xfId="0" applyFill="1" applyBorder="1" applyAlignment="1">
      <alignment horizontal="center" vertical="center"/>
    </xf>
    <xf numFmtId="166" fontId="42" fillId="11" borderId="26" xfId="1" applyNumberFormat="1" applyFont="1" applyFill="1" applyBorder="1" applyAlignment="1">
      <alignment horizontal="left" vertical="center" wrapText="1"/>
    </xf>
    <xf numFmtId="0" fontId="23" fillId="6" borderId="14" xfId="0" applyFont="1" applyFill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0" fontId="44" fillId="22" borderId="14" xfId="0" applyFont="1" applyFill="1" applyBorder="1" applyAlignment="1">
      <alignment horizontal="center" vertical="center"/>
    </xf>
    <xf numFmtId="2" fontId="44" fillId="0" borderId="14" xfId="0" applyNumberFormat="1" applyFont="1" applyBorder="1" applyAlignment="1">
      <alignment horizontal="center" vertical="center"/>
    </xf>
    <xf numFmtId="0" fontId="44" fillId="0" borderId="14" xfId="0" applyFont="1" applyBorder="1"/>
    <xf numFmtId="0" fontId="44" fillId="24" borderId="14" xfId="0" applyFont="1" applyFill="1" applyBorder="1" applyAlignment="1">
      <alignment horizontal="center" vertical="center"/>
    </xf>
    <xf numFmtId="0" fontId="44" fillId="17" borderId="14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/>
    </xf>
    <xf numFmtId="0" fontId="44" fillId="30" borderId="14" xfId="0" applyFont="1" applyFill="1" applyBorder="1" applyAlignment="1">
      <alignment horizontal="center" vertical="center"/>
    </xf>
    <xf numFmtId="1" fontId="44" fillId="0" borderId="14" xfId="0" applyNumberFormat="1" applyFont="1" applyBorder="1"/>
    <xf numFmtId="0" fontId="44" fillId="29" borderId="14" xfId="0" applyFont="1" applyFill="1" applyBorder="1" applyAlignment="1">
      <alignment horizontal="center" vertical="center"/>
    </xf>
    <xf numFmtId="2" fontId="4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4" xfId="0" pivotButton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4" fillId="0" borderId="13" xfId="0" applyFont="1" applyBorder="1" applyAlignment="1">
      <alignment horizontal="center" vertical="center"/>
    </xf>
    <xf numFmtId="0" fontId="44" fillId="22" borderId="13" xfId="0" applyFont="1" applyFill="1" applyBorder="1" applyAlignment="1">
      <alignment horizontal="center" vertical="center"/>
    </xf>
    <xf numFmtId="2" fontId="44" fillId="0" borderId="13" xfId="0" applyNumberFormat="1" applyFont="1" applyBorder="1" applyAlignment="1">
      <alignment horizontal="center" vertical="center"/>
    </xf>
    <xf numFmtId="0" fontId="44" fillId="0" borderId="13" xfId="0" applyFont="1" applyBorder="1"/>
    <xf numFmtId="0" fontId="43" fillId="0" borderId="7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8" xfId="0" applyFont="1" applyFill="1" applyBorder="1" applyAlignment="1">
      <alignment horizontal="center" vertical="center" wrapText="1"/>
    </xf>
    <xf numFmtId="0" fontId="43" fillId="0" borderId="12" xfId="0" applyFont="1" applyFill="1" applyBorder="1" applyAlignment="1">
      <alignment horizontal="center" vertical="center" wrapText="1"/>
    </xf>
    <xf numFmtId="0" fontId="44" fillId="0" borderId="28" xfId="0" applyFont="1" applyBorder="1" applyAlignment="1">
      <alignment horizontal="center" vertical="center"/>
    </xf>
    <xf numFmtId="0" fontId="44" fillId="17" borderId="28" xfId="0" applyFont="1" applyFill="1" applyBorder="1" applyAlignment="1">
      <alignment horizontal="center" vertical="center"/>
    </xf>
    <xf numFmtId="2" fontId="44" fillId="0" borderId="28" xfId="0" applyNumberFormat="1" applyFont="1" applyBorder="1" applyAlignment="1">
      <alignment horizontal="center" vertical="center"/>
    </xf>
    <xf numFmtId="0" fontId="44" fillId="0" borderId="28" xfId="0" applyFont="1" applyBorder="1"/>
    <xf numFmtId="1" fontId="44" fillId="0" borderId="28" xfId="0" applyNumberFormat="1" applyFont="1" applyBorder="1"/>
    <xf numFmtId="2" fontId="26" fillId="0" borderId="28" xfId="0" applyNumberFormat="1" applyFont="1" applyBorder="1" applyAlignment="1">
      <alignment horizontal="center" vertical="center"/>
    </xf>
    <xf numFmtId="0" fontId="44" fillId="29" borderId="13" xfId="0" applyFont="1" applyFill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43" fillId="17" borderId="8" xfId="0" applyFont="1" applyFill="1" applyBorder="1" applyAlignment="1">
      <alignment horizontal="center" vertical="center"/>
    </xf>
    <xf numFmtId="2" fontId="43" fillId="0" borderId="8" xfId="0" applyNumberFormat="1" applyFont="1" applyBorder="1" applyAlignment="1">
      <alignment horizontal="center" vertical="center"/>
    </xf>
    <xf numFmtId="0" fontId="43" fillId="0" borderId="8" xfId="0" applyFont="1" applyBorder="1" applyAlignment="1">
      <alignment horizontal="center"/>
    </xf>
    <xf numFmtId="1" fontId="43" fillId="0" borderId="8" xfId="0" applyNumberFormat="1" applyFont="1" applyBorder="1" applyAlignment="1">
      <alignment horizontal="center"/>
    </xf>
    <xf numFmtId="1" fontId="43" fillId="0" borderId="12" xfId="0" applyNumberFormat="1" applyFont="1" applyBorder="1" applyAlignment="1">
      <alignment horizontal="center"/>
    </xf>
    <xf numFmtId="0" fontId="44" fillId="0" borderId="13" xfId="0" applyFont="1" applyBorder="1" applyAlignment="1">
      <alignment horizontal="center"/>
    </xf>
    <xf numFmtId="0" fontId="44" fillId="0" borderId="28" xfId="0" applyFont="1" applyBorder="1" applyAlignment="1">
      <alignment horizontal="center"/>
    </xf>
    <xf numFmtId="0" fontId="0" fillId="0" borderId="0" xfId="0" applyAlignment="1">
      <alignment horizontal="center"/>
    </xf>
    <xf numFmtId="165" fontId="44" fillId="0" borderId="14" xfId="0" applyNumberFormat="1" applyFont="1" applyBorder="1" applyAlignment="1">
      <alignment horizontal="center"/>
    </xf>
    <xf numFmtId="1" fontId="44" fillId="0" borderId="28" xfId="0" applyNumberFormat="1" applyFont="1" applyBorder="1" applyAlignment="1">
      <alignment horizontal="center"/>
    </xf>
    <xf numFmtId="0" fontId="23" fillId="6" borderId="14" xfId="0" applyFont="1" applyFill="1" applyBorder="1" applyAlignment="1">
      <alignment horizontal="center" vertical="center" wrapText="1"/>
    </xf>
    <xf numFmtId="0" fontId="45" fillId="0" borderId="14" xfId="0" applyFont="1" applyBorder="1" applyAlignment="1">
      <alignment horizontal="center" vertical="center" wrapText="1"/>
    </xf>
    <xf numFmtId="0" fontId="26" fillId="0" borderId="0" xfId="0" applyFont="1"/>
    <xf numFmtId="0" fontId="2" fillId="3" borderId="8" xfId="0" applyFont="1" applyFill="1" applyBorder="1" applyAlignment="1">
      <alignment horizontal="center" vertical="center" wrapText="1"/>
    </xf>
    <xf numFmtId="2" fontId="45" fillId="0" borderId="13" xfId="0" applyNumberFormat="1" applyFont="1" applyFill="1" applyBorder="1" applyAlignment="1">
      <alignment horizontal="center" vertical="center" wrapText="1"/>
    </xf>
    <xf numFmtId="0" fontId="45" fillId="0" borderId="14" xfId="0" applyFont="1" applyFill="1" applyBorder="1" applyAlignment="1">
      <alignment horizontal="center" vertical="center" wrapText="1"/>
    </xf>
    <xf numFmtId="0" fontId="45" fillId="0" borderId="14" xfId="0" applyFont="1" applyFill="1" applyBorder="1" applyAlignment="1">
      <alignment horizontal="center" vertical="center"/>
    </xf>
    <xf numFmtId="0" fontId="45" fillId="0" borderId="13" xfId="0" applyFont="1" applyFill="1" applyBorder="1" applyAlignment="1">
      <alignment horizontal="center" vertical="center" wrapText="1"/>
    </xf>
    <xf numFmtId="2" fontId="45" fillId="0" borderId="13" xfId="0" applyNumberFormat="1" applyFont="1" applyBorder="1" applyAlignment="1">
      <alignment horizontal="center" vertical="center" wrapText="1"/>
    </xf>
    <xf numFmtId="0" fontId="45" fillId="0" borderId="14" xfId="0" applyFont="1" applyBorder="1" applyAlignment="1">
      <alignment horizontal="left" vertical="center" wrapText="1"/>
    </xf>
    <xf numFmtId="0" fontId="45" fillId="0" borderId="14" xfId="0" applyFont="1" applyFill="1" applyBorder="1" applyAlignment="1">
      <alignment horizontal="left" vertical="center" wrapText="1"/>
    </xf>
    <xf numFmtId="2" fontId="45" fillId="0" borderId="14" xfId="0" applyNumberFormat="1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center" wrapText="1"/>
    </xf>
    <xf numFmtId="0" fontId="26" fillId="0" borderId="0" xfId="0" applyFont="1" applyAlignment="1">
      <alignment wrapText="1"/>
    </xf>
    <xf numFmtId="0" fontId="43" fillId="17" borderId="53" xfId="5" applyFont="1" applyFill="1" applyBorder="1" applyAlignment="1">
      <alignment horizontal="center" vertical="center"/>
    </xf>
    <xf numFmtId="0" fontId="46" fillId="0" borderId="23" xfId="5" applyFont="1" applyBorder="1" applyAlignment="1">
      <alignment horizontal="center" vertical="center" wrapText="1"/>
    </xf>
    <xf numFmtId="9" fontId="46" fillId="0" borderId="23" xfId="5" applyNumberFormat="1" applyFont="1" applyBorder="1" applyAlignment="1">
      <alignment horizontal="center" vertical="center"/>
    </xf>
    <xf numFmtId="0" fontId="46" fillId="0" borderId="53" xfId="5" applyFont="1" applyBorder="1" applyAlignment="1">
      <alignment horizontal="center" vertical="center" wrapText="1"/>
    </xf>
    <xf numFmtId="0" fontId="46" fillId="0" borderId="16" xfId="5" applyFont="1" applyBorder="1" applyAlignment="1">
      <alignment horizontal="center" vertical="center"/>
    </xf>
    <xf numFmtId="0" fontId="46" fillId="0" borderId="68" xfId="5" applyFont="1" applyBorder="1" applyAlignment="1">
      <alignment horizontal="center" vertical="center"/>
    </xf>
    <xf numFmtId="0" fontId="46" fillId="18" borderId="58" xfId="5" applyFont="1" applyFill="1" applyBorder="1" applyAlignment="1">
      <alignment vertical="center"/>
    </xf>
    <xf numFmtId="43" fontId="46" fillId="0" borderId="23" xfId="6" applyFont="1" applyBorder="1" applyAlignment="1">
      <alignment horizontal="center" vertical="center"/>
    </xf>
    <xf numFmtId="0" fontId="46" fillId="0" borderId="66" xfId="5" applyFont="1" applyBorder="1" applyAlignment="1">
      <alignment horizontal="center" vertical="center"/>
    </xf>
    <xf numFmtId="1" fontId="46" fillId="23" borderId="57" xfId="3" applyNumberFormat="1" applyFont="1" applyFill="1" applyBorder="1" applyAlignment="1">
      <alignment vertical="center" wrapText="1"/>
    </xf>
    <xf numFmtId="10" fontId="46" fillId="0" borderId="23" xfId="5" applyNumberFormat="1" applyFont="1" applyBorder="1" applyAlignment="1">
      <alignment horizontal="center" vertical="center" wrapText="1"/>
    </xf>
    <xf numFmtId="0" fontId="46" fillId="0" borderId="16" xfId="5" applyFont="1" applyBorder="1" applyAlignment="1">
      <alignment horizontal="center" vertical="center" wrapText="1"/>
    </xf>
    <xf numFmtId="0" fontId="46" fillId="0" borderId="68" xfId="5" applyFont="1" applyBorder="1" applyAlignment="1">
      <alignment vertical="center"/>
    </xf>
    <xf numFmtId="0" fontId="46" fillId="10" borderId="58" xfId="5" applyFont="1" applyFill="1" applyBorder="1" applyAlignment="1">
      <alignment vertical="center"/>
    </xf>
    <xf numFmtId="10" fontId="46" fillId="0" borderId="23" xfId="5" applyNumberFormat="1" applyFont="1" applyBorder="1" applyAlignment="1">
      <alignment horizontal="center" vertical="center"/>
    </xf>
    <xf numFmtId="10" fontId="46" fillId="0" borderId="69" xfId="5" applyNumberFormat="1" applyFont="1" applyBorder="1" applyAlignment="1">
      <alignment horizontal="center" vertical="center"/>
    </xf>
    <xf numFmtId="43" fontId="46" fillId="0" borderId="16" xfId="5" applyNumberFormat="1" applyFont="1" applyBorder="1" applyAlignment="1">
      <alignment horizontal="center" vertical="center"/>
    </xf>
    <xf numFmtId="0" fontId="46" fillId="0" borderId="53" xfId="5" applyFont="1" applyBorder="1" applyAlignment="1">
      <alignment horizontal="center" vertical="center"/>
    </xf>
    <xf numFmtId="0" fontId="46" fillId="0" borderId="69" xfId="5" applyFont="1" applyBorder="1" applyAlignment="1">
      <alignment horizontal="center" vertical="center"/>
    </xf>
    <xf numFmtId="0" fontId="46" fillId="5" borderId="16" xfId="5" applyFont="1" applyFill="1" applyBorder="1" applyAlignment="1">
      <alignment horizontal="center" vertical="center"/>
    </xf>
    <xf numFmtId="0" fontId="46" fillId="22" borderId="16" xfId="5" applyFont="1" applyFill="1" applyBorder="1" applyAlignment="1">
      <alignment horizontal="center" vertical="center"/>
    </xf>
    <xf numFmtId="43" fontId="46" fillId="0" borderId="0" xfId="6" applyFont="1" applyBorder="1" applyAlignment="1">
      <alignment horizontal="center" vertical="center"/>
    </xf>
    <xf numFmtId="0" fontId="43" fillId="0" borderId="20" xfId="5" applyFont="1" applyBorder="1" applyAlignment="1">
      <alignment horizontal="center"/>
    </xf>
    <xf numFmtId="0" fontId="43" fillId="0" borderId="36" xfId="5" applyFont="1" applyBorder="1" applyAlignment="1">
      <alignment horizontal="center"/>
    </xf>
    <xf numFmtId="43" fontId="46" fillId="0" borderId="20" xfId="6" applyFont="1" applyBorder="1" applyAlignment="1">
      <alignment horizontal="center" vertical="center"/>
    </xf>
    <xf numFmtId="43" fontId="46" fillId="0" borderId="14" xfId="6" applyFont="1" applyBorder="1" applyAlignment="1">
      <alignment horizontal="center" vertical="center"/>
    </xf>
    <xf numFmtId="43" fontId="46" fillId="0" borderId="36" xfId="6" applyFont="1" applyBorder="1" applyAlignment="1">
      <alignment horizontal="center" vertical="center"/>
    </xf>
    <xf numFmtId="0" fontId="43" fillId="0" borderId="0" xfId="5" applyFont="1" applyAlignment="1">
      <alignment horizontal="center" vertical="center" wrapText="1"/>
    </xf>
    <xf numFmtId="0" fontId="43" fillId="0" borderId="0" xfId="5" applyFont="1" applyAlignment="1">
      <alignment horizontal="center"/>
    </xf>
    <xf numFmtId="0" fontId="26" fillId="0" borderId="0" xfId="0" applyFont="1" applyAlignment="1">
      <alignment vertical="center"/>
    </xf>
    <xf numFmtId="0" fontId="26" fillId="0" borderId="14" xfId="0" applyFont="1" applyBorder="1" applyAlignment="1">
      <alignment horizontal="left" vertical="center" wrapText="1"/>
    </xf>
    <xf numFmtId="0" fontId="26" fillId="0" borderId="14" xfId="0" applyFont="1" applyBorder="1" applyAlignment="1">
      <alignment vertical="center"/>
    </xf>
    <xf numFmtId="0" fontId="44" fillId="0" borderId="14" xfId="0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43" fontId="46" fillId="0" borderId="14" xfId="6" applyFont="1" applyFill="1" applyBorder="1" applyAlignment="1">
      <alignment horizontal="center" vertical="center"/>
    </xf>
    <xf numFmtId="0" fontId="19" fillId="0" borderId="14" xfId="5" applyFont="1" applyFill="1" applyBorder="1" applyAlignment="1">
      <alignment horizontal="center" vertical="center"/>
    </xf>
    <xf numFmtId="43" fontId="17" fillId="0" borderId="14" xfId="6" applyFont="1" applyFill="1" applyBorder="1" applyAlignment="1">
      <alignment horizontal="center" vertical="center"/>
    </xf>
    <xf numFmtId="0" fontId="17" fillId="24" borderId="20" xfId="5" applyFont="1" applyFill="1" applyBorder="1" applyAlignment="1">
      <alignment vertical="center"/>
    </xf>
    <xf numFmtId="0" fontId="46" fillId="24" borderId="21" xfId="5" applyFont="1" applyFill="1" applyBorder="1" applyAlignment="1">
      <alignment vertical="center"/>
    </xf>
    <xf numFmtId="0" fontId="17" fillId="24" borderId="22" xfId="5" applyFont="1" applyFill="1" applyBorder="1" applyAlignment="1">
      <alignment horizontal="center" vertical="center"/>
    </xf>
    <xf numFmtId="0" fontId="46" fillId="24" borderId="26" xfId="5" applyFont="1" applyFill="1" applyBorder="1" applyAlignment="1">
      <alignment vertical="center"/>
    </xf>
    <xf numFmtId="0" fontId="17" fillId="24" borderId="38" xfId="5" applyFont="1" applyFill="1" applyBorder="1" applyAlignment="1">
      <alignment horizontal="center" vertical="center"/>
    </xf>
    <xf numFmtId="0" fontId="46" fillId="24" borderId="79" xfId="5" applyFont="1" applyFill="1" applyBorder="1" applyAlignment="1">
      <alignment vertical="center"/>
    </xf>
    <xf numFmtId="10" fontId="46" fillId="0" borderId="26" xfId="5" applyNumberFormat="1" applyFont="1" applyBorder="1" applyAlignment="1">
      <alignment horizontal="center" vertical="center"/>
    </xf>
    <xf numFmtId="0" fontId="43" fillId="0" borderId="82" xfId="5" applyFont="1" applyBorder="1" applyAlignment="1">
      <alignment horizontal="center"/>
    </xf>
    <xf numFmtId="0" fontId="43" fillId="21" borderId="81" xfId="0" applyFont="1" applyFill="1" applyBorder="1" applyAlignment="1">
      <alignment horizontal="center" vertical="center" wrapText="1"/>
    </xf>
    <xf numFmtId="0" fontId="16" fillId="0" borderId="14" xfId="5" applyFont="1" applyBorder="1"/>
    <xf numFmtId="43" fontId="16" fillId="0" borderId="14" xfId="1" applyFont="1" applyBorder="1" applyAlignment="1">
      <alignment horizontal="center" vertical="center"/>
    </xf>
    <xf numFmtId="43" fontId="4" fillId="0" borderId="14" xfId="1" applyBorder="1" applyAlignment="1">
      <alignment horizontal="center" vertical="center" wrapText="1"/>
    </xf>
    <xf numFmtId="43" fontId="16" fillId="0" borderId="0" xfId="1" applyFont="1"/>
    <xf numFmtId="43" fontId="17" fillId="0" borderId="0" xfId="6" applyFont="1" applyFill="1" applyBorder="1" applyAlignment="1">
      <alignment horizontal="center" vertical="center"/>
    </xf>
    <xf numFmtId="0" fontId="16" fillId="0" borderId="2" xfId="5" applyFont="1" applyBorder="1"/>
    <xf numFmtId="0" fontId="16" fillId="0" borderId="20" xfId="5" applyFont="1" applyBorder="1"/>
    <xf numFmtId="43" fontId="16" fillId="0" borderId="20" xfId="1" applyFont="1" applyBorder="1" applyAlignment="1">
      <alignment horizontal="center" vertical="center"/>
    </xf>
    <xf numFmtId="43" fontId="4" fillId="0" borderId="20" xfId="1" applyBorder="1" applyAlignment="1">
      <alignment horizontal="center" vertical="center" wrapText="1"/>
    </xf>
    <xf numFmtId="43" fontId="16" fillId="0" borderId="21" xfId="1" applyFont="1" applyBorder="1" applyAlignment="1">
      <alignment horizontal="center" vertical="center"/>
    </xf>
    <xf numFmtId="0" fontId="16" fillId="0" borderId="38" xfId="5" applyFont="1" applyBorder="1"/>
    <xf numFmtId="43" fontId="16" fillId="0" borderId="26" xfId="1" applyFont="1" applyBorder="1" applyAlignment="1">
      <alignment horizontal="center" vertical="center"/>
    </xf>
    <xf numFmtId="43" fontId="18" fillId="0" borderId="8" xfId="6" applyFont="1" applyBorder="1" applyAlignment="1">
      <alignment horizontal="left" vertical="center"/>
    </xf>
    <xf numFmtId="0" fontId="43" fillId="0" borderId="8" xfId="5" applyFont="1" applyBorder="1"/>
    <xf numFmtId="0" fontId="19" fillId="0" borderId="61" xfId="5" applyFont="1" applyBorder="1" applyAlignment="1">
      <alignment horizontal="center" vertical="center"/>
    </xf>
    <xf numFmtId="43" fontId="17" fillId="0" borderId="61" xfId="6" applyFont="1" applyBorder="1" applyAlignment="1">
      <alignment horizontal="center" vertical="center"/>
    </xf>
    <xf numFmtId="0" fontId="19" fillId="0" borderId="8" xfId="5" applyFont="1" applyBorder="1" applyAlignment="1">
      <alignment horizontal="center" vertical="center"/>
    </xf>
    <xf numFmtId="0" fontId="43" fillId="0" borderId="57" xfId="5" applyFont="1" applyBorder="1" applyAlignment="1">
      <alignment horizontal="center" vertical="center" wrapText="1"/>
    </xf>
    <xf numFmtId="0" fontId="43" fillId="0" borderId="23" xfId="5" applyFont="1" applyBorder="1" applyAlignment="1">
      <alignment horizontal="center" vertical="center" wrapText="1"/>
    </xf>
    <xf numFmtId="0" fontId="43" fillId="0" borderId="83" xfId="5" applyFont="1" applyBorder="1" applyAlignment="1">
      <alignment horizontal="center"/>
    </xf>
    <xf numFmtId="43" fontId="16" fillId="0" borderId="63" xfId="1" applyFont="1" applyBorder="1" applyAlignment="1">
      <alignment horizontal="center" vertical="center"/>
    </xf>
    <xf numFmtId="43" fontId="16" fillId="0" borderId="24" xfId="1" applyFont="1" applyBorder="1" applyAlignment="1">
      <alignment horizontal="center" vertical="center"/>
    </xf>
    <xf numFmtId="0" fontId="19" fillId="0" borderId="78" xfId="5" applyFont="1" applyBorder="1" applyAlignment="1">
      <alignment horizontal="center" vertical="center"/>
    </xf>
    <xf numFmtId="3" fontId="4" fillId="0" borderId="19" xfId="5" applyNumberFormat="1" applyBorder="1" applyAlignment="1">
      <alignment horizontal="center" vertical="center" wrapText="1"/>
    </xf>
    <xf numFmtId="3" fontId="4" fillId="0" borderId="22" xfId="5" applyNumberFormat="1" applyBorder="1" applyAlignment="1">
      <alignment horizontal="center" vertical="center" wrapText="1"/>
    </xf>
    <xf numFmtId="0" fontId="15" fillId="25" borderId="17" xfId="5" applyFont="1" applyFill="1" applyBorder="1" applyAlignment="1">
      <alignment horizontal="center" vertical="center"/>
    </xf>
    <xf numFmtId="0" fontId="15" fillId="25" borderId="18" xfId="5" applyFont="1" applyFill="1" applyBorder="1" applyAlignment="1">
      <alignment horizontal="center" vertical="center"/>
    </xf>
    <xf numFmtId="0" fontId="17" fillId="0" borderId="28" xfId="5" applyFont="1" applyFill="1" applyBorder="1" applyAlignment="1">
      <alignment horizontal="center" vertical="center"/>
    </xf>
    <xf numFmtId="0" fontId="17" fillId="0" borderId="13" xfId="5" applyFont="1" applyFill="1" applyBorder="1" applyAlignment="1">
      <alignment horizontal="center" vertical="center"/>
    </xf>
    <xf numFmtId="0" fontId="15" fillId="16" borderId="69" xfId="5" applyFont="1" applyFill="1" applyBorder="1" applyAlignment="1">
      <alignment horizontal="center" vertical="center" wrapText="1"/>
    </xf>
    <xf numFmtId="0" fontId="15" fillId="16" borderId="72" xfId="5" applyFont="1" applyFill="1" applyBorder="1" applyAlignment="1">
      <alignment horizontal="center" vertical="center" wrapText="1"/>
    </xf>
    <xf numFmtId="0" fontId="15" fillId="16" borderId="53" xfId="5" applyFont="1" applyFill="1" applyBorder="1" applyAlignment="1">
      <alignment horizontal="center" vertical="center" wrapText="1"/>
    </xf>
    <xf numFmtId="0" fontId="15" fillId="16" borderId="67" xfId="5" applyFont="1" applyFill="1" applyBorder="1" applyAlignment="1">
      <alignment horizontal="center" vertical="center" wrapText="1"/>
    </xf>
    <xf numFmtId="0" fontId="17" fillId="19" borderId="2" xfId="5" applyFont="1" applyFill="1" applyBorder="1" applyAlignment="1">
      <alignment horizontal="center" vertical="center"/>
    </xf>
    <xf numFmtId="0" fontId="17" fillId="19" borderId="3" xfId="5" applyFont="1" applyFill="1" applyBorder="1" applyAlignment="1">
      <alignment horizontal="center" vertical="center"/>
    </xf>
    <xf numFmtId="0" fontId="15" fillId="25" borderId="16" xfId="5" applyFont="1" applyFill="1" applyBorder="1" applyAlignment="1">
      <alignment horizontal="center" vertical="center"/>
    </xf>
    <xf numFmtId="0" fontId="15" fillId="15" borderId="31" xfId="5" applyFont="1" applyFill="1" applyBorder="1" applyAlignment="1">
      <alignment horizontal="center" wrapText="1"/>
    </xf>
    <xf numFmtId="0" fontId="15" fillId="15" borderId="58" xfId="5" applyFont="1" applyFill="1" applyBorder="1" applyAlignment="1">
      <alignment horizontal="center" wrapText="1"/>
    </xf>
    <xf numFmtId="0" fontId="15" fillId="15" borderId="63" xfId="5" applyFont="1" applyFill="1" applyBorder="1" applyAlignment="1">
      <alignment horizontal="center" wrapText="1"/>
    </xf>
    <xf numFmtId="0" fontId="5" fillId="0" borderId="32" xfId="3" applyBorder="1" applyAlignment="1">
      <alignment horizontal="left" vertical="center"/>
    </xf>
    <xf numFmtId="0" fontId="5" fillId="0" borderId="52" xfId="3" applyBorder="1" applyAlignment="1">
      <alignment horizontal="left" vertical="center"/>
    </xf>
    <xf numFmtId="0" fontId="5" fillId="0" borderId="34" xfId="3" applyBorder="1" applyAlignment="1">
      <alignment horizontal="left" vertical="center"/>
    </xf>
    <xf numFmtId="0" fontId="5" fillId="0" borderId="74" xfId="3" applyBorder="1" applyAlignment="1">
      <alignment horizontal="left" vertical="center"/>
    </xf>
    <xf numFmtId="0" fontId="28" fillId="0" borderId="2" xfId="3" applyFont="1" applyBorder="1" applyAlignment="1">
      <alignment horizontal="center" vertical="center"/>
    </xf>
    <xf numFmtId="0" fontId="28" fillId="0" borderId="3" xfId="3" applyFont="1" applyBorder="1" applyAlignment="1">
      <alignment horizontal="center" vertical="center"/>
    </xf>
    <xf numFmtId="0" fontId="28" fillId="0" borderId="5" xfId="3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7" fillId="13" borderId="33" xfId="3" applyNumberFormat="1" applyFont="1" applyFill="1" applyBorder="1" applyAlignment="1">
      <alignment horizontal="left" vertical="center" wrapText="1"/>
    </xf>
    <xf numFmtId="1" fontId="7" fillId="13" borderId="13" xfId="3" applyNumberFormat="1" applyFont="1" applyFill="1" applyBorder="1" applyAlignment="1">
      <alignment horizontal="left" vertical="center" wrapText="1"/>
    </xf>
    <xf numFmtId="1" fontId="7" fillId="13" borderId="53" xfId="3" applyNumberFormat="1" applyFont="1" applyFill="1" applyBorder="1" applyAlignment="1">
      <alignment horizontal="left" vertical="center" wrapText="1"/>
    </xf>
    <xf numFmtId="1" fontId="7" fillId="13" borderId="37" xfId="3" applyNumberFormat="1" applyFont="1" applyFill="1" applyBorder="1" applyAlignment="1">
      <alignment horizontal="left" vertical="center" wrapText="1"/>
    </xf>
    <xf numFmtId="1" fontId="7" fillId="11" borderId="22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1" fontId="7" fillId="11" borderId="35" xfId="3" applyNumberFormat="1" applyFont="1" applyFill="1" applyBorder="1" applyAlignment="1">
      <alignment horizontal="left" vertical="center" wrapText="1"/>
    </xf>
    <xf numFmtId="1" fontId="7" fillId="11" borderId="36" xfId="3" applyNumberFormat="1" applyFont="1" applyFill="1" applyBorder="1" applyAlignment="1">
      <alignment horizontal="left" vertical="center" wrapText="1"/>
    </xf>
    <xf numFmtId="1" fontId="7" fillId="13" borderId="40" xfId="3" applyNumberFormat="1" applyFont="1" applyFill="1" applyBorder="1" applyAlignment="1">
      <alignment horizontal="left" vertical="center" wrapText="1"/>
    </xf>
    <xf numFmtId="1" fontId="7" fillId="13" borderId="41" xfId="3" applyNumberFormat="1" applyFont="1" applyFill="1" applyBorder="1" applyAlignment="1">
      <alignment horizontal="left" vertical="center" wrapText="1"/>
    </xf>
    <xf numFmtId="1" fontId="7" fillId="13" borderId="42" xfId="3" applyNumberFormat="1" applyFont="1" applyFill="1" applyBorder="1" applyAlignment="1">
      <alignment horizontal="left" vertical="center" wrapText="1"/>
    </xf>
    <xf numFmtId="1" fontId="7" fillId="13" borderId="43" xfId="3" applyNumberFormat="1" applyFont="1" applyFill="1" applyBorder="1" applyAlignment="1">
      <alignment horizontal="left" vertical="center" wrapText="1"/>
    </xf>
    <xf numFmtId="1" fontId="7" fillId="20" borderId="65" xfId="3" applyNumberFormat="1" applyFont="1" applyFill="1" applyBorder="1" applyAlignment="1">
      <alignment horizontal="left" vertical="center" wrapText="1"/>
    </xf>
    <xf numFmtId="1" fontId="7" fillId="20" borderId="64" xfId="3" applyNumberFormat="1" applyFont="1" applyFill="1" applyBorder="1" applyAlignment="1">
      <alignment horizontal="left" vertical="center" wrapText="1"/>
    </xf>
    <xf numFmtId="1" fontId="7" fillId="20" borderId="71" xfId="3" applyNumberFormat="1" applyFont="1" applyFill="1" applyBorder="1" applyAlignment="1">
      <alignment horizontal="left" vertical="center" wrapText="1"/>
    </xf>
    <xf numFmtId="0" fontId="5" fillId="0" borderId="19" xfId="3" applyBorder="1" applyAlignment="1">
      <alignment horizontal="left" vertical="center"/>
    </xf>
    <xf numFmtId="0" fontId="5" fillId="0" borderId="20" xfId="3" applyBorder="1" applyAlignment="1">
      <alignment horizontal="left" vertical="center"/>
    </xf>
    <xf numFmtId="166" fontId="7" fillId="11" borderId="7" xfId="1" applyNumberFormat="1" applyFont="1" applyFill="1" applyBorder="1" applyAlignment="1">
      <alignment horizontal="center" vertical="center" wrapText="1"/>
    </xf>
    <xf numFmtId="166" fontId="7" fillId="11" borderId="11" xfId="1" applyNumberFormat="1" applyFont="1" applyFill="1" applyBorder="1" applyAlignment="1">
      <alignment horizontal="center" vertical="center" wrapText="1"/>
    </xf>
    <xf numFmtId="166" fontId="7" fillId="11" borderId="8" xfId="1" applyNumberFormat="1" applyFont="1" applyFill="1" applyBorder="1" applyAlignment="1">
      <alignment horizontal="center" vertical="center" wrapText="1"/>
    </xf>
    <xf numFmtId="166" fontId="7" fillId="11" borderId="16" xfId="1" applyNumberFormat="1" applyFont="1" applyFill="1" applyBorder="1" applyAlignment="1">
      <alignment horizontal="center" vertical="center" wrapText="1"/>
    </xf>
    <xf numFmtId="166" fontId="7" fillId="11" borderId="12" xfId="1" applyNumberFormat="1" applyFont="1" applyFill="1" applyBorder="1" applyAlignment="1">
      <alignment horizontal="center" vertical="center" wrapText="1"/>
    </xf>
    <xf numFmtId="0" fontId="6" fillId="0" borderId="19" xfId="3" applyFont="1" applyBorder="1" applyAlignment="1">
      <alignment horizontal="center" vertical="center" wrapText="1"/>
    </xf>
    <xf numFmtId="0" fontId="6" fillId="0" borderId="20" xfId="3" applyFont="1" applyBorder="1" applyAlignment="1">
      <alignment horizontal="center" vertical="center" wrapText="1"/>
    </xf>
    <xf numFmtId="0" fontId="6" fillId="0" borderId="57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7" fillId="0" borderId="23" xfId="3" applyFont="1" applyBorder="1" applyAlignment="1">
      <alignment horizontal="center" vertical="center" wrapText="1"/>
    </xf>
    <xf numFmtId="0" fontId="7" fillId="0" borderId="24" xfId="3" applyFont="1" applyBorder="1" applyAlignment="1">
      <alignment horizontal="center" vertical="center" wrapText="1"/>
    </xf>
    <xf numFmtId="1" fontId="8" fillId="7" borderId="27" xfId="3" applyNumberFormat="1" applyFont="1" applyFill="1" applyBorder="1" applyAlignment="1">
      <alignment horizontal="left" vertical="center" wrapText="1"/>
    </xf>
    <xf numFmtId="1" fontId="8" fillId="7" borderId="28" xfId="3" applyNumberFormat="1" applyFont="1" applyFill="1" applyBorder="1" applyAlignment="1">
      <alignment horizontal="left" vertical="center" wrapText="1"/>
    </xf>
    <xf numFmtId="1" fontId="8" fillId="7" borderId="69" xfId="3" applyNumberFormat="1" applyFont="1" applyFill="1" applyBorder="1" applyAlignment="1">
      <alignment horizontal="left" vertical="center" wrapText="1"/>
    </xf>
    <xf numFmtId="1" fontId="8" fillId="7" borderId="29" xfId="3" applyNumberFormat="1" applyFont="1" applyFill="1" applyBorder="1" applyAlignment="1">
      <alignment horizontal="left" vertical="center" wrapText="1"/>
    </xf>
    <xf numFmtId="1" fontId="7" fillId="8" borderId="7" xfId="3" applyNumberFormat="1" applyFont="1" applyFill="1" applyBorder="1" applyAlignment="1">
      <alignment horizontal="left" vertical="center" wrapText="1"/>
    </xf>
    <xf numFmtId="1" fontId="7" fillId="8" borderId="8" xfId="3" applyNumberFormat="1" applyFont="1" applyFill="1" applyBorder="1" applyAlignment="1">
      <alignment horizontal="left" vertical="center" wrapText="1"/>
    </xf>
    <xf numFmtId="1" fontId="7" fillId="8" borderId="16" xfId="3" applyNumberFormat="1" applyFont="1" applyFill="1" applyBorder="1" applyAlignment="1">
      <alignment horizontal="left" vertical="center" wrapText="1"/>
    </xf>
    <xf numFmtId="1" fontId="7" fillId="8" borderId="12" xfId="3" applyNumberFormat="1" applyFont="1" applyFill="1" applyBorder="1" applyAlignment="1">
      <alignment horizontal="left" vertical="center" wrapText="1"/>
    </xf>
    <xf numFmtId="0" fontId="5" fillId="0" borderId="19" xfId="3" applyFill="1" applyBorder="1" applyAlignment="1">
      <alignment horizontal="left" vertical="center"/>
    </xf>
    <xf numFmtId="0" fontId="5" fillId="0" borderId="20" xfId="3" applyFill="1" applyBorder="1" applyAlignment="1">
      <alignment horizontal="left" vertical="center"/>
    </xf>
    <xf numFmtId="166" fontId="7" fillId="11" borderId="60" xfId="1" applyNumberFormat="1" applyFont="1" applyFill="1" applyBorder="1" applyAlignment="1">
      <alignment horizontal="center" vertical="center" wrapText="1"/>
    </xf>
    <xf numFmtId="166" fontId="7" fillId="11" borderId="61" xfId="1" applyNumberFormat="1" applyFont="1" applyFill="1" applyBorder="1" applyAlignment="1">
      <alignment horizontal="center" vertical="center" wrapText="1"/>
    </xf>
    <xf numFmtId="166" fontId="7" fillId="11" borderId="66" xfId="1" applyNumberFormat="1" applyFont="1" applyFill="1" applyBorder="1" applyAlignment="1">
      <alignment horizontal="center" vertical="center" wrapText="1"/>
    </xf>
    <xf numFmtId="166" fontId="7" fillId="11" borderId="62" xfId="1" applyNumberFormat="1" applyFont="1" applyFill="1" applyBorder="1" applyAlignment="1">
      <alignment horizontal="center" vertical="center" wrapText="1"/>
    </xf>
    <xf numFmtId="0" fontId="7" fillId="0" borderId="23" xfId="1" applyNumberFormat="1" applyFont="1" applyBorder="1" applyAlignment="1">
      <alignment horizontal="center" vertical="center" wrapText="1"/>
    </xf>
    <xf numFmtId="0" fontId="7" fillId="0" borderId="25" xfId="1" applyNumberFormat="1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5" fillId="26" borderId="19" xfId="3" applyFill="1" applyBorder="1" applyAlignment="1">
      <alignment horizontal="left" vertical="center"/>
    </xf>
    <xf numFmtId="0" fontId="5" fillId="26" borderId="20" xfId="3" applyFill="1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9">
    <cellStyle name="Comma" xfId="1" builtinId="3"/>
    <cellStyle name="Comma 2" xfId="6" xr:uid="{57266C89-0C77-4528-9CE9-C42A6EABC939}"/>
    <cellStyle name="Comma 3" xfId="8" xr:uid="{28064B71-8CB1-4C78-ACBC-7C86DD525851}"/>
    <cellStyle name="Normal" xfId="0" builtinId="0"/>
    <cellStyle name="Normal 2 2" xfId="3" xr:uid="{F57D69F6-7224-428B-AC20-FE3C9F48FAB5}"/>
    <cellStyle name="Normal 5" xfId="5" xr:uid="{2A02EBC6-35C8-416E-B10F-E27351A7F190}"/>
    <cellStyle name="Normal 6" xfId="4" xr:uid="{8375D567-7C15-49A6-8195-85D57712A731}"/>
    <cellStyle name="Percent" xfId="2" builtinId="5"/>
    <cellStyle name="Percent 2" xfId="7" xr:uid="{B8185C10-7961-48FA-BE3B-B02D21A8B387}"/>
  </cellStyles>
  <dxfs count="6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sz val="12"/>
      </font>
    </dxf>
    <dxf>
      <font>
        <sz val="11"/>
      </font>
    </dxf>
    <dxf>
      <font>
        <b val="0"/>
      </font>
    </dxf>
    <dxf>
      <alignment horizontal="center"/>
    </dxf>
    <dxf>
      <alignment vertical="center"/>
    </dxf>
    <dxf>
      <numFmt numFmtId="165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1"/>
      </font>
    </dxf>
    <dxf>
      <font>
        <b val="0"/>
      </font>
    </dxf>
    <dxf>
      <alignment horizontal="center"/>
    </dxf>
    <dxf>
      <alignment vertical="center"/>
    </dxf>
    <dxf>
      <numFmt numFmtId="165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1"/>
      </font>
    </dxf>
    <dxf>
      <font>
        <b val="0"/>
      </font>
    </dxf>
    <dxf>
      <alignment horizontal="center"/>
    </dxf>
    <dxf>
      <alignment vertical="center"/>
    </dxf>
    <dxf>
      <numFmt numFmtId="165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1"/>
      </font>
    </dxf>
    <dxf>
      <font>
        <b val="0"/>
      </font>
    </dxf>
    <dxf>
      <alignment horizontal="center"/>
    </dxf>
    <dxf>
      <alignment vertical="center"/>
    </dxf>
    <dxf>
      <numFmt numFmtId="165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1"/>
      </font>
    </dxf>
    <dxf>
      <font>
        <b val="0"/>
      </font>
    </dxf>
    <dxf>
      <alignment horizontal="center"/>
    </dxf>
    <dxf>
      <alignment vertical="center"/>
    </dxf>
    <dxf>
      <numFmt numFmtId="165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1"/>
      </font>
    </dxf>
    <dxf>
      <font>
        <b val="0"/>
      </font>
    </dxf>
    <dxf>
      <alignment horizontal="center"/>
    </dxf>
    <dxf>
      <alignment vertical="center"/>
    </dxf>
    <dxf>
      <numFmt numFmtId="165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1"/>
      </font>
    </dxf>
    <dxf>
      <font>
        <b val="0"/>
      </font>
    </dxf>
    <dxf>
      <alignment horizontal="center"/>
    </dxf>
    <dxf>
      <alignment vertical="center"/>
    </dxf>
    <dxf>
      <numFmt numFmtId="165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1"/>
      </font>
    </dxf>
    <dxf>
      <font>
        <b val="0"/>
      </font>
    </dxf>
    <dxf>
      <alignment horizontal="center"/>
    </dxf>
    <dxf>
      <alignment vertical="center"/>
    </dxf>
    <dxf>
      <numFmt numFmtId="165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sz val="12"/>
      </font>
    </dxf>
    <dxf>
      <font>
        <sz val="11"/>
      </font>
    </dxf>
    <dxf>
      <font>
        <b val="0"/>
      </font>
    </dxf>
    <dxf>
      <alignment horizontal="center"/>
    </dxf>
    <dxf>
      <alignment vertical="center"/>
    </dxf>
    <dxf>
      <numFmt numFmtId="165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1"/>
      </font>
    </dxf>
    <dxf>
      <font>
        <b val="0"/>
      </font>
    </dxf>
    <dxf>
      <alignment horizontal="center"/>
    </dxf>
    <dxf>
      <alignment vertical="center"/>
    </dxf>
    <dxf>
      <numFmt numFmtId="165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1"/>
      </font>
    </dxf>
    <dxf>
      <font>
        <b val="0"/>
      </font>
    </dxf>
    <dxf>
      <alignment horizontal="center"/>
    </dxf>
    <dxf>
      <alignment vertical="center"/>
    </dxf>
    <dxf>
      <numFmt numFmtId="165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1"/>
      </font>
    </dxf>
    <dxf>
      <font>
        <b val="0"/>
      </font>
    </dxf>
    <dxf>
      <alignment horizontal="center"/>
    </dxf>
    <dxf>
      <alignment vertical="center"/>
    </dxf>
    <dxf>
      <numFmt numFmtId="165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1"/>
      </font>
    </dxf>
    <dxf>
      <font>
        <b val="0"/>
      </font>
    </dxf>
    <dxf>
      <alignment horizontal="center"/>
    </dxf>
    <dxf>
      <alignment vertical="center"/>
    </dxf>
    <dxf>
      <numFmt numFmtId="165" formatCode="0.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526677</xdr:colOff>
      <xdr:row>0</xdr:row>
      <xdr:rowOff>134471</xdr:rowOff>
    </xdr:from>
    <xdr:to>
      <xdr:col>20</xdr:col>
      <xdr:colOff>200825</xdr:colOff>
      <xdr:row>7</xdr:row>
      <xdr:rowOff>23860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17B31-112B-372E-CF8E-E7652F26C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76530" y="134471"/>
          <a:ext cx="5725324" cy="234347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21</xdr:col>
      <xdr:colOff>245728</xdr:colOff>
      <xdr:row>15</xdr:row>
      <xdr:rowOff>103940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986E3B-4B33-917A-DAAC-2AB5935DC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54971" y="2846294"/>
          <a:ext cx="6296904" cy="20481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twerkmanufacturing-my.sharepoint.com/Development/ICF%20R%20Tank/COSTING%20OF%20RETENTION%20TAN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13.43137997685" createdVersion="8" refreshedVersion="8" minRefreshableVersion="3" recordCount="198" xr:uid="{C8EE4424-7A78-4AD5-99D6-8C03A739E8FE}">
  <cacheSource type="worksheet">
    <worksheetSource ref="B2:V200" sheet="BOM R2D CatWalk"/>
  </cacheSource>
  <cacheFields count="21">
    <cacheField name="Assembly" numFmtId="0">
      <sharedItems containsBlank="1" count="15">
        <m/>
        <s v="AY30013"/>
        <s v="AY30017"/>
        <s v="AY30018"/>
        <s v="AY30027"/>
        <s v="AY30062"/>
        <s v="AY30084"/>
        <s v="AY30107"/>
        <s v="AY30133"/>
        <s v="AY30134"/>
        <s v="AY30144"/>
        <s v="AY30150"/>
        <s v="AY30160"/>
        <s v="AY51606"/>
        <s v="AY30011" u="1"/>
      </sharedItems>
    </cacheField>
    <cacheField name="L1" numFmtId="0">
      <sharedItems containsBlank="1" containsMixedTypes="1" containsNumber="1" containsInteger="1" minValue="0" maxValue="13"/>
    </cacheField>
    <cacheField name="L2" numFmtId="0">
      <sharedItems containsBlank="1" containsMixedTypes="1" containsNumber="1" minValue="2.1" maxValue="12.9"/>
    </cacheField>
    <cacheField name="L3" numFmtId="0">
      <sharedItems containsBlank="1"/>
    </cacheField>
    <cacheField name="L4" numFmtId="0">
      <sharedItems containsBlank="1"/>
    </cacheField>
    <cacheField name="Drawing_x000a_No." numFmtId="0">
      <sharedItems containsBlank="1" containsMixedTypes="1" containsNumber="1" containsInteger="1" minValue="131100547" maxValue="141101531"/>
    </cacheField>
    <cacheField name="Rev" numFmtId="0">
      <sharedItems containsBlank="1"/>
    </cacheField>
    <cacheField name="Description " numFmtId="0">
      <sharedItems/>
    </cacheField>
    <cacheField name="Qty." numFmtId="0">
      <sharedItems containsString="0" containsBlank="1" containsNumber="1" containsInteger="1" minValue="1" maxValue="23"/>
    </cacheField>
    <cacheField name="Total _x000a_Qty." numFmtId="0">
      <sharedItems containsString="0" containsBlank="1" containsNumber="1" containsInteger="1" minValue="1" maxValue="46"/>
    </cacheField>
    <cacheField name="Net Wt._x000a_LBS" numFmtId="0">
      <sharedItems containsString="0" containsBlank="1" containsNumber="1" minValue="93.2" maxValue="93.2"/>
    </cacheField>
    <cacheField name="Net Weight _x000a_(Kg)" numFmtId="0">
      <sharedItems containsString="0" containsBlank="1" containsNumber="1" minValue="0.02" maxValue="4034"/>
    </cacheField>
    <cacheField name="Total Weight _x000a_(Kg)" numFmtId="2">
      <sharedItems containsString="0" containsBlank="1" containsNumber="1" minValue="0" maxValue="7416.173797299999"/>
    </cacheField>
    <cacheField name="Type" numFmtId="0">
      <sharedItems count="12">
        <s v="All"/>
        <s v="Main Assy."/>
        <s v="Sub Assy."/>
        <s v="Plate"/>
        <s v="Pipe"/>
        <s v="BOP _x000a_Unistruct"/>
        <s v="Beam"/>
        <s v="Channel"/>
        <s v="BOP"/>
        <s v="Sq. Tube"/>
        <s v="Rec. Tube"/>
        <s v="Rod"/>
      </sharedItems>
    </cacheField>
    <cacheField name="DRG._x000a_Material" numFmtId="0">
      <sharedItems containsBlank="1"/>
    </cacheField>
    <cacheField name="Alt. Material" numFmtId="0">
      <sharedItems containsBlank="1" count="12">
        <m/>
        <s v="IS 2062 _x000a_E350 A/BR"/>
        <s v="IS 2062_x000a_ E250 A/BR"/>
        <s v="ASTM A106 GR.B"/>
        <s v="YST 310"/>
        <s v="BROWNING SCS-2"/>
        <s v="AISI C1045"/>
        <s v="E350 A/BR" u="1"/>
        <s v="E250 A/BR" u="1"/>
        <s v="IS 2062_x000a_E 350 BR" u="1"/>
        <s v="IS 2062_x000a_E 350 A" u="1"/>
        <s v="IS 808:2021 _x000a_E350" u="1"/>
      </sharedItems>
    </cacheField>
    <cacheField name="IS Thk_x000a_(Inch)" numFmtId="0">
      <sharedItems containsNonDate="0" containsString="0" containsBlank="1"/>
    </cacheField>
    <cacheField name="IS Thk_x000a_(mm)" numFmtId="0">
      <sharedItems containsBlank="1" containsMixedTypes="1" containsNumber="1" containsInteger="1" minValue="5" maxValue="50" count="31">
        <m/>
        <n v="10"/>
        <n v="12"/>
        <n v="20"/>
        <n v="40"/>
        <n v="25"/>
        <s v="Dia 33.4x 6.35"/>
        <n v="50"/>
        <s v="Dia 21.3 x 2.77 thk"/>
        <s v="Dia 101.6 x 8.08 thk"/>
        <n v="6"/>
        <s v="NPB 600x 220x 107.57"/>
        <s v="UPN80 X 45"/>
        <s v="ISMC 200 x 75"/>
        <s v="Dia 168.28 x 10.97thk"/>
        <n v="5"/>
        <s v="80x80x 10thk"/>
        <s v="Dia 114.3 x 8.56 thk"/>
        <s v="50x50x 5thk"/>
        <s v="100x80x 5thk"/>
        <s v="Dia 12"/>
        <n v="16"/>
        <s v="40x40x 5thk"/>
        <s v="Dia 60.3 x 3.91 thk"/>
        <s v="Dia 76"/>
        <s v="150x80x 10thk"/>
        <s v="150x100x 12thk"/>
        <s v="120x80x 5thk"/>
        <s v="NPB 450x190x67.16"/>
        <s v="Dia 72"/>
        <s v="200x150x 12thk"/>
      </sharedItems>
    </cacheField>
    <cacheField name="Width " numFmtId="0">
      <sharedItems containsString="0" containsBlank="1" containsNumber="1" minValue="13" maxValue="1022"/>
    </cacheField>
    <cacheField name="Length" numFmtId="0">
      <sharedItems containsString="0" containsBlank="1" containsNumber="1" minValue="22" maxValue="12187"/>
    </cacheField>
    <cacheField name="Gross Wt _x000a_(kg)" numFmtId="2">
      <sharedItems containsString="0" containsBlank="1" containsNumber="1" minValue="0.21984709999999999" maxValue="9171.81614134103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13.43815613426" createdVersion="8" refreshedVersion="8" minRefreshableVersion="3" recordCount="225" xr:uid="{9310C141-44E4-43AA-9D70-B5C84A009586}">
  <cacheSource type="worksheet">
    <worksheetSource ref="B2:V227" sheet="BOM R2D CatWalk"/>
  </cacheSource>
  <cacheFields count="21">
    <cacheField name="Assembly" numFmtId="0">
      <sharedItems containsBlank="1" count="15">
        <m/>
        <s v="AY30013"/>
        <s v="AY30017"/>
        <s v="AY30018"/>
        <s v="AY30027"/>
        <s v="AY30062"/>
        <s v="AY30084"/>
        <s v="AY30107"/>
        <s v="AY30133"/>
        <s v="AY30134"/>
        <s v="AY30144"/>
        <s v="AY30150"/>
        <s v="AY30160"/>
        <s v="AY51606"/>
        <s v="AY30130"/>
      </sharedItems>
    </cacheField>
    <cacheField name="L1" numFmtId="0">
      <sharedItems containsBlank="1" containsMixedTypes="1" containsNumber="1" containsInteger="1" minValue="0" maxValue="14"/>
    </cacheField>
    <cacheField name="L2" numFmtId="0">
      <sharedItems containsBlank="1" containsMixedTypes="1" containsNumber="1" minValue="2.1" maxValue="14.6"/>
    </cacheField>
    <cacheField name="L3" numFmtId="0">
      <sharedItems containsBlank="1"/>
    </cacheField>
    <cacheField name="L4" numFmtId="0">
      <sharedItems containsBlank="1"/>
    </cacheField>
    <cacheField name="Drawing_x000a_No." numFmtId="0">
      <sharedItems containsBlank="1" containsMixedTypes="1" containsNumber="1" containsInteger="1" minValue="131100547" maxValue="141101531"/>
    </cacheField>
    <cacheField name="Rev" numFmtId="0">
      <sharedItems containsBlank="1"/>
    </cacheField>
    <cacheField name="Description " numFmtId="0">
      <sharedItems/>
    </cacheField>
    <cacheField name="Qty." numFmtId="0">
      <sharedItems containsString="0" containsBlank="1" containsNumber="1" containsInteger="1" minValue="1" maxValue="23"/>
    </cacheField>
    <cacheField name="Total _x000a_Qty." numFmtId="0">
      <sharedItems containsString="0" containsBlank="1" containsNumber="1" containsInteger="1" minValue="1" maxValue="46"/>
    </cacheField>
    <cacheField name="Net Wt._x000a_LBS" numFmtId="0">
      <sharedItems containsString="0" containsBlank="1" containsNumber="1" minValue="93.2" maxValue="7057.6"/>
    </cacheField>
    <cacheField name="Net Weight _x000a_(Kg)" numFmtId="0">
      <sharedItems containsString="0" containsBlank="1" containsNumber="1" minValue="0.02" maxValue="4034"/>
    </cacheField>
    <cacheField name="Total Weight _x000a_(Kg)" numFmtId="2">
      <sharedItems containsString="0" containsBlank="1" containsNumber="1" minValue="0" maxValue="7416.173797299999"/>
    </cacheField>
    <cacheField name="Type" numFmtId="0">
      <sharedItems/>
    </cacheField>
    <cacheField name="DRG._x000a_Material" numFmtId="0">
      <sharedItems containsBlank="1"/>
    </cacheField>
    <cacheField name="Alt. Material" numFmtId="0">
      <sharedItems containsBlank="1" count="13">
        <m/>
        <s v="IS 2062 _x000a_E350 A/BR"/>
        <s v="IS 2062_x000a_ E250 A/BR"/>
        <s v="ASTM A106 GR.B"/>
        <s v="YST 310"/>
        <s v="BROWNING SCS-2"/>
        <s v="AISI C1045"/>
        <s v="E350 A/BR" u="1"/>
        <s v="E250 A/BR" u="1"/>
        <s v="IS 2062_x000a_E 350 BR" u="1"/>
        <s v="IS 2062_x000a_E 350 A" u="1"/>
        <s v="IS 2062_x000a_E 350 A/BR" u="1"/>
        <s v="IS 2062_x000a_E 250 A/BR" u="1"/>
      </sharedItems>
    </cacheField>
    <cacheField name="IS Thk_x000a_(Inch)" numFmtId="0">
      <sharedItems containsNonDate="0" containsString="0" containsBlank="1"/>
    </cacheField>
    <cacheField name="IS Thk_x000a_(mm)" numFmtId="0">
      <sharedItems containsBlank="1" containsMixedTypes="1" containsNumber="1" containsInteger="1" minValue="5" maxValue="50" count="35">
        <m/>
        <n v="10"/>
        <n v="12"/>
        <n v="20"/>
        <n v="40"/>
        <n v="25"/>
        <s v="Dia 33.4x 6.35"/>
        <n v="50"/>
        <s v="Dia 21.3 x 2.77 thk"/>
        <s v="Dia 101.6 x 8.08 thk"/>
        <n v="6"/>
        <s v="NPB 600x 220x 107.57"/>
        <s v="UPN80 X 45"/>
        <s v="ISMC 200 x 75"/>
        <s v="Dia 168.28 x 10.97thk"/>
        <n v="5"/>
        <s v="80x80x 10thk"/>
        <s v="Dia 114.3 x 8.56 thk"/>
        <s v="50x50x 5thk"/>
        <s v="100x80x 5thk"/>
        <s v="Dia 12"/>
        <n v="16"/>
        <s v="40x40x 5thk"/>
        <s v="Dia 60.3 x 3.91 thk"/>
        <s v="Dia 76"/>
        <s v="150x80x 10thk"/>
        <s v="150x100x 12thk"/>
        <s v="120x80x 5thk"/>
        <s v="NPB 450x190x67.16"/>
        <s v="Dia 72"/>
        <s v="200x150x 12thk"/>
        <s v="UPN 160 X 65 X 18.8"/>
        <s v="150x50x 6thk "/>
        <s v="Dia 142"/>
        <s v="Dia 30"/>
      </sharedItems>
    </cacheField>
    <cacheField name="Width " numFmtId="0">
      <sharedItems containsString="0" containsBlank="1" containsNumber="1" minValue="13" maxValue="1022"/>
    </cacheField>
    <cacheField name="Length" numFmtId="0">
      <sharedItems containsString="0" containsBlank="1" containsNumber="1" minValue="22" maxValue="13310"/>
    </cacheField>
    <cacheField name="Gross Wt _x000a_(kg)" numFmtId="2">
      <sharedItems containsString="0" containsBlank="1" containsNumber="1" minValue="0.21984709999999999" maxValue="9171.81614134103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x v="0"/>
    <s v="00"/>
    <m/>
    <m/>
    <m/>
    <m/>
    <m/>
    <s v="All RFQ PACKAGE PC4100"/>
    <m/>
    <m/>
    <m/>
    <m/>
    <n v="7416.173797299999"/>
    <x v="0"/>
    <m/>
    <x v="0"/>
    <m/>
    <x v="0"/>
    <m/>
    <m/>
    <n v="9171.8161413410398"/>
  </r>
  <r>
    <x v="1"/>
    <n v="0"/>
    <m/>
    <m/>
    <m/>
    <s v="AY30013"/>
    <s v="A"/>
    <s v="WELDMENT, PC4100 R2D SLAVE SKID, PC4100"/>
    <n v="1"/>
    <n v="1"/>
    <m/>
    <n v="4034"/>
    <n v="4034"/>
    <x v="1"/>
    <m/>
    <x v="0"/>
    <m/>
    <x v="0"/>
    <m/>
    <m/>
    <n v="4796.48819198604"/>
  </r>
  <r>
    <x v="1"/>
    <s v="1A"/>
    <s v="*"/>
    <s v="*"/>
    <m/>
    <s v="AY30012"/>
    <m/>
    <s v="WELDMENT, R2D CATWALK, LEV 2, PC4100"/>
    <n v="1"/>
    <n v="1"/>
    <m/>
    <n v="3370"/>
    <n v="3370"/>
    <x v="2"/>
    <s v="-"/>
    <x v="0"/>
    <m/>
    <x v="0"/>
    <m/>
    <m/>
    <m/>
  </r>
  <r>
    <x v="1"/>
    <m/>
    <s v="1A.1"/>
    <m/>
    <m/>
    <s v="AY30011"/>
    <s v="A"/>
    <s v="WELDMENT, R2D CATWALK, LEV 1, PC4100"/>
    <n v="1"/>
    <n v="1"/>
    <m/>
    <n v="3208"/>
    <n v="3208"/>
    <x v="2"/>
    <s v="-"/>
    <x v="0"/>
    <m/>
    <x v="0"/>
    <m/>
    <m/>
    <m/>
  </r>
  <r>
    <x v="1"/>
    <m/>
    <m/>
    <s v="1A.1.1"/>
    <m/>
    <s v="AY30010"/>
    <s v="A"/>
    <s v="WELDMENT, CATWALK ODS BEAM, R2D, PC4100"/>
    <n v="1"/>
    <n v="1"/>
    <m/>
    <n v="679"/>
    <n v="679"/>
    <x v="2"/>
    <s v="-"/>
    <x v="0"/>
    <m/>
    <x v="0"/>
    <m/>
    <m/>
    <m/>
  </r>
  <r>
    <x v="1"/>
    <m/>
    <m/>
    <m/>
    <s v="1A.1.1.1"/>
    <s v="DT34393"/>
    <m/>
    <s v="REAR ODS BEAM WEB"/>
    <n v="1"/>
    <n v="1"/>
    <m/>
    <n v="339"/>
    <n v="339"/>
    <x v="3"/>
    <s v="A572 Gr. 50"/>
    <x v="1"/>
    <m/>
    <x v="1"/>
    <n v="1022"/>
    <n v="5080"/>
    <n v="448.30847600000004"/>
  </r>
  <r>
    <x v="1"/>
    <m/>
    <m/>
    <m/>
    <s v="1A.1.1.2"/>
    <s v="DT34394"/>
    <m/>
    <s v="PLATE, OUTER ODS BEAM TOP FLANGE, R2D, PC4100"/>
    <n v="1"/>
    <n v="1"/>
    <m/>
    <n v="76"/>
    <n v="76"/>
    <x v="3"/>
    <s v="A572 Gr. 50"/>
    <x v="1"/>
    <m/>
    <x v="2"/>
    <n v="180"/>
    <n v="4775"/>
    <n v="89.061390000000003"/>
  </r>
  <r>
    <x v="1"/>
    <m/>
    <m/>
    <m/>
    <s v="1A.1.1.3"/>
    <s v="DT34395"/>
    <m/>
    <s v="PLATE, OUTER BEAM BACK ANGLE CAP, PC4100"/>
    <n v="1"/>
    <n v="1"/>
    <m/>
    <n v="9"/>
    <n v="9"/>
    <x v="3"/>
    <s v="A572 Gr. 50"/>
    <x v="1"/>
    <m/>
    <x v="2"/>
    <n v="180"/>
    <n v="572"/>
    <n v="10.668715199999999"/>
  </r>
  <r>
    <x v="1"/>
    <m/>
    <m/>
    <m/>
    <s v="1A.1.1.4"/>
    <s v="DT34315"/>
    <m/>
    <s v="PLATE, OUTER FRONT BEAM NOSE CAP, PC4100"/>
    <n v="1"/>
    <n v="1"/>
    <m/>
    <n v="8"/>
    <n v="8"/>
    <x v="3"/>
    <s v="A36/S275JR/SA 516 GR.70"/>
    <x v="2"/>
    <m/>
    <x v="3"/>
    <n v="200"/>
    <n v="324"/>
    <n v="11.190959999999999"/>
  </r>
  <r>
    <x v="1"/>
    <m/>
    <m/>
    <m/>
    <s v="1A.1.1.5"/>
    <s v="DT34396"/>
    <m/>
    <s v="PLATE, REAR OUTER BEAM ANGLE CAP, PC4100"/>
    <n v="1"/>
    <n v="1"/>
    <m/>
    <n v="37"/>
    <n v="37"/>
    <x v="3"/>
    <s v="ASTM A572 Gr. 50 / S355JR"/>
    <x v="1"/>
    <m/>
    <x v="1"/>
    <n v="100"/>
    <n v="4702"/>
    <n v="40.601770000000002"/>
  </r>
  <r>
    <x v="1"/>
    <m/>
    <m/>
    <m/>
    <s v="1A.1.1.6"/>
    <s v="DT34397"/>
    <m/>
    <s v="PLATE, ANGLE CAP, PC4100"/>
    <n v="1"/>
    <n v="1"/>
    <m/>
    <n v="0.8"/>
    <n v="0.8"/>
    <x v="3"/>
    <s v="A572 Gr. 50"/>
    <x v="1"/>
    <m/>
    <x v="1"/>
    <n v="100"/>
    <n v="191"/>
    <n v="1.6492850000000001"/>
  </r>
  <r>
    <x v="1"/>
    <m/>
    <m/>
    <m/>
    <s v="1A.1.1.7"/>
    <s v="DT34327"/>
    <m/>
    <s v="CATWALK CONNECTION PLATE, PC4100"/>
    <n v="1"/>
    <n v="1"/>
    <m/>
    <n v="11.6"/>
    <n v="11.6"/>
    <x v="3"/>
    <s v="A36/S275JR/SA 516 GR.70"/>
    <x v="2"/>
    <m/>
    <x v="4"/>
    <n v="200"/>
    <n v="200"/>
    <n v="13.815999999999999"/>
  </r>
  <r>
    <x v="1"/>
    <m/>
    <m/>
    <m/>
    <s v="1A.1.1.8"/>
    <s v="DT34328"/>
    <m/>
    <s v="PLATE, CARRIER CONNECTION PLATE GUSSET, PC4100"/>
    <n v="1"/>
    <n v="1"/>
    <m/>
    <n v="4"/>
    <n v="4"/>
    <x v="3"/>
    <s v="A36/S275JR/SA 516 GR.70"/>
    <x v="2"/>
    <m/>
    <x v="5"/>
    <n v="165"/>
    <n v="180"/>
    <n v="6.4114874999999998"/>
  </r>
  <r>
    <x v="1"/>
    <m/>
    <m/>
    <m/>
    <s v="1A.1.1.9"/>
    <s v="DT34378"/>
    <m/>
    <s v="PIPE, 33 OD x 21 ID X 51 L"/>
    <n v="4"/>
    <n v="4"/>
    <m/>
    <n v="9.0720000000000009E-2"/>
    <n v="0.36288000000000004"/>
    <x v="4"/>
    <s v="ASTM A106 GR.B"/>
    <x v="3"/>
    <m/>
    <x v="6"/>
    <m/>
    <n v="51"/>
    <n v="0.39916800000000008"/>
  </r>
  <r>
    <x v="1"/>
    <m/>
    <m/>
    <m/>
    <s v="1A.1.1.10"/>
    <s v="DT34398"/>
    <m/>
    <s v="REAR CATWALK CONNECTION BLOCK, PC4100"/>
    <n v="2"/>
    <n v="2"/>
    <m/>
    <n v="19"/>
    <n v="38"/>
    <x v="3"/>
    <s v="ASTM A572 Gr. 50 / S355JR"/>
    <x v="1"/>
    <m/>
    <x v="7"/>
    <n v="220"/>
    <n v="334"/>
    <n v="63.449980000000004"/>
  </r>
  <r>
    <x v="1"/>
    <m/>
    <m/>
    <m/>
    <s v="1A.1.1.11"/>
    <s v="-"/>
    <m/>
    <s v="BAR, FLAT, 200 X 20 X 4777 LG"/>
    <n v="1"/>
    <n v="1"/>
    <m/>
    <n v="149.99779999999998"/>
    <n v="149.99779999999998"/>
    <x v="3"/>
    <s v="A36/S275JR/SA 516 GR.70"/>
    <x v="2"/>
    <m/>
    <x v="3"/>
    <n v="200"/>
    <n v="4777"/>
    <n v="164.99758"/>
  </r>
  <r>
    <x v="1"/>
    <m/>
    <m/>
    <m/>
    <s v="1A.1.1.12"/>
    <s v="-"/>
    <m/>
    <s v="BAR, FLAT, 75 x 12 x 381 LG"/>
    <n v="2"/>
    <n v="2"/>
    <m/>
    <n v="2.6917649999999997"/>
    <n v="5.3835299999999995"/>
    <x v="3"/>
    <s v="A36/S275JR/SA 516 GR.70"/>
    <x v="2"/>
    <m/>
    <x v="2"/>
    <n v="75"/>
    <n v="381"/>
    <n v="5.9218830000000002"/>
  </r>
  <r>
    <x v="1"/>
    <m/>
    <m/>
    <s v="1A.1.2"/>
    <m/>
    <s v="AY30009"/>
    <m/>
    <s v="WELDMENT, CATWALK DS BEAM, R2D, PC4100"/>
    <n v="1"/>
    <n v="1"/>
    <m/>
    <n v="667"/>
    <n v="667"/>
    <x v="2"/>
    <s v="-"/>
    <x v="0"/>
    <m/>
    <x v="0"/>
    <m/>
    <m/>
    <m/>
  </r>
  <r>
    <x v="1"/>
    <m/>
    <m/>
    <m/>
    <s v="1A.1.2.1"/>
    <s v="DT34400"/>
    <m/>
    <s v="REAR DS BEAM WEB, R2D, PC4100"/>
    <n v="1"/>
    <n v="1"/>
    <m/>
    <n v="321"/>
    <n v="321"/>
    <x v="3"/>
    <s v="A572 Gr. 50"/>
    <x v="1"/>
    <m/>
    <x v="1"/>
    <n v="1022"/>
    <n v="5080"/>
    <n v="448.30847600000004"/>
  </r>
  <r>
    <x v="1"/>
    <m/>
    <m/>
    <m/>
    <s v="1A.1.2.2"/>
    <s v="DT34401"/>
    <m/>
    <s v="PLATE, OUTER BEAM D5 TOP FLANGE, R2D, PC4100"/>
    <n v="1"/>
    <n v="1"/>
    <m/>
    <n v="83"/>
    <n v="83"/>
    <x v="3"/>
    <s v="A572 Gr. 50"/>
    <x v="1"/>
    <m/>
    <x v="2"/>
    <n v="180"/>
    <n v="4775"/>
    <n v="89.061390000000003"/>
  </r>
  <r>
    <x v="1"/>
    <m/>
    <m/>
    <m/>
    <s v="1A.1.2.3"/>
    <s v="DT34395"/>
    <m/>
    <s v="PLATE, OUTER BEAM BACK ANGLE CAP, PC4100"/>
    <n v="1"/>
    <n v="1"/>
    <m/>
    <n v="9"/>
    <n v="9"/>
    <x v="3"/>
    <s v="A572 Gr. 50"/>
    <x v="1"/>
    <m/>
    <x v="2"/>
    <n v="180"/>
    <n v="572"/>
    <n v="10.668715199999999"/>
  </r>
  <r>
    <x v="1"/>
    <m/>
    <m/>
    <m/>
    <s v="1A.1.2.4"/>
    <s v="DT34315"/>
    <m/>
    <s v="PLATE, OUTER FRONT BEAM NOSE CAP, PC4100"/>
    <n v="1"/>
    <n v="1"/>
    <m/>
    <n v="8"/>
    <n v="8"/>
    <x v="3"/>
    <s v="A36/S275JR/SA 516 GR.70"/>
    <x v="2"/>
    <m/>
    <x v="3"/>
    <n v="200"/>
    <n v="324"/>
    <n v="11.190959999999999"/>
  </r>
  <r>
    <x v="1"/>
    <m/>
    <m/>
    <m/>
    <s v="1A.1.2.5"/>
    <s v="DT34396"/>
    <m/>
    <s v="PLATE, REAR OUTER BEAM ANGLE CAP, PC4100"/>
    <n v="1"/>
    <n v="1"/>
    <m/>
    <n v="37"/>
    <n v="37"/>
    <x v="3"/>
    <s v="ASTM A572 Gr. 50 / S355JR"/>
    <x v="1"/>
    <m/>
    <x v="1"/>
    <n v="100"/>
    <n v="4702"/>
    <n v="40.601770000000002"/>
  </r>
  <r>
    <x v="1"/>
    <m/>
    <m/>
    <m/>
    <s v="1A.1.2.6"/>
    <s v="DT34397"/>
    <m/>
    <s v="PLATE, ANGLE CAP, PC4100"/>
    <n v="1"/>
    <n v="1"/>
    <m/>
    <n v="0.8"/>
    <n v="0.8"/>
    <x v="3"/>
    <s v="A572 Gr. 50"/>
    <x v="1"/>
    <m/>
    <x v="1"/>
    <n v="100"/>
    <n v="191"/>
    <n v="1.6492850000000001"/>
  </r>
  <r>
    <x v="1"/>
    <m/>
    <m/>
    <m/>
    <s v="1A.1.2.7"/>
    <s v="DT34327"/>
    <m/>
    <s v="CATWALK CONNECTION PLATE, PC4100"/>
    <n v="1"/>
    <n v="1"/>
    <m/>
    <n v="11.6"/>
    <n v="11.6"/>
    <x v="3"/>
    <s v="A36/S275JR/SA 516 GR.70"/>
    <x v="2"/>
    <m/>
    <x v="4"/>
    <n v="200"/>
    <n v="200"/>
    <n v="13.815999999999999"/>
  </r>
  <r>
    <x v="1"/>
    <m/>
    <m/>
    <m/>
    <s v="1A.1.2.8"/>
    <s v="DT34328"/>
    <m/>
    <s v="PLATE, CARRIER CONNECTION PLATE GUSSET, PC4100"/>
    <n v="1"/>
    <n v="1"/>
    <m/>
    <n v="4"/>
    <n v="4"/>
    <x v="3"/>
    <s v="A36/S275JR/SA 516 GR.70"/>
    <x v="2"/>
    <m/>
    <x v="5"/>
    <n v="165"/>
    <n v="180"/>
    <n v="6.4114874999999998"/>
  </r>
  <r>
    <x v="1"/>
    <m/>
    <m/>
    <m/>
    <s v="1A.1.2.9"/>
    <s v="DT34398"/>
    <m/>
    <s v="REAR CATWALK CONNECTION BLOCK, PC4100"/>
    <n v="2"/>
    <n v="2"/>
    <m/>
    <n v="19"/>
    <n v="38"/>
    <x v="3"/>
    <s v="ASTM A572 Gr. 50 / S355JR"/>
    <x v="1"/>
    <m/>
    <x v="7"/>
    <n v="220"/>
    <n v="334"/>
    <n v="63.449980000000004"/>
  </r>
  <r>
    <x v="1"/>
    <m/>
    <m/>
    <m/>
    <s v="1A.1.2.10"/>
    <s v="-"/>
    <m/>
    <s v="BAR, FLAT, 200 X 20 X 4777 LG"/>
    <n v="1"/>
    <n v="1"/>
    <m/>
    <n v="149.99779999999998"/>
    <n v="149.99779999999998"/>
    <x v="3"/>
    <s v="A36/S275JR/SA 516 GR.70"/>
    <x v="2"/>
    <m/>
    <x v="3"/>
    <n v="200"/>
    <n v="4777"/>
    <n v="164.99758"/>
  </r>
  <r>
    <x v="1"/>
    <m/>
    <m/>
    <m/>
    <s v="1A.1.2.11"/>
    <s v="-"/>
    <m/>
    <s v="PIPE, 1/2&quot; SCH 40 x 1035 LG"/>
    <n v="2"/>
    <n v="2"/>
    <m/>
    <n v="0.13144500000000001"/>
    <n v="0.26289000000000001"/>
    <x v="4"/>
    <s v="A.S.T.M. A106 GR.B"/>
    <x v="3"/>
    <m/>
    <x v="8"/>
    <m/>
    <n v="103.5"/>
    <n v="0.28917900000000002"/>
  </r>
  <r>
    <x v="1"/>
    <m/>
    <m/>
    <m/>
    <s v="1A.1.2.12"/>
    <s v="-"/>
    <m/>
    <s v="UNISTRUT, 41.3 x 22.2 x 457 LG"/>
    <n v="2"/>
    <n v="2"/>
    <m/>
    <m/>
    <n v="0"/>
    <x v="5"/>
    <s v="G40.21-44W / A572 G50"/>
    <x v="0"/>
    <m/>
    <x v="0"/>
    <m/>
    <m/>
    <m/>
  </r>
  <r>
    <x v="1"/>
    <m/>
    <m/>
    <m/>
    <s v="1A.1.2.13"/>
    <s v="DT34399"/>
    <m/>
    <s v="PLATE, SAFETY BAR HOLDER, PC4100"/>
    <n v="2"/>
    <n v="2"/>
    <m/>
    <n v="2"/>
    <n v="4"/>
    <x v="3"/>
    <s v="A572 Gr. 50"/>
    <x v="1"/>
    <m/>
    <x v="1"/>
    <n v="210"/>
    <n v="210"/>
    <n v="7.6160699999999997"/>
  </r>
  <r>
    <x v="1"/>
    <m/>
    <m/>
    <s v="1A.1.3"/>
    <m/>
    <s v="DT34313"/>
    <m/>
    <s v="PLATE, ROLL BAR END CAP, PC4100"/>
    <n v="2"/>
    <n v="2"/>
    <m/>
    <n v="3.4"/>
    <n v="6.8"/>
    <x v="3"/>
    <s v="A572 Gr. 50"/>
    <x v="1"/>
    <m/>
    <x v="2"/>
    <n v="200"/>
    <n v="240"/>
    <n v="9.947519999999999"/>
  </r>
  <r>
    <x v="1"/>
    <m/>
    <m/>
    <s v="1A.1.4"/>
    <m/>
    <s v="DT34402"/>
    <m/>
    <s v="PLATE, BACK MID STOP RIB, PC4100"/>
    <n v="4"/>
    <n v="4"/>
    <m/>
    <n v="15"/>
    <n v="60"/>
    <x v="3"/>
    <s v="A572 Gr. 50"/>
    <x v="1"/>
    <m/>
    <x v="2"/>
    <n v="373"/>
    <n v="789"/>
    <n v="121.98022056000001"/>
  </r>
  <r>
    <x v="1"/>
    <m/>
    <m/>
    <s v="1A.1.5"/>
    <m/>
    <s v="DT34403"/>
    <m/>
    <s v="PIPE, CABLE ROLL, PC4100"/>
    <n v="2"/>
    <n v="2"/>
    <m/>
    <n v="5"/>
    <n v="10"/>
    <x v="2"/>
    <s v="-"/>
    <x v="0"/>
    <m/>
    <x v="0"/>
    <m/>
    <m/>
    <m/>
  </r>
  <r>
    <x v="1"/>
    <m/>
    <m/>
    <m/>
    <s v="1A.1.5.1"/>
    <m/>
    <m/>
    <s v="PIPE, 4SCH80 X 254 LG"/>
    <n v="1"/>
    <n v="2"/>
    <m/>
    <n v="4.6516484"/>
    <n v="9.3032968"/>
    <x v="4"/>
    <s v="A.S.T.M. A106 GR.B"/>
    <x v="3"/>
    <m/>
    <x v="9"/>
    <m/>
    <n v="255"/>
    <n v="10.233626480000002"/>
  </r>
  <r>
    <x v="1"/>
    <m/>
    <m/>
    <m/>
    <s v="1A.1.5.2"/>
    <m/>
    <m/>
    <s v="PLATE, 86 X 86X 6"/>
    <n v="1"/>
    <n v="2"/>
    <m/>
    <n v="0.34835159999999998"/>
    <n v="0.69670319999999997"/>
    <x v="3"/>
    <s v="A.S.T.M. A106 GR.B"/>
    <x v="1"/>
    <m/>
    <x v="10"/>
    <n v="86"/>
    <n v="86"/>
    <n v="0.76637352000000003"/>
  </r>
  <r>
    <x v="1"/>
    <m/>
    <m/>
    <s v="1A.1.6"/>
    <m/>
    <s v="DT34404"/>
    <m/>
    <s v="W-BEAM 600 X 220 X 4572 LG"/>
    <n v="2"/>
    <n v="2"/>
    <m/>
    <n v="498"/>
    <n v="996"/>
    <x v="6"/>
    <s v="A992 / A572"/>
    <x v="1"/>
    <m/>
    <x v="11"/>
    <m/>
    <n v="4572"/>
    <n v="1081.982088"/>
  </r>
  <r>
    <x v="1"/>
    <m/>
    <m/>
    <s v="1A.1.7"/>
    <m/>
    <s v="DT34405"/>
    <m/>
    <s v="CARRIER RAIL BOTTOM STIFFNER, DS, PC4100_x000a_UPN80 X 45"/>
    <n v="1"/>
    <n v="1"/>
    <m/>
    <n v="3"/>
    <n v="3"/>
    <x v="7"/>
    <s v="A36/S275JR"/>
    <x v="2"/>
    <m/>
    <x v="12"/>
    <m/>
    <n v="410"/>
    <n v="3.8966400000000005"/>
  </r>
  <r>
    <x v="1"/>
    <m/>
    <m/>
    <s v="1A.1.8"/>
    <m/>
    <s v="DT34406"/>
    <m/>
    <s v="CARRIER RAIL BOTTOM STIFFNER, ODS, PC4100_x000a_UPN80 X 45"/>
    <n v="1"/>
    <n v="1"/>
    <m/>
    <n v="3"/>
    <n v="3"/>
    <x v="7"/>
    <s v="A36/S275JR"/>
    <x v="2"/>
    <m/>
    <x v="12"/>
    <m/>
    <n v="410"/>
    <n v="3.8966400000000005"/>
  </r>
  <r>
    <x v="1"/>
    <m/>
    <m/>
    <s v="1A.1.9"/>
    <m/>
    <s v="-"/>
    <m/>
    <s v="CHANNEL, UPN200x2198 LG"/>
    <n v="7"/>
    <n v="7"/>
    <m/>
    <n v="55.609400000000001"/>
    <n v="389.26580000000001"/>
    <x v="7"/>
    <s v="A572 Gr. 50"/>
    <x v="1"/>
    <m/>
    <x v="13"/>
    <m/>
    <n v="2198"/>
    <n v="428.19238000000001"/>
  </r>
  <r>
    <x v="1"/>
    <m/>
    <m/>
    <s v="1A.1.10"/>
    <m/>
    <s v="DT34390"/>
    <m/>
    <s v="PLATE, BOTTOM PLATE, JUNK BOX, PC4100"/>
    <n v="1"/>
    <n v="1"/>
    <m/>
    <n v="27.7"/>
    <n v="27.7"/>
    <x v="3"/>
    <s v="ASTM A572 Gr. 50 / A516 Gr.70 / S355JR"/>
    <x v="1"/>
    <m/>
    <x v="10"/>
    <n v="720"/>
    <n v="819"/>
    <n v="30.551320799999999"/>
  </r>
  <r>
    <x v="1"/>
    <m/>
    <m/>
    <s v="1A.1.11"/>
    <m/>
    <s v="-"/>
    <m/>
    <s v="CHANNEL, UPN80.000X 4672.000 LG"/>
    <n v="1"/>
    <n v="1"/>
    <m/>
    <n v="40.366080000000004"/>
    <n v="40.366080000000004"/>
    <x v="7"/>
    <s v="A36/S275JR"/>
    <x v="2"/>
    <m/>
    <x v="12"/>
    <m/>
    <n v="4672"/>
    <n v="44.402688000000005"/>
  </r>
  <r>
    <x v="1"/>
    <m/>
    <m/>
    <s v="1A.1.12"/>
    <m/>
    <s v="-"/>
    <m/>
    <s v="CHANNEL, UPN80X1143 LG"/>
    <n v="5"/>
    <n v="5"/>
    <m/>
    <n v="9.8755199999999999"/>
    <n v="49.377600000000001"/>
    <x v="7"/>
    <s v="A36/S275JR"/>
    <x v="2"/>
    <m/>
    <x v="12"/>
    <m/>
    <n v="1143"/>
    <n v="54.315360000000005"/>
  </r>
  <r>
    <x v="1"/>
    <m/>
    <m/>
    <s v="1A.1.13"/>
    <m/>
    <s v="UPN80x4623"/>
    <m/>
    <s v="CHANNEL, UPN80.000X4623.000 LG"/>
    <n v="1"/>
    <n v="1"/>
    <m/>
    <n v="39.942720000000001"/>
    <n v="39.942720000000001"/>
    <x v="7"/>
    <s v="A36/S275JR"/>
    <x v="2"/>
    <m/>
    <x v="12"/>
    <m/>
    <n v="4623"/>
    <n v="43.936992000000004"/>
  </r>
  <r>
    <x v="1"/>
    <m/>
    <m/>
    <s v="1A.1.14"/>
    <m/>
    <s v="FB45X6X329"/>
    <m/>
    <s v="BAR, FLAT, 45.000 X 6.000 X 329.406 LG"/>
    <n v="1"/>
    <n v="1"/>
    <m/>
    <n v="0.69731549999999998"/>
    <n v="0.69731549999999998"/>
    <x v="3"/>
    <s v="A36/S275JR/SA 516 GR.70"/>
    <x v="2"/>
    <m/>
    <x v="10"/>
    <n v="45"/>
    <n v="329"/>
    <n v="0.76704705000000006"/>
  </r>
  <r>
    <x v="1"/>
    <m/>
    <m/>
    <s v="1A.1.15"/>
    <m/>
    <s v="-"/>
    <m/>
    <s v="PI 6&quot; SCH XS X 2388mm"/>
    <n v="1"/>
    <n v="1"/>
    <m/>
    <n v="101.63328"/>
    <n v="101.63328"/>
    <x v="4"/>
    <s v="G40.21-44W"/>
    <x v="3"/>
    <m/>
    <x v="14"/>
    <m/>
    <n v="2388"/>
    <n v="111.79660800000001"/>
  </r>
  <r>
    <x v="1"/>
    <m/>
    <m/>
    <s v="1A.1.16"/>
    <m/>
    <s v="FB45X6X280"/>
    <m/>
    <s v="BAR, FLAT, 45.000 X 6.000 X 280.194 LG"/>
    <n v="1"/>
    <n v="1"/>
    <m/>
    <n v="0.59345999999999999"/>
    <n v="0.59345999999999999"/>
    <x v="3"/>
    <s v="A36/S275JR/SA 516 GR.70"/>
    <x v="2"/>
    <m/>
    <x v="10"/>
    <n v="45"/>
    <n v="280"/>
    <n v="0.652806"/>
  </r>
  <r>
    <x v="1"/>
    <m/>
    <m/>
    <s v="1A.1.17"/>
    <m/>
    <s v="DT34389"/>
    <m/>
    <s v="PLATE, FRONT LIP, JUNK BOX, PC4100"/>
    <n v="1"/>
    <n v="1"/>
    <m/>
    <n v="4.0999999999999996"/>
    <n v="4.0999999999999996"/>
    <x v="3"/>
    <s v="ASTM A572 Gr. 50 / A516 Gr.70 / S355JR"/>
    <x v="1"/>
    <m/>
    <x v="10"/>
    <n v="126"/>
    <n v="691"/>
    <n v="4.5108894600000005"/>
  </r>
  <r>
    <x v="1"/>
    <m/>
    <m/>
    <s v="1A.1.18"/>
    <m/>
    <s v="UPN80X1651"/>
    <m/>
    <s v="CHANNEL, UPN80.000 LG"/>
    <n v="1"/>
    <n v="1"/>
    <m/>
    <n v="14.264640000000002"/>
    <n v="14.264640000000002"/>
    <x v="7"/>
    <s v="A36/S275JR"/>
    <x v="2"/>
    <m/>
    <x v="12"/>
    <m/>
    <n v="1651"/>
    <n v="15.691104000000003"/>
  </r>
  <r>
    <x v="1"/>
    <m/>
    <m/>
    <s v="1A.1.19"/>
    <m/>
    <s v="FB80X6X4634"/>
    <m/>
    <s v="BAR, FLAT, 80.000 X 6.000 X 4634.000 LG"/>
    <n v="1"/>
    <n v="1"/>
    <m/>
    <n v="17.460911999999997"/>
    <n v="17.460911999999997"/>
    <x v="3"/>
    <s v="A36/S275JR/SA 516 GR.70"/>
    <x v="2"/>
    <m/>
    <x v="10"/>
    <n v="80"/>
    <n v="4634"/>
    <n v="19.207003199999999"/>
  </r>
  <r>
    <x v="1"/>
    <m/>
    <m/>
    <s v="1A.1.20"/>
    <m/>
    <s v="FB80X6X4585"/>
    <m/>
    <s v="BAR, FLAT, 80.000 X 6.000 X 4585.000 LG"/>
    <n v="1"/>
    <n v="1"/>
    <m/>
    <n v="17.27628"/>
    <n v="17.27628"/>
    <x v="3"/>
    <s v="A36/S275JR/SA 516 GR.70"/>
    <x v="2"/>
    <m/>
    <x v="10"/>
    <n v="80"/>
    <n v="4585"/>
    <n v="19.003908000000003"/>
  </r>
  <r>
    <x v="1"/>
    <m/>
    <m/>
    <s v="1A.1.21"/>
    <m/>
    <s v="AY30006.002"/>
    <m/>
    <s v="BAR, FLAT, 5 X 38 X 67 LG"/>
    <n v="2"/>
    <n v="2"/>
    <m/>
    <n v="9.9930499999999992E-2"/>
    <n v="0.19986099999999998"/>
    <x v="3"/>
    <s v="A36/S275JR/SA 516 GR.70"/>
    <x v="2"/>
    <m/>
    <x v="15"/>
    <n v="38"/>
    <n v="67"/>
    <n v="0.21984709999999999"/>
  </r>
  <r>
    <x v="1"/>
    <m/>
    <m/>
    <s v="1A.1.22"/>
    <m/>
    <s v="DT34392"/>
    <m/>
    <s v="PLATE, LEFT SIDE WALL, JUNK BOX, PC4100"/>
    <n v="1"/>
    <n v="1"/>
    <m/>
    <n v="28.6"/>
    <n v="28.6"/>
    <x v="3"/>
    <s v="ASTM A572 Gr. 50 / A516 Gr.70 / S355JR"/>
    <x v="1"/>
    <m/>
    <x v="10"/>
    <n v="630"/>
    <n v="967"/>
    <n v="31.563170100000001"/>
  </r>
  <r>
    <x v="1"/>
    <m/>
    <m/>
    <s v="1A.1.23"/>
    <m/>
    <s v="DT34391"/>
    <m/>
    <s v="PLATE, BACK LIP, JUNK BOX, PC4100"/>
    <n v="1"/>
    <n v="1"/>
    <m/>
    <n v="4"/>
    <n v="4"/>
    <x v="3"/>
    <s v="ASTM A572 Gr. 50 / A516 Gr.70 / S355JR"/>
    <x v="1"/>
    <m/>
    <x v="10"/>
    <n v="119"/>
    <n v="691"/>
    <n v="4.2602844900000001"/>
  </r>
  <r>
    <x v="1"/>
    <m/>
    <m/>
    <s v="1A.1.24"/>
    <m/>
    <s v="DT34388"/>
    <m/>
    <s v="PLATE, RIGHT SIDE WALL, JUNK BOX, PC4100"/>
    <n v="1"/>
    <n v="1"/>
    <m/>
    <n v="23"/>
    <n v="23"/>
    <x v="3"/>
    <s v="ASTM A572 Gr. 50 / A516 Gr.70 / S355JR"/>
    <x v="1"/>
    <m/>
    <x v="10"/>
    <n v="630"/>
    <n v="802"/>
    <n v="26.177520599999998"/>
  </r>
  <r>
    <x v="1"/>
    <m/>
    <m/>
    <s v="1A.1.25"/>
    <m/>
    <s v="DT34387"/>
    <m/>
    <s v="PLATE, BOTTOM PLATE, JUNK BOX, PC4100"/>
    <n v="1"/>
    <n v="1"/>
    <m/>
    <n v="9"/>
    <n v="9"/>
    <x v="3"/>
    <s v="ASTM A572 Gr. 50 / A516 Gr.70 / S355JR"/>
    <x v="1"/>
    <m/>
    <x v="10"/>
    <n v="365.13"/>
    <n v="526.79999999999995"/>
    <n v="9.9656785760399984"/>
  </r>
  <r>
    <x v="1"/>
    <m/>
    <m/>
    <s v="1A.1.26"/>
    <m/>
    <s v="M11504"/>
    <m/>
    <s v="FLANGE, SCULLY, 3/4&quot; NPT"/>
    <n v="1"/>
    <n v="1"/>
    <m/>
    <m/>
    <n v="0"/>
    <x v="8"/>
    <s v="CARBON STEEL"/>
    <x v="0"/>
    <m/>
    <x v="0"/>
    <m/>
    <m/>
    <m/>
  </r>
  <r>
    <x v="1"/>
    <m/>
    <m/>
    <s v="1A.1.27"/>
    <m/>
    <s v="DT34314"/>
    <m/>
    <s v="PLATE, CROSS CHANNEL GUSSET, PC4100"/>
    <n v="10"/>
    <n v="10"/>
    <m/>
    <n v="1.8"/>
    <n v="18"/>
    <x v="3"/>
    <s v="A572 Gr. 50"/>
    <x v="1"/>
    <m/>
    <x v="1"/>
    <n v="100"/>
    <n v="254"/>
    <n v="21.932899999999997"/>
  </r>
  <r>
    <x v="1"/>
    <m/>
    <s v="1A.2"/>
    <m/>
    <m/>
    <s v="DT34325"/>
    <m/>
    <s v="PLATE, ROLL SUPPORT, PC4100"/>
    <n v="4"/>
    <n v="4"/>
    <m/>
    <n v="2"/>
    <n v="8"/>
    <x v="3"/>
    <s v="A572 Gr. 50"/>
    <x v="1"/>
    <m/>
    <x v="1"/>
    <n v="200"/>
    <n v="200"/>
    <n v="13.815999999999999"/>
  </r>
  <r>
    <x v="1"/>
    <m/>
    <s v="1A.3"/>
    <m/>
    <m/>
    <s v="DT34333"/>
    <m/>
    <s v="MID FLOOR HANGER FRONT, PC4100"/>
    <n v="7"/>
    <n v="7"/>
    <m/>
    <n v="5"/>
    <n v="35"/>
    <x v="3"/>
    <s v="A572 Gr. 50"/>
    <x v="1"/>
    <m/>
    <x v="1"/>
    <n v="113"/>
    <n v="745"/>
    <n v="50.885623250000002"/>
  </r>
  <r>
    <x v="1"/>
    <m/>
    <s v="1A.4"/>
    <m/>
    <m/>
    <s v="DT34386"/>
    <m/>
    <s v="FLOOR, WIDE HANGER, PC4100"/>
    <n v="2"/>
    <n v="2"/>
    <m/>
    <n v="17"/>
    <n v="34"/>
    <x v="3"/>
    <s v="A36 / S275JR / SA 516 GR.70"/>
    <x v="2"/>
    <m/>
    <x v="4"/>
    <n v="87"/>
    <n v="813"/>
    <n v="48.860974800000001"/>
  </r>
  <r>
    <x v="1"/>
    <m/>
    <s v="1A.5"/>
    <m/>
    <m/>
    <s v="DT34385"/>
    <m/>
    <s v="HSS, HORIZONTAL ALIGNER, PC4100"/>
    <n v="2"/>
    <n v="2"/>
    <m/>
    <n v="11"/>
    <n v="22"/>
    <x v="2"/>
    <s v="-"/>
    <x v="0"/>
    <m/>
    <x v="0"/>
    <m/>
    <m/>
    <m/>
  </r>
  <r>
    <x v="1"/>
    <m/>
    <m/>
    <s v="1A.5.1"/>
    <m/>
    <m/>
    <m/>
    <s v="HSS, 80 X 80 X 10 LG"/>
    <n v="1"/>
    <n v="2"/>
    <m/>
    <n v="13.407800000000002"/>
    <n v="26.815600000000003"/>
    <x v="9"/>
    <s v="A36/S275JR"/>
    <x v="4"/>
    <m/>
    <x v="16"/>
    <m/>
    <n v="610"/>
    <n v="29.497160000000004"/>
  </r>
  <r>
    <x v="1"/>
    <m/>
    <m/>
    <s v="1A.5.2"/>
    <m/>
    <m/>
    <m/>
    <s v="PLATE, 97X60X6"/>
    <n v="2"/>
    <n v="4"/>
    <m/>
    <n v="0.27412199999999998"/>
    <n v="1.0964879999999999"/>
    <x v="3"/>
    <s v="ASTM A572 Gr. 50 / A516 Gr.70 / S355JR"/>
    <x v="1"/>
    <m/>
    <x v="10"/>
    <n v="60"/>
    <n v="97"/>
    <n v="1.2061367999999999"/>
  </r>
  <r>
    <x v="1"/>
    <m/>
    <s v="1A.6"/>
    <m/>
    <m/>
    <s v="—"/>
    <m/>
    <s v="BAR, FLAT, 51 X 25 X 400 LG"/>
    <n v="2"/>
    <n v="2"/>
    <m/>
    <n v="4.0034999999999998"/>
    <n v="8.0069999999999997"/>
    <x v="3"/>
    <s v="A36 / S275JR / SA 516 GR.70"/>
    <x v="2"/>
    <m/>
    <x v="5"/>
    <n v="51"/>
    <n v="400"/>
    <n v="8.8077000000000005"/>
  </r>
  <r>
    <x v="1"/>
    <m/>
    <s v="1A.7"/>
    <m/>
    <m/>
    <s v="—"/>
    <m/>
    <s v="PIPE, 4 SCH 80 X 628 LG"/>
    <n v="2"/>
    <n v="2"/>
    <m/>
    <n v="14.023239999999999"/>
    <n v="28.046479999999999"/>
    <x v="4"/>
    <s v="ASTM A106 GR.B"/>
    <x v="3"/>
    <m/>
    <x v="17"/>
    <m/>
    <n v="628"/>
    <n v="30.851128000000003"/>
  </r>
  <r>
    <x v="1"/>
    <m/>
    <s v="1A.8"/>
    <m/>
    <m/>
    <s v="—"/>
    <m/>
    <s v="UNISTRUCT, 41 X 22 X 368 LG"/>
    <n v="2"/>
    <n v="2"/>
    <m/>
    <m/>
    <n v="0"/>
    <x v="5"/>
    <s v="ASTM A572 Gr. 50 / S355JR"/>
    <x v="0"/>
    <m/>
    <x v="0"/>
    <m/>
    <m/>
    <m/>
  </r>
  <r>
    <x v="1"/>
    <m/>
    <s v="1A.9"/>
    <m/>
    <m/>
    <s v="DT34360"/>
    <m/>
    <s v="FLOOR, WIDE HANGER, PC4100"/>
    <n v="2"/>
    <n v="2"/>
    <m/>
    <n v="16"/>
    <n v="32"/>
    <x v="3"/>
    <s v="A36 / S275JR / SA 516 GR.70"/>
    <x v="2"/>
    <m/>
    <x v="4"/>
    <n v="112"/>
    <n v="813"/>
    <n v="62.901484799999999"/>
  </r>
  <r>
    <x v="1"/>
    <s v="1B"/>
    <m/>
    <m/>
    <m/>
    <s v="DT34384"/>
    <m/>
    <s v="WELDMENT, PANEL GUARD, PC4100"/>
    <n v="1"/>
    <n v="1"/>
    <m/>
    <n v="20.45"/>
    <n v="20.45"/>
    <x v="2"/>
    <s v="-"/>
    <x v="0"/>
    <m/>
    <x v="0"/>
    <m/>
    <m/>
    <m/>
  </r>
  <r>
    <x v="1"/>
    <m/>
    <s v="1B.1"/>
    <m/>
    <m/>
    <m/>
    <m/>
    <s v="HSS, 50 X 50 X 5 X 184 LG"/>
    <n v="4"/>
    <n v="4"/>
    <m/>
    <n v="1.30088"/>
    <n v="5.2035200000000001"/>
    <x v="9"/>
    <s v="ASTM A516 Gr. 70/S275JR"/>
    <x v="4"/>
    <m/>
    <x v="18"/>
    <m/>
    <n v="184"/>
    <n v="5.723872000000001"/>
  </r>
  <r>
    <x v="1"/>
    <m/>
    <s v="1B.2"/>
    <m/>
    <m/>
    <m/>
    <m/>
    <s v="HSS, 50 X 50 X 5 X 558 LG"/>
    <n v="2"/>
    <n v="2"/>
    <m/>
    <n v="3.9450599999999998"/>
    <n v="7.8901199999999996"/>
    <x v="9"/>
    <s v="ASTM A516 Gr. 70/S275JR"/>
    <x v="4"/>
    <m/>
    <x v="18"/>
    <m/>
    <n v="558"/>
    <n v="8.679132000000001"/>
  </r>
  <r>
    <x v="1"/>
    <m/>
    <s v="1B.3"/>
    <m/>
    <m/>
    <m/>
    <m/>
    <s v="HSS, 50 X 50 X 5 X 520 LG"/>
    <n v="2"/>
    <n v="2"/>
    <m/>
    <n v="3.6764000000000001"/>
    <n v="7.3528000000000002"/>
    <x v="9"/>
    <s v="ASTM A516 Gr. 70/S275JR"/>
    <x v="4"/>
    <m/>
    <x v="18"/>
    <m/>
    <n v="520"/>
    <n v="8.0880800000000015"/>
  </r>
  <r>
    <x v="1"/>
    <s v="1C"/>
    <m/>
    <m/>
    <m/>
    <s v="DT34383"/>
    <m/>
    <s v="PLATE, SLAVE SKID CHANNEL CAP, PC4100"/>
    <n v="2"/>
    <n v="2"/>
    <m/>
    <n v="6.7"/>
    <n v="13.4"/>
    <x v="3"/>
    <s v="A572 Gr. 50"/>
    <x v="1"/>
    <m/>
    <x v="1"/>
    <n v="121"/>
    <n v="708"/>
    <n v="14.794863600000001"/>
  </r>
  <r>
    <x v="1"/>
    <s v="1D"/>
    <m/>
    <m/>
    <m/>
    <s v="DT34381"/>
    <m/>
    <s v="HSS, RIGHT SIDE LASER POST, PC4100"/>
    <n v="1"/>
    <n v="1"/>
    <m/>
    <n v="10"/>
    <n v="10"/>
    <x v="2"/>
    <s v="-"/>
    <x v="0"/>
    <m/>
    <x v="0"/>
    <m/>
    <m/>
    <m/>
  </r>
  <r>
    <x v="1"/>
    <m/>
    <s v="1D.1"/>
    <m/>
    <m/>
    <m/>
    <m/>
    <s v="PLATE, 116X76X6"/>
    <n v="1"/>
    <n v="1"/>
    <m/>
    <n v="0.41523359999999998"/>
    <n v="0.41523359999999998"/>
    <x v="3"/>
    <s v="ASTM A572 Gr. 50 / A516 Gr.70 / S355JR"/>
    <x v="1"/>
    <m/>
    <x v="10"/>
    <n v="76"/>
    <n v="116"/>
    <n v="0.45675695999999999"/>
  </r>
  <r>
    <x v="1"/>
    <m/>
    <s v="1D.2"/>
    <m/>
    <m/>
    <m/>
    <m/>
    <s v="HSS,100 X 80 X 5X 864 LG"/>
    <n v="1"/>
    <n v="1"/>
    <m/>
    <n v="11.5344"/>
    <n v="11.5344"/>
    <x v="10"/>
    <s v="A36 / S275JR"/>
    <x v="4"/>
    <m/>
    <x v="19"/>
    <m/>
    <n v="864"/>
    <n v="12.687840000000001"/>
  </r>
  <r>
    <x v="1"/>
    <s v="1E"/>
    <m/>
    <m/>
    <m/>
    <s v="DT34382"/>
    <m/>
    <s v="HSS, LEFT SIDE LASER POST, PC4100"/>
    <n v="1"/>
    <n v="1"/>
    <m/>
    <n v="10"/>
    <n v="10"/>
    <x v="2"/>
    <s v="-"/>
    <x v="0"/>
    <m/>
    <x v="0"/>
    <m/>
    <m/>
    <m/>
  </r>
  <r>
    <x v="1"/>
    <m/>
    <s v="1E.1"/>
    <m/>
    <m/>
    <m/>
    <m/>
    <s v="PLATE, 116X76X6"/>
    <n v="1"/>
    <n v="1"/>
    <m/>
    <n v="0.41523359999999998"/>
    <n v="0.41523359999999998"/>
    <x v="3"/>
    <s v="ASTM A572 Gr. 50 / A516 Gr.70 / S355JR"/>
    <x v="1"/>
    <m/>
    <x v="10"/>
    <n v="76"/>
    <n v="116"/>
    <n v="0.45675695999999999"/>
  </r>
  <r>
    <x v="1"/>
    <m/>
    <s v="1E.2"/>
    <m/>
    <m/>
    <m/>
    <m/>
    <s v="HSS,100 X 80 X 5X 864 LG"/>
    <n v="1"/>
    <n v="1"/>
    <m/>
    <n v="11.5344"/>
    <n v="11.5344"/>
    <x v="10"/>
    <s v="A36 / S275JR"/>
    <x v="4"/>
    <m/>
    <x v="19"/>
    <m/>
    <n v="864"/>
    <n v="12.687840000000001"/>
  </r>
  <r>
    <x v="1"/>
    <s v="1F"/>
    <m/>
    <m/>
    <m/>
    <s v="—"/>
    <m/>
    <s v="CHANNEL, UPN200 X 464 LG"/>
    <n v="3"/>
    <n v="3"/>
    <m/>
    <n v="11.7392"/>
    <n v="35.217600000000004"/>
    <x v="7"/>
    <s v="A572 Gr. 50"/>
    <x v="1"/>
    <m/>
    <x v="13"/>
    <m/>
    <n v="464"/>
    <n v="38.739360000000005"/>
  </r>
  <r>
    <x v="1"/>
    <s v="1G"/>
    <m/>
    <m/>
    <m/>
    <s v="—"/>
    <m/>
    <s v="CHANNEL, UPN200 X 4321.175 LG"/>
    <n v="3"/>
    <n v="3"/>
    <m/>
    <n v="109.34660000000001"/>
    <n v="328.03980000000001"/>
    <x v="7"/>
    <s v="A572 Gr. 50"/>
    <x v="1"/>
    <m/>
    <x v="13"/>
    <m/>
    <n v="4322"/>
    <n v="360.84378000000004"/>
  </r>
  <r>
    <x v="1"/>
    <s v="1H"/>
    <m/>
    <m/>
    <m/>
    <s v="—"/>
    <m/>
    <s v="BAR, FLAT, 30 X 10 X 622 LG"/>
    <n v="4"/>
    <n v="4"/>
    <m/>
    <n v="1.4648099999999999"/>
    <n v="5.8592399999999998"/>
    <x v="3"/>
    <s v="A572 Gr. 50"/>
    <x v="1"/>
    <m/>
    <x v="1"/>
    <n v="30"/>
    <n v="622"/>
    <n v="6.4451640000000001"/>
  </r>
  <r>
    <x v="1"/>
    <s v="1I"/>
    <m/>
    <m/>
    <m/>
    <s v="—"/>
    <m/>
    <s v="COUPLING, HALF, 3/4&quot; NPT"/>
    <n v="5"/>
    <n v="5"/>
    <m/>
    <n v="0.1"/>
    <n v="0.5"/>
    <x v="8"/>
    <s v="—"/>
    <x v="0"/>
    <m/>
    <x v="0"/>
    <m/>
    <m/>
    <m/>
  </r>
  <r>
    <x v="1"/>
    <s v="1J"/>
    <m/>
    <m/>
    <m/>
    <s v="—"/>
    <m/>
    <s v="CHANNEL, UPN200 X 3025 LG"/>
    <n v="3"/>
    <n v="3"/>
    <m/>
    <n v="76.532499999999999"/>
    <n v="229.5975"/>
    <x v="7"/>
    <s v="A572 Gr. 50"/>
    <x v="1"/>
    <m/>
    <x v="13"/>
    <m/>
    <n v="3025"/>
    <n v="252.55725000000001"/>
  </r>
  <r>
    <x v="1"/>
    <s v="1K"/>
    <m/>
    <m/>
    <m/>
    <s v="AY30014"/>
    <m/>
    <s v="WELDMENT, HINGED FLOOR MNT, PC4100"/>
    <n v="1"/>
    <n v="1"/>
    <m/>
    <n v="11"/>
    <n v="11"/>
    <x v="2"/>
    <s v="-"/>
    <x v="0"/>
    <m/>
    <x v="0"/>
    <m/>
    <m/>
    <m/>
  </r>
  <r>
    <x v="1"/>
    <m/>
    <s v="1K.1"/>
    <m/>
    <m/>
    <s v="DT34373"/>
    <m/>
    <s v="PLATE, HINGED FLOOR FORMING CAP, PC4100"/>
    <n v="2"/>
    <n v="2"/>
    <m/>
    <n v="1"/>
    <n v="2"/>
    <x v="3"/>
    <s v="A572 Gr. 50"/>
    <x v="1"/>
    <m/>
    <x v="1"/>
    <n v="83"/>
    <n v="119"/>
    <n v="1.7057579"/>
  </r>
  <r>
    <x v="1"/>
    <m/>
    <s v="1K.2"/>
    <m/>
    <m/>
    <s v="DT34374"/>
    <m/>
    <s v="PLATE, HINGED FLOOR MNT, PC4100"/>
    <n v="2"/>
    <n v="2"/>
    <m/>
    <n v="1"/>
    <n v="2"/>
    <x v="3"/>
    <s v="A572 Gr. 50"/>
    <x v="1"/>
    <m/>
    <x v="1"/>
    <n v="75"/>
    <n v="119"/>
    <n v="1.5413475000000001"/>
  </r>
  <r>
    <x v="1"/>
    <m/>
    <s v="1K.3"/>
    <m/>
    <m/>
    <s v="DT34339"/>
    <m/>
    <s v="PLATE, HINGE FLOOR MOUNT SHORT, PC4100"/>
    <n v="2"/>
    <n v="2"/>
    <m/>
    <n v="0.25905"/>
    <n v="0.5181"/>
    <x v="3"/>
    <s v="A572 Gr. 50"/>
    <x v="1"/>
    <m/>
    <x v="1"/>
    <n v="44"/>
    <n v="75"/>
    <n v="0.56991000000000003"/>
  </r>
  <r>
    <x v="1"/>
    <m/>
    <s v="1K.4"/>
    <m/>
    <m/>
    <s v="DT34366"/>
    <m/>
    <s v="BAR, RD, 12 x 25 LG, PC4100"/>
    <n v="2"/>
    <n v="2"/>
    <m/>
    <n v="0.02"/>
    <n v="0.04"/>
    <x v="11"/>
    <s v="A36/275JR"/>
    <x v="2"/>
    <m/>
    <x v="20"/>
    <m/>
    <n v="25"/>
    <n v="0.29315000000000002"/>
  </r>
  <r>
    <x v="1"/>
    <m/>
    <s v="1K.5"/>
    <m/>
    <m/>
    <s v="DT34379"/>
    <m/>
    <s v="PLATE, 6 x 232 x 749, PC4100"/>
    <n v="1"/>
    <n v="1"/>
    <m/>
    <n v="8"/>
    <n v="8"/>
    <x v="3"/>
    <s v="ASTM A572 Gr. 50 /A516 Gr.70/S355JR"/>
    <x v="1"/>
    <m/>
    <x v="10"/>
    <n v="232"/>
    <n v="749"/>
    <n v="9.0029200800000009"/>
  </r>
  <r>
    <x v="2"/>
    <n v="2"/>
    <m/>
    <m/>
    <m/>
    <s v="AY30017"/>
    <s v="A"/>
    <s v="WELDMENT, FALSE FLOOR, PC4100"/>
    <n v="2"/>
    <n v="2"/>
    <m/>
    <n v="65"/>
    <n v="130"/>
    <x v="1"/>
    <m/>
    <x v="0"/>
    <m/>
    <x v="0"/>
    <m/>
    <m/>
    <n v="149.49658856000002"/>
  </r>
  <r>
    <x v="2"/>
    <m/>
    <n v="2.1"/>
    <m/>
    <m/>
    <m/>
    <m/>
    <s v="UPN200 X 740 LG"/>
    <n v="3"/>
    <n v="6"/>
    <m/>
    <n v="18.722000000000001"/>
    <n v="112.33200000000001"/>
    <x v="7"/>
    <s v="A572 Gr. 50"/>
    <x v="1"/>
    <m/>
    <x v="13"/>
    <m/>
    <n v="740"/>
    <n v="123.56520000000003"/>
  </r>
  <r>
    <x v="2"/>
    <m/>
    <n v="2.2000000000000002"/>
    <m/>
    <m/>
    <s v="DT34447"/>
    <m/>
    <s v="POSITIONING CAP. FALSE FLOOR"/>
    <n v="2"/>
    <n v="4"/>
    <m/>
    <n v="3"/>
    <n v="12"/>
    <x v="3"/>
    <s v="ASTM A516 Gr. 70/S275JR"/>
    <x v="2"/>
    <m/>
    <x v="21"/>
    <n v="51"/>
    <n v="629"/>
    <n v="17.728138559999998"/>
  </r>
  <r>
    <x v="2"/>
    <m/>
    <n v="2.2999999999999998"/>
    <m/>
    <m/>
    <s v="DT34448"/>
    <m/>
    <s v="RIB, FALSE FLOOR, PC4100"/>
    <n v="1"/>
    <n v="2"/>
    <m/>
    <n v="3"/>
    <n v="6"/>
    <x v="3"/>
    <s v="ASTM A516 Gr. 70/S275JR"/>
    <x v="2"/>
    <m/>
    <x v="1"/>
    <n v="76"/>
    <n v="625"/>
    <n v="8.2032500000000006"/>
  </r>
  <r>
    <x v="3"/>
    <n v="3"/>
    <m/>
    <m/>
    <m/>
    <s v="AY30018"/>
    <s v="A"/>
    <s v="WELDMENT, HINGED FLOOR, PC4100"/>
    <n v="1"/>
    <n v="1"/>
    <m/>
    <n v="27"/>
    <n v="27"/>
    <x v="1"/>
    <m/>
    <x v="0"/>
    <m/>
    <x v="0"/>
    <m/>
    <m/>
    <n v="29.666871520000001"/>
  </r>
  <r>
    <x v="3"/>
    <m/>
    <n v="3.1"/>
    <m/>
    <m/>
    <s v="DT34407"/>
    <m/>
    <s v="PLATE 6 X 622 X854, PC4100"/>
    <n v="1"/>
    <n v="1"/>
    <m/>
    <n v="26"/>
    <n v="26"/>
    <x v="3"/>
    <s v="ASTM A572 GR.50/S355JR"/>
    <x v="1"/>
    <m/>
    <x v="10"/>
    <n v="622"/>
    <n v="854"/>
    <n v="28.6"/>
  </r>
  <r>
    <x v="3"/>
    <m/>
    <n v="3.2"/>
    <m/>
    <m/>
    <s v="DT34380"/>
    <m/>
    <s v="PLATE, HINGED FLOOR CONNECTION, PC4100"/>
    <n v="2"/>
    <n v="2"/>
    <m/>
    <n v="0.4"/>
    <n v="0.8"/>
    <x v="3"/>
    <s v="A572 Gr. 50"/>
    <x v="1"/>
    <m/>
    <x v="1"/>
    <n v="57.2"/>
    <n v="108"/>
    <n v="1.0668715200000001"/>
  </r>
  <r>
    <x v="4"/>
    <n v="4"/>
    <m/>
    <m/>
    <m/>
    <s v="AY30027"/>
    <s v="A"/>
    <s v="WELDMENT, HINGED FLOOR, PC4100"/>
    <n v="23"/>
    <n v="23"/>
    <m/>
    <n v="19.8"/>
    <n v="455.40000000000003"/>
    <x v="1"/>
    <m/>
    <x v="0"/>
    <m/>
    <x v="0"/>
    <m/>
    <m/>
    <n v="490.53806438999999"/>
  </r>
  <r>
    <x v="4"/>
    <m/>
    <n v="4.0999999999999996"/>
    <m/>
    <m/>
    <s v="DT34439"/>
    <m/>
    <s v="PLATE, HINGED FLOOR DECK FORMING, PC4100"/>
    <n v="1"/>
    <n v="23"/>
    <m/>
    <n v="17"/>
    <n v="391"/>
    <x v="3"/>
    <s v="ASTM A572 Gr. 50 / S355JR OR A516 Gr.70"/>
    <x v="1"/>
    <m/>
    <x v="10"/>
    <n v="597"/>
    <n v="603"/>
    <n v="428.97607533000001"/>
  </r>
  <r>
    <x v="4"/>
    <m/>
    <n v="4.3"/>
    <m/>
    <m/>
    <s v="DT34380"/>
    <m/>
    <s v="PLATE, HINGED FLOOR CONNECTION, PC4100"/>
    <n v="2"/>
    <n v="46"/>
    <m/>
    <n v="0.4"/>
    <n v="18.400000000000002"/>
    <x v="3"/>
    <s v="A572 Gr. 50"/>
    <x v="1"/>
    <m/>
    <x v="1"/>
    <n v="57.2"/>
    <n v="108"/>
    <n v="24.538044960000001"/>
  </r>
  <r>
    <x v="4"/>
    <m/>
    <n v="4.3"/>
    <m/>
    <m/>
    <m/>
    <m/>
    <s v="PLATE, 13 X 10 X 724 LG."/>
    <n v="1"/>
    <n v="23"/>
    <m/>
    <n v="0.73884199999999989"/>
    <n v="16.993365999999998"/>
    <x v="3"/>
    <s v="G40.21-44W / A572 G50"/>
    <x v="1"/>
    <m/>
    <x v="1"/>
    <n v="13"/>
    <n v="724"/>
    <n v="18.692702600000001"/>
  </r>
  <r>
    <x v="4"/>
    <m/>
    <n v="4.4000000000000004"/>
    <m/>
    <m/>
    <m/>
    <m/>
    <s v="PLATE, 13 X 10 X 355 LG"/>
    <n v="2"/>
    <n v="46"/>
    <m/>
    <n v="0.36227749999999997"/>
    <n v="16.664764999999999"/>
    <x v="3"/>
    <s v="G40.21-44W / A572 G50"/>
    <x v="1"/>
    <m/>
    <x v="1"/>
    <n v="13"/>
    <n v="355"/>
    <n v="18.331241499999997"/>
  </r>
  <r>
    <x v="5"/>
    <n v="5"/>
    <m/>
    <m/>
    <m/>
    <s v="AY30062"/>
    <s v="A"/>
    <s v="WELDMENT, SAFETY BAR, PC4100"/>
    <n v="1"/>
    <n v="1"/>
    <m/>
    <n v="21"/>
    <n v="21"/>
    <x v="1"/>
    <m/>
    <x v="0"/>
    <m/>
    <x v="0"/>
    <m/>
    <m/>
    <n v="25.182289000000004"/>
  </r>
  <r>
    <x v="5"/>
    <m/>
    <n v="5.0999999999999996"/>
    <m/>
    <m/>
    <m/>
    <m/>
    <s v="PIPE,3.5SCH 80 X 965 LG"/>
    <n v="1"/>
    <n v="1"/>
    <m/>
    <n v="17.9876"/>
    <n v="17.9876"/>
    <x v="4"/>
    <s v="A.S.T.M. A106 GR.B"/>
    <x v="3"/>
    <m/>
    <x v="9"/>
    <m/>
    <n v="965"/>
    <n v="19.786360000000002"/>
  </r>
  <r>
    <x v="5"/>
    <m/>
    <n v="5.2"/>
    <m/>
    <m/>
    <s v="DT34474"/>
    <m/>
    <s v="PLATE,SAFETY BAR CAP, PC4100"/>
    <n v="2"/>
    <n v="2"/>
    <m/>
    <n v="1.2"/>
    <n v="2.4"/>
    <x v="3"/>
    <s v="A572 Gr. 50"/>
    <x v="1"/>
    <m/>
    <x v="1"/>
    <n v="140"/>
    <n v="140"/>
    <n v="3.3849200000000002"/>
  </r>
  <r>
    <x v="5"/>
    <m/>
    <n v="5.3"/>
    <m/>
    <m/>
    <s v="DT34475"/>
    <m/>
    <s v="HANDLE, SAFETY BAR, PC4100_x000a_BAR, ROUND, 12"/>
    <n v="1"/>
    <n v="1"/>
    <m/>
    <n v="0.3"/>
    <n v="0.3"/>
    <x v="11"/>
    <s v="A36/S275JR"/>
    <x v="2"/>
    <m/>
    <x v="20"/>
    <m/>
    <n v="343"/>
    <n v="2.011009"/>
  </r>
  <r>
    <x v="6"/>
    <n v="6"/>
    <m/>
    <m/>
    <m/>
    <s v="AY30084"/>
    <s v="A"/>
    <s v="HAND RAIL,WELDMENT,42&quot; CATWALK, PC4100"/>
    <n v="4"/>
    <n v="4"/>
    <m/>
    <n v="19"/>
    <n v="76"/>
    <x v="1"/>
    <m/>
    <x v="0"/>
    <m/>
    <x v="0"/>
    <m/>
    <m/>
    <n v="97.840600000000009"/>
  </r>
  <r>
    <x v="6"/>
    <m/>
    <n v="6.1"/>
    <m/>
    <m/>
    <m/>
    <m/>
    <s v="HSS, 40 X 40 X 5 X 965 LG"/>
    <n v="1"/>
    <n v="4"/>
    <m/>
    <n v="5.3075000000000001"/>
    <n v="21.23"/>
    <x v="9"/>
    <s v="ASTM A500 GR B"/>
    <x v="4"/>
    <m/>
    <x v="22"/>
    <m/>
    <n v="965"/>
    <n v="23.353000000000002"/>
  </r>
  <r>
    <x v="6"/>
    <m/>
    <n v="6.2"/>
    <m/>
    <m/>
    <m/>
    <m/>
    <s v="HSS, 40 X 40 X 5 X 1113 LG"/>
    <n v="1"/>
    <n v="4"/>
    <m/>
    <n v="6.1215000000000002"/>
    <n v="24.486000000000001"/>
    <x v="9"/>
    <s v="ASTM A500 GR B"/>
    <x v="4"/>
    <m/>
    <x v="22"/>
    <m/>
    <n v="1113"/>
    <n v="26.934600000000003"/>
  </r>
  <r>
    <x v="6"/>
    <m/>
    <n v="6.3"/>
    <m/>
    <m/>
    <m/>
    <m/>
    <s v="HSS, 40 X 40 X 5 X 926 LG"/>
    <n v="1"/>
    <n v="4"/>
    <m/>
    <n v="5.093"/>
    <n v="20.372"/>
    <x v="9"/>
    <s v="ASTM A500 GR B"/>
    <x v="4"/>
    <m/>
    <x v="22"/>
    <m/>
    <n v="926"/>
    <n v="22.409200000000002"/>
  </r>
  <r>
    <x v="6"/>
    <m/>
    <n v="6.4"/>
    <m/>
    <m/>
    <m/>
    <m/>
    <s v="HSS, 40 X 40 X 5 X 1039 LG"/>
    <n v="1"/>
    <n v="4"/>
    <m/>
    <n v="5.7144999999999992"/>
    <n v="22.857999999999997"/>
    <x v="9"/>
    <s v="ASTM A500 GR B"/>
    <x v="4"/>
    <m/>
    <x v="22"/>
    <m/>
    <n v="1039"/>
    <n v="25.143799999999999"/>
  </r>
  <r>
    <x v="7"/>
    <n v="7"/>
    <m/>
    <m/>
    <m/>
    <s v="AY30107"/>
    <s v="A"/>
    <s v="WELDMENT,SKATE BODY, REVERSE VEE, PC4100"/>
    <n v="1"/>
    <n v="1"/>
    <m/>
    <n v="80"/>
    <n v="80"/>
    <x v="1"/>
    <m/>
    <x v="0"/>
    <m/>
    <x v="0"/>
    <m/>
    <m/>
    <n v="137.44273372499998"/>
  </r>
  <r>
    <x v="7"/>
    <m/>
    <n v="7.1"/>
    <m/>
    <m/>
    <s v="DT34574"/>
    <m/>
    <s v="SKATE MID RIB, PC4100"/>
    <n v="1"/>
    <n v="1"/>
    <m/>
    <n v="36.5"/>
    <n v="36.5"/>
    <x v="3"/>
    <s v="A36/S275JR/SA 516 GR.70"/>
    <x v="2"/>
    <m/>
    <x v="5"/>
    <n v="279"/>
    <n v="1275"/>
    <n v="76.792134375000003"/>
  </r>
  <r>
    <x v="7"/>
    <m/>
    <n v="7.2"/>
    <m/>
    <m/>
    <s v="DT34573"/>
    <m/>
    <s v="PIPE PUSHER, PC4100"/>
    <n v="1"/>
    <n v="1"/>
    <m/>
    <n v="14"/>
    <n v="14"/>
    <x v="3"/>
    <s v="A36/S275JR/SA 516 GR.70"/>
    <x v="2"/>
    <m/>
    <x v="5"/>
    <n v="203"/>
    <n v="406"/>
    <n v="17.791985749999998"/>
  </r>
  <r>
    <x v="7"/>
    <m/>
    <n v="7.3"/>
    <m/>
    <m/>
    <s v="DT34572"/>
    <m/>
    <s v="SKID PAD MOUNT, PC4100"/>
    <n v="2"/>
    <n v="2"/>
    <m/>
    <n v="14"/>
    <n v="28"/>
    <x v="3"/>
    <s v="A36/S275JR/SA 516 GR.70"/>
    <x v="2"/>
    <m/>
    <x v="3"/>
    <n v="152"/>
    <n v="738"/>
    <n v="38.745590400000005"/>
  </r>
  <r>
    <x v="7"/>
    <m/>
    <n v="7.4"/>
    <m/>
    <m/>
    <s v="DT34571"/>
    <m/>
    <s v="PLATE, SKATE REVERSED VEE, PC4100"/>
    <n v="2"/>
    <n v="2"/>
    <m/>
    <n v="1"/>
    <n v="2"/>
    <x v="3"/>
    <s v="A572 Gr. 50"/>
    <x v="1"/>
    <m/>
    <x v="1"/>
    <n v="104"/>
    <n v="229"/>
    <n v="4.1130231999999998"/>
  </r>
  <r>
    <x v="8"/>
    <n v="8"/>
    <m/>
    <m/>
    <m/>
    <s v="AY30133"/>
    <s v="A"/>
    <s v="WELDMENT,RAMPRAIL, PC4100"/>
    <n v="1"/>
    <n v="1"/>
    <m/>
    <n v="113.7"/>
    <n v="113.7"/>
    <x v="1"/>
    <m/>
    <x v="0"/>
    <m/>
    <x v="0"/>
    <m/>
    <m/>
    <n v="137.03074000000001"/>
  </r>
  <r>
    <x v="8"/>
    <m/>
    <n v="8.1"/>
    <m/>
    <m/>
    <m/>
    <m/>
    <s v="HSS 50x50x5x12187 LG"/>
    <n v="1"/>
    <n v="1"/>
    <m/>
    <n v="86.162089999999992"/>
    <n v="86.162089999999992"/>
    <x v="9"/>
    <s v="ASTM A516 Gr. 70/S275JR"/>
    <x v="4"/>
    <m/>
    <x v="18"/>
    <m/>
    <n v="12187"/>
    <n v="94.778299000000004"/>
  </r>
  <r>
    <x v="8"/>
    <m/>
    <n v="8.1999999999999993"/>
    <m/>
    <m/>
    <m/>
    <m/>
    <s v="HSS 50x50x5x219 LG"/>
    <n v="2"/>
    <n v="2"/>
    <m/>
    <n v="1.5483300000000002"/>
    <n v="3.0966600000000004"/>
    <x v="9"/>
    <s v="ASTM A516 Gr. 70/S275JR"/>
    <x v="4"/>
    <m/>
    <x v="18"/>
    <m/>
    <n v="219"/>
    <n v="3.4063260000000009"/>
  </r>
  <r>
    <x v="8"/>
    <m/>
    <n v="8.3000000000000007"/>
    <m/>
    <m/>
    <m/>
    <m/>
    <s v="HSS 50x50x5x87 LG"/>
    <n v="2"/>
    <n v="2"/>
    <m/>
    <n v="0.61509000000000003"/>
    <n v="1.2301800000000001"/>
    <x v="9"/>
    <s v="ASTM A516 Gr. 70/S275JR"/>
    <x v="4"/>
    <m/>
    <x v="18"/>
    <m/>
    <n v="87"/>
    <n v="1.3531980000000001"/>
  </r>
  <r>
    <x v="8"/>
    <m/>
    <n v="8.4"/>
    <m/>
    <m/>
    <m/>
    <m/>
    <s v="HSS 50x50x5x191 LG"/>
    <n v="17"/>
    <n v="17"/>
    <m/>
    <n v="1.3503700000000001"/>
    <n v="22.956290000000003"/>
    <x v="9"/>
    <s v="ASTM A516 Gr. 70/S275JR"/>
    <x v="4"/>
    <m/>
    <x v="18"/>
    <m/>
    <n v="191"/>
    <n v="25.251919000000004"/>
  </r>
  <r>
    <x v="8"/>
    <m/>
    <n v="8.5"/>
    <m/>
    <m/>
    <m/>
    <m/>
    <s v="HSS 50x50x5x397 LG"/>
    <n v="2"/>
    <n v="2"/>
    <m/>
    <n v="2.8067899999999999"/>
    <n v="5.6135799999999998"/>
    <x v="9"/>
    <s v="ASTM A516 Gr. 70/S275JR"/>
    <x v="4"/>
    <m/>
    <x v="18"/>
    <m/>
    <n v="397"/>
    <n v="6.174938"/>
  </r>
  <r>
    <x v="8"/>
    <m/>
    <n v="8.6"/>
    <m/>
    <m/>
    <m/>
    <m/>
    <s v="HSS 50x50x5x410 LG"/>
    <n v="1"/>
    <n v="1"/>
    <m/>
    <n v="2.8987000000000003"/>
    <n v="2.8987000000000003"/>
    <x v="9"/>
    <s v="ASTM A516 Gr. 70/S275JR"/>
    <x v="4"/>
    <m/>
    <x v="18"/>
    <m/>
    <n v="410"/>
    <n v="3.1885700000000003"/>
  </r>
  <r>
    <x v="8"/>
    <m/>
    <n v="8.6999999999999993"/>
    <m/>
    <m/>
    <m/>
    <m/>
    <s v="HSS 50x50x5x51 LG"/>
    <n v="1"/>
    <n v="1"/>
    <m/>
    <n v="0.36057"/>
    <n v="0.36057"/>
    <x v="9"/>
    <s v="ASTM A516 Gr. 70/S275JR"/>
    <x v="4"/>
    <m/>
    <x v="18"/>
    <m/>
    <n v="51"/>
    <n v="0.39662700000000001"/>
  </r>
  <r>
    <x v="8"/>
    <m/>
    <n v="8.8000000000000007"/>
    <m/>
    <m/>
    <m/>
    <m/>
    <s v="HSS 50x50x5x319 LG"/>
    <n v="1"/>
    <n v="1"/>
    <m/>
    <n v="2.2553299999999998"/>
    <n v="2.2553299999999998"/>
    <x v="9"/>
    <s v="ASTM A516 Gr. 70/S275JR"/>
    <x v="4"/>
    <m/>
    <x v="18"/>
    <m/>
    <n v="319"/>
    <n v="2.4808629999999998"/>
  </r>
  <r>
    <x v="9"/>
    <n v="9"/>
    <m/>
    <m/>
    <m/>
    <s v="AY30134"/>
    <s v="A"/>
    <s v="WELDMENT, RAMP, SHEAVE SUB B, PC4100"/>
    <n v="1"/>
    <n v="1"/>
    <m/>
    <n v="363"/>
    <n v="363"/>
    <x v="1"/>
    <m/>
    <x v="0"/>
    <m/>
    <x v="0"/>
    <m/>
    <m/>
    <n v="676.85076646000027"/>
  </r>
  <r>
    <x v="9"/>
    <m/>
    <n v="9.1"/>
    <m/>
    <m/>
    <s v="DT27245"/>
    <m/>
    <s v="WELDMENT, RAMP SHEAVE SUB, PC4100"/>
    <n v="1"/>
    <n v="1"/>
    <m/>
    <n v="177"/>
    <n v="177"/>
    <x v="2"/>
    <s v="-"/>
    <x v="0"/>
    <m/>
    <x v="0"/>
    <m/>
    <m/>
    <m/>
  </r>
  <r>
    <x v="9"/>
    <m/>
    <m/>
    <s v="9.1.1"/>
    <m/>
    <m/>
    <m/>
    <s v="PLATE, 15/32 X 8 X 14 [12 X 203 X 356]"/>
    <n v="1"/>
    <n v="1"/>
    <m/>
    <n v="6.1268810399999998"/>
    <n v="6.1268810399999998"/>
    <x v="3"/>
    <s v="G40.21-44W / ASTM A572 G50"/>
    <x v="1"/>
    <m/>
    <x v="2"/>
    <n v="203"/>
    <n v="356"/>
    <n v="7.4884101600000008"/>
  </r>
  <r>
    <x v="9"/>
    <m/>
    <m/>
    <s v="9.1.2"/>
    <m/>
    <m/>
    <m/>
    <s v="PLATE, 3/4 X 24 1/32 X 46 3/8 [20 X 610 X 1178]"/>
    <n v="2"/>
    <n v="2"/>
    <m/>
    <n v="54.152188799999998"/>
    <n v="108.3043776"/>
    <x v="3"/>
    <s v="G40.21-44W / ASTM A572 G50"/>
    <x v="1"/>
    <m/>
    <x v="3"/>
    <n v="610"/>
    <n v="1178"/>
    <n v="248.19753200000002"/>
  </r>
  <r>
    <x v="9"/>
    <m/>
    <m/>
    <s v="9.1.3"/>
    <m/>
    <m/>
    <m/>
    <s v="PLATE, 3/4 X 24 1/32 X 51 7/8 [20 X 610 X 1318]"/>
    <n v="1"/>
    <n v="1"/>
    <m/>
    <n v="60.587932799999997"/>
    <n v="60.587932799999997"/>
    <x v="3"/>
    <s v="G40.21-44W / ASTM A572 G50"/>
    <x v="1"/>
    <m/>
    <x v="3"/>
    <n v="610"/>
    <n v="1318"/>
    <n v="138.84734600000002"/>
  </r>
  <r>
    <x v="9"/>
    <m/>
    <m/>
    <s v="9.1.4"/>
    <m/>
    <m/>
    <m/>
    <s v="PLATE, 1/2 X 2 X 12 [12 X 51 X 305]"/>
    <n v="3"/>
    <n v="3"/>
    <m/>
    <n v="1.3187528999999998"/>
    <n v="3.9562586999999994"/>
    <x v="3"/>
    <s v="G40.21-44W / ASTM A572 G50"/>
    <x v="1"/>
    <m/>
    <x v="2"/>
    <n v="51"/>
    <n v="305"/>
    <n v="4.8354272999999992"/>
  </r>
  <r>
    <x v="9"/>
    <m/>
    <m/>
    <s v="9.1.5"/>
    <m/>
    <m/>
    <m/>
    <s v="PLATE, 1/2 X 4 X 4 [13 X 102 X 102]"/>
    <n v="2"/>
    <n v="2"/>
    <m/>
    <n v="0.88205111999999997"/>
    <n v="1.7641022399999999"/>
    <x v="3"/>
    <s v="G40.21-44W / ASTM A572 G50"/>
    <x v="1"/>
    <m/>
    <x v="2"/>
    <n v="102"/>
    <n v="102"/>
    <n v="2.1561249600000001"/>
  </r>
  <r>
    <x v="9"/>
    <m/>
    <n v="9.1999999999999993"/>
    <m/>
    <m/>
    <s v="DT34621"/>
    <m/>
    <s v="PLATE, RAMP TOP CAP GUSSET, PC41000"/>
    <n v="2"/>
    <n v="2"/>
    <m/>
    <n v="15.2"/>
    <n v="30.4"/>
    <x v="3"/>
    <s v="A572 Gr. 50"/>
    <x v="1"/>
    <m/>
    <x v="2"/>
    <n v="467"/>
    <n v="513"/>
    <n v="49.648694040000002"/>
  </r>
  <r>
    <x v="9"/>
    <m/>
    <n v="9.3000000000000007"/>
    <m/>
    <m/>
    <s v="DT34622"/>
    <m/>
    <s v="PLATE, RAMP ROLL END CAP, PC4100"/>
    <n v="2"/>
    <n v="2"/>
    <m/>
    <n v="4.4000000000000004"/>
    <n v="8.8000000000000007"/>
    <x v="3"/>
    <s v="A572 Gr. 50"/>
    <x v="1"/>
    <m/>
    <x v="2"/>
    <n v="228"/>
    <n v="279"/>
    <n v="13.18295088"/>
  </r>
  <r>
    <x v="9"/>
    <m/>
    <n v="9.4"/>
    <m/>
    <m/>
    <s v="DT34623"/>
    <m/>
    <s v="PLATE, RAMP TOP CAP, PC4100"/>
    <n v="2"/>
    <n v="2"/>
    <m/>
    <n v="19"/>
    <n v="38"/>
    <x v="3"/>
    <s v="A572 Gr. 50"/>
    <x v="1"/>
    <m/>
    <x v="2"/>
    <n v="457"/>
    <n v="694"/>
    <n v="65.727823920000006"/>
  </r>
  <r>
    <x v="9"/>
    <m/>
    <n v="9.5"/>
    <m/>
    <m/>
    <s v="DT34624"/>
    <m/>
    <s v="PLATE, TOP ROLLER BEARING SUPPORT, PC4100"/>
    <n v="2"/>
    <n v="2"/>
    <m/>
    <n v="21"/>
    <n v="42"/>
    <x v="3"/>
    <s v="A36/S275JR/SA 516 GR.70"/>
    <x v="2"/>
    <m/>
    <x v="3"/>
    <n v="381"/>
    <n v="485"/>
    <n v="63.824739000000001"/>
  </r>
  <r>
    <x v="9"/>
    <m/>
    <n v="9.6"/>
    <m/>
    <m/>
    <s v="DT34625"/>
    <m/>
    <s v="PLATE, RAMP ROLLER GUSSET, PC4100"/>
    <n v="2"/>
    <n v="2"/>
    <m/>
    <n v="2.2999999999999998"/>
    <n v="4.5999999999999996"/>
    <x v="3"/>
    <s v="A36/S275JR/SA 516 GR.70"/>
    <x v="2"/>
    <m/>
    <x v="5"/>
    <n v="108"/>
    <n v="167"/>
    <n v="7.7870429999999997"/>
  </r>
  <r>
    <x v="9"/>
    <m/>
    <n v="9.7000000000000099"/>
    <m/>
    <m/>
    <s v="DT34626"/>
    <m/>
    <s v="PLATE, RAMP TOP ROLLER GUSSET, PC4100"/>
    <n v="2"/>
    <n v="2"/>
    <m/>
    <n v="1.7"/>
    <n v="3.4"/>
    <x v="3"/>
    <s v="A572 Gr. 50"/>
    <x v="1"/>
    <m/>
    <x v="2"/>
    <n v="176"/>
    <n v="176"/>
    <n v="6.4194662400000002"/>
  </r>
  <r>
    <x v="9"/>
    <m/>
    <n v="9.8000000000000096"/>
    <m/>
    <m/>
    <s v="-"/>
    <m/>
    <s v="PIPE, 6&quot; SCH80 X 54&quot; LONG"/>
    <n v="1"/>
    <n v="1"/>
    <m/>
    <n v="58.4"/>
    <n v="58.4"/>
    <x v="4"/>
    <s v="A.S.T.M. A106 GR. B"/>
    <x v="3"/>
    <m/>
    <x v="14"/>
    <m/>
    <n v="1371.6"/>
    <n v="64.240000000000009"/>
  </r>
  <r>
    <x v="9"/>
    <m/>
    <n v="9.9000000000000092"/>
    <m/>
    <m/>
    <s v="-"/>
    <m/>
    <s v="PIPE, 2&quot; SCH.40, 2.0 LONG"/>
    <n v="2"/>
    <n v="2"/>
    <m/>
    <n v="0.13817600000000002"/>
    <n v="0.27635200000000004"/>
    <x v="4"/>
    <s v="G40.21-44W / A572 G50"/>
    <x v="3"/>
    <m/>
    <x v="23"/>
    <m/>
    <n v="50.8"/>
    <n v="0.30398720000000007"/>
  </r>
  <r>
    <x v="9"/>
    <m/>
    <n v="9.1"/>
    <m/>
    <m/>
    <s v="-"/>
    <m/>
    <s v="PLATE, 13 x 32 x 127 [1/2 x 1 1/4 x 5]"/>
    <n v="2"/>
    <n v="2"/>
    <m/>
    <n v="0.38282879999999997"/>
    <n v="0.76565759999999994"/>
    <x v="3"/>
    <s v="ASTM A572-50 / Q345"/>
    <x v="1"/>
    <m/>
    <x v="2"/>
    <n v="32"/>
    <n v="127"/>
    <n v="0.84222335999999998"/>
  </r>
  <r>
    <x v="9"/>
    <m/>
    <n v="9.11"/>
    <m/>
    <m/>
    <s v="-"/>
    <m/>
    <s v="PLATE, 13 x 101 x 160 [1/2 x 4 x 6 5/16]"/>
    <n v="2"/>
    <n v="2"/>
    <m/>
    <n v="1.5222719999999998"/>
    <n v="3.0445439999999997"/>
    <x v="3"/>
    <s v="ASTM A572-50 / Q345"/>
    <x v="1"/>
    <m/>
    <x v="2"/>
    <n v="101"/>
    <n v="160"/>
    <n v="3.3489984000000002"/>
  </r>
  <r>
    <x v="10"/>
    <n v="10"/>
    <m/>
    <m/>
    <m/>
    <s v="AY30144"/>
    <s v="A"/>
    <s v="WELDMENT, 30 FT LIFT ARM, PC4100"/>
    <n v="1"/>
    <n v="1"/>
    <m/>
    <n v="1095"/>
    <n v="1095"/>
    <x v="1"/>
    <m/>
    <x v="0"/>
    <m/>
    <x v="0"/>
    <m/>
    <m/>
    <n v="1354.6605335999998"/>
  </r>
  <r>
    <x v="10"/>
    <m/>
    <n v="10.1"/>
    <m/>
    <m/>
    <s v="DT34647"/>
    <m/>
    <s v="PLATE, LIFT ARM RIB GUSSET, PC4100"/>
    <n v="14"/>
    <n v="14"/>
    <m/>
    <n v="5"/>
    <n v="70"/>
    <x v="3"/>
    <s v="A572 Gr. 50"/>
    <x v="1"/>
    <m/>
    <x v="1"/>
    <n v="305"/>
    <n v="318"/>
    <n v="117.251211"/>
  </r>
  <r>
    <x v="10"/>
    <m/>
    <n v="10.199999999999999"/>
    <m/>
    <m/>
    <s v="DT34648"/>
    <m/>
    <s v="PLATE, LIFT ARM LINK, PC4100"/>
    <n v="8"/>
    <n v="8"/>
    <m/>
    <n v="13"/>
    <n v="104"/>
    <x v="3"/>
    <s v="A36/S275JR/SA 516 GR.70"/>
    <x v="2"/>
    <m/>
    <x v="5"/>
    <n v="149"/>
    <n v="600"/>
    <n v="154.3938"/>
  </r>
  <r>
    <x v="10"/>
    <m/>
    <n v="10.3"/>
    <m/>
    <m/>
    <s v="DT34657"/>
    <m/>
    <s v="SET COLLAR, 2 IN, PC4100 _x000a_ROUND BAR, 76.20OD, 22.23 LG"/>
    <n v="6"/>
    <n v="6"/>
    <m/>
    <n v="0.4"/>
    <n v="2.4000000000000004"/>
    <x v="11"/>
    <s v="BROWNING SCS-2"/>
    <x v="5"/>
    <m/>
    <x v="24"/>
    <m/>
    <n v="22"/>
    <n v="2.6400000000000006"/>
  </r>
  <r>
    <x v="10"/>
    <m/>
    <n v="10.4"/>
    <m/>
    <m/>
    <s v="DT34649"/>
    <m/>
    <s v="HSS, LIFT ARM FRAME STIFFENER, PC4100"/>
    <n v="2"/>
    <n v="2"/>
    <m/>
    <n v="56.5"/>
    <n v="113"/>
    <x v="2"/>
    <s v="-"/>
    <x v="0"/>
    <m/>
    <x v="0"/>
    <m/>
    <m/>
    <m/>
  </r>
  <r>
    <x v="10"/>
    <m/>
    <m/>
    <s v="10.4.1"/>
    <m/>
    <m/>
    <m/>
    <s v="HSS,150 X 80 X 10 X 1851 LG"/>
    <n v="1"/>
    <n v="2"/>
    <m/>
    <n v="55.632575000000003"/>
    <n v="111.26515000000001"/>
    <x v="10"/>
    <s v="EN 10025-2 S355J2"/>
    <x v="4"/>
    <m/>
    <x v="25"/>
    <m/>
    <n v="1851"/>
    <n v="122.39166500000002"/>
  </r>
  <r>
    <x v="10"/>
    <m/>
    <m/>
    <s v="10.4.2"/>
    <m/>
    <m/>
    <m/>
    <s v="PLATE, 10 THK, 85 X130"/>
    <n v="1"/>
    <n v="2"/>
    <m/>
    <n v="0.86742499999999989"/>
    <n v="1.7348499999999998"/>
    <x v="3"/>
    <s v="EN 10025-2 S355J2"/>
    <x v="1"/>
    <m/>
    <x v="1"/>
    <n v="85"/>
    <n v="130"/>
    <n v="1.9083349999999999"/>
  </r>
  <r>
    <x v="10"/>
    <m/>
    <n v="10.5"/>
    <m/>
    <m/>
    <s v="—"/>
    <m/>
    <s v="PLATE, 6 THK, 88.9 X 140 , PC4100"/>
    <n v="2"/>
    <n v="2"/>
    <m/>
    <n v="0.586866"/>
    <n v="1.173732"/>
    <x v="3"/>
    <s v="ASTM A516 Gr 70"/>
    <x v="2"/>
    <m/>
    <x v="10"/>
    <n v="89"/>
    <n v="140"/>
    <n v="1.2911052000000001"/>
  </r>
  <r>
    <x v="10"/>
    <m/>
    <n v="10.6"/>
    <m/>
    <m/>
    <s v="DT34650"/>
    <m/>
    <s v="PLATE, LIFT ARM CAP PLATE, PC4100"/>
    <n v="2"/>
    <n v="2"/>
    <m/>
    <n v="2"/>
    <n v="4"/>
    <x v="3"/>
    <s v="A572 Gr. 50"/>
    <x v="1"/>
    <m/>
    <x v="2"/>
    <n v="140"/>
    <n v="165"/>
    <n v="4.7872440000000003"/>
  </r>
  <r>
    <x v="10"/>
    <m/>
    <n v="10.7"/>
    <m/>
    <m/>
    <s v="DT34651"/>
    <m/>
    <s v="PLATE, LIFT ARM, PIPE GUIDE, PC4100"/>
    <n v="7"/>
    <n v="7"/>
    <m/>
    <n v="2"/>
    <n v="14"/>
    <x v="3"/>
    <s v="A572 Gr. 50"/>
    <x v="1"/>
    <m/>
    <x v="1"/>
    <n v="102"/>
    <n v="318"/>
    <n v="19.605940199999999"/>
  </r>
  <r>
    <x v="10"/>
    <m/>
    <n v="10.8"/>
    <m/>
    <m/>
    <s v="—"/>
    <m/>
    <s v="HSS 150 X 100 X 12 X 8682 LG, PC4100"/>
    <n v="2"/>
    <n v="2"/>
    <m/>
    <n v="369.67955999999998"/>
    <n v="739.35911999999996"/>
    <x v="10"/>
    <s v="EN 10025-2 S355J2"/>
    <x v="4"/>
    <m/>
    <x v="26"/>
    <m/>
    <n v="8682"/>
    <n v="813.29503199999999"/>
  </r>
  <r>
    <x v="10"/>
    <m/>
    <n v="10.9"/>
    <m/>
    <m/>
    <s v="DT34652"/>
    <m/>
    <s v="LIFT ARM COLLAR STOP PLATE, PC4100"/>
    <n v="2"/>
    <n v="2"/>
    <m/>
    <n v="0.4536"/>
    <n v="0.90720000000000001"/>
    <x v="3"/>
    <s v="ASTM A572 Gr. 50 / A516 Gr.70 / S355JR"/>
    <x v="1"/>
    <m/>
    <x v="3"/>
    <n v="101"/>
    <n v="178"/>
    <n v="6.2096011999999998"/>
  </r>
  <r>
    <x v="10"/>
    <m/>
    <n v="10.1"/>
    <m/>
    <m/>
    <s v="—"/>
    <m/>
    <s v="PIPE, 1&quot; SCH 160 x 3353 LG, PC4100"/>
    <n v="2"/>
    <n v="2"/>
    <m/>
    <n v="14.21672"/>
    <n v="28.433440000000001"/>
    <x v="4"/>
    <s v="EN 10216-2 P265GH"/>
    <x v="3"/>
    <m/>
    <x v="6"/>
    <m/>
    <n v="3353"/>
    <n v="31.276784000000003"/>
  </r>
  <r>
    <x v="10"/>
    <m/>
    <n v="10.11"/>
    <m/>
    <m/>
    <s v="—"/>
    <m/>
    <s v="PIPE, 1&quot; SCH 160 x 4572 LG, PC4100"/>
    <n v="2"/>
    <n v="2"/>
    <m/>
    <n v="19.385280000000002"/>
    <n v="38.770560000000003"/>
    <x v="4"/>
    <s v="EN 10216-2 P265GH"/>
    <x v="3"/>
    <m/>
    <x v="6"/>
    <m/>
    <n v="4572"/>
    <n v="42.647616000000006"/>
  </r>
  <r>
    <x v="10"/>
    <m/>
    <n v="10.119999999999999"/>
    <m/>
    <m/>
    <s v="H13386"/>
    <m/>
    <s v="COUPLING, 1, 6000, SKT WELD"/>
    <n v="3"/>
    <n v="3"/>
    <m/>
    <m/>
    <n v="0"/>
    <x v="8"/>
    <s v="—"/>
    <x v="0"/>
    <m/>
    <x v="0"/>
    <m/>
    <m/>
    <m/>
  </r>
  <r>
    <x v="10"/>
    <m/>
    <n v="10.130000000000001"/>
    <m/>
    <m/>
    <s v="—"/>
    <m/>
    <s v="PIPE, 1&quot; SCH 160 x 3048 LG, PC4100"/>
    <n v="1"/>
    <n v="1"/>
    <m/>
    <n v="12.92352"/>
    <n v="12.92352"/>
    <x v="4"/>
    <s v="EN 10216-2 P265GH"/>
    <x v="3"/>
    <m/>
    <x v="6"/>
    <m/>
    <n v="3048"/>
    <n v="14.215872000000001"/>
  </r>
  <r>
    <x v="10"/>
    <m/>
    <n v="10.14"/>
    <m/>
    <m/>
    <s v="—"/>
    <m/>
    <s v="PIPE, 1&quot; SCH 160 x 4877 LG"/>
    <n v="1"/>
    <n v="1"/>
    <m/>
    <n v="20.67848"/>
    <n v="20.67848"/>
    <x v="4"/>
    <s v="EN 10216-2 P265GH"/>
    <x v="3"/>
    <m/>
    <x v="6"/>
    <m/>
    <n v="4877"/>
    <n v="22.746328000000002"/>
  </r>
  <r>
    <x v="11"/>
    <n v="11"/>
    <m/>
    <m/>
    <m/>
    <s v="AY30150"/>
    <s v="A"/>
    <s v="WELDMENT, SPEAR FRAME, PC4100"/>
    <n v="1"/>
    <n v="1"/>
    <m/>
    <n v="69"/>
    <n v="69"/>
    <x v="1"/>
    <m/>
    <x v="0"/>
    <m/>
    <x v="0"/>
    <m/>
    <m/>
    <n v="83.987346079999995"/>
  </r>
  <r>
    <x v="11"/>
    <m/>
    <n v="11.1"/>
    <m/>
    <m/>
    <s v="DT34668"/>
    <m/>
    <s v="HSS, SPEAR TUBE ENTRY, PC4100 _x000a_HSS, 120 X 80 X 5 X 914 LG"/>
    <n v="1"/>
    <n v="1"/>
    <m/>
    <n v="13"/>
    <n v="13"/>
    <x v="10"/>
    <s v="ASTM A516 Gr. 70 / S275JR"/>
    <x v="4"/>
    <m/>
    <x v="27"/>
    <m/>
    <n v="914"/>
    <n v="14.3"/>
  </r>
  <r>
    <x v="11"/>
    <m/>
    <n v="11.2"/>
    <m/>
    <m/>
    <s v="DT34667"/>
    <m/>
    <s v="HSS, INTERMEDIATE SPEAR TUBE, PC4100"/>
    <n v="1"/>
    <n v="1"/>
    <m/>
    <n v="24"/>
    <n v="24"/>
    <x v="10"/>
    <s v="ASTM A516 Gr. 70 / S275JR"/>
    <x v="4"/>
    <m/>
    <x v="27"/>
    <m/>
    <n v="1651"/>
    <n v="26.400000000000002"/>
  </r>
  <r>
    <x v="11"/>
    <m/>
    <n v="11.3"/>
    <m/>
    <m/>
    <s v="DT34666"/>
    <m/>
    <s v="HSS, SPEAR TUBE EXIT, PC4100"/>
    <n v="1"/>
    <n v="1"/>
    <m/>
    <n v="14"/>
    <n v="14"/>
    <x v="10"/>
    <s v="ASTM A516 Gr. 70 / S275JR"/>
    <x v="4"/>
    <m/>
    <x v="27"/>
    <m/>
    <n v="1000"/>
    <n v="15.400000000000002"/>
  </r>
  <r>
    <x v="11"/>
    <m/>
    <n v="11.4"/>
    <m/>
    <m/>
    <s v="DT34665"/>
    <m/>
    <s v="ROUNDBAR, LIFT ARM ENTRY GUIDE, PC4100"/>
    <n v="2"/>
    <n v="2"/>
    <m/>
    <n v="0.2"/>
    <n v="0.4"/>
    <x v="11"/>
    <s v="A36 / S275JR"/>
    <x v="2"/>
    <m/>
    <x v="20"/>
    <m/>
    <n v="214"/>
    <n v="2.5093640000000006"/>
  </r>
  <r>
    <x v="11"/>
    <m/>
    <n v="11.5"/>
    <m/>
    <m/>
    <s v="—"/>
    <m/>
    <s v="HSS 120 X 80 X 5 X 125 LG"/>
    <n v="2"/>
    <n v="2"/>
    <m/>
    <n v="1.865"/>
    <n v="3.73"/>
    <x v="10"/>
    <s v="ASTM A516 Gr. 70 / S275JR"/>
    <x v="4"/>
    <m/>
    <x v="27"/>
    <m/>
    <n v="125"/>
    <n v="4.1030000000000006"/>
  </r>
  <r>
    <x v="11"/>
    <m/>
    <n v="11.6"/>
    <m/>
    <m/>
    <s v="DT34664"/>
    <m/>
    <s v="PLATE, SPEAR PIVOT EAR, PC4100"/>
    <n v="2"/>
    <n v="2"/>
    <m/>
    <n v="3"/>
    <n v="6"/>
    <x v="3"/>
    <s v="A36 / S275JR / SA 516 GR.70"/>
    <x v="2"/>
    <m/>
    <x v="3"/>
    <n v="286"/>
    <n v="130"/>
    <n v="12.841972"/>
  </r>
  <r>
    <x v="11"/>
    <m/>
    <n v="11.7"/>
    <m/>
    <m/>
    <s v="DT34663"/>
    <m/>
    <s v="SPEAR WEAR PAD MOUNT, PC4100"/>
    <n v="1"/>
    <n v="1"/>
    <m/>
    <n v="4.4000000000000004"/>
    <n v="4.4000000000000004"/>
    <x v="3"/>
    <s v="A572 Gr. 50"/>
    <x v="1"/>
    <m/>
    <x v="2"/>
    <n v="102"/>
    <n v="457"/>
    <n v="4.8301426799999998"/>
  </r>
  <r>
    <x v="11"/>
    <m/>
    <n v="11.8"/>
    <m/>
    <m/>
    <s v="DT34662"/>
    <m/>
    <s v="GORETRACK MOUNT PLATE, PC4100"/>
    <n v="1"/>
    <n v="1"/>
    <m/>
    <n v="3"/>
    <m/>
    <x v="3"/>
    <s v="A572 Gr. 50"/>
    <x v="1"/>
    <m/>
    <x v="2"/>
    <n v="114"/>
    <n v="305"/>
    <n v="3.6028673999999996"/>
  </r>
  <r>
    <x v="12"/>
    <n v="12"/>
    <m/>
    <m/>
    <m/>
    <s v="AY30160"/>
    <s v="A"/>
    <s v="WELDMENT,42D CARRIER REAR, PC4100"/>
    <n v="1"/>
    <n v="1"/>
    <m/>
    <n v="777"/>
    <n v="777"/>
    <x v="1"/>
    <m/>
    <x v="0"/>
    <m/>
    <x v="0"/>
    <m/>
    <m/>
    <n v="942.30276602000026"/>
  </r>
  <r>
    <x v="12"/>
    <m/>
    <n v="12.1"/>
    <m/>
    <m/>
    <s v="DT34528"/>
    <m/>
    <s v="PLATE, CARRIER MASTER RIB, PC4100"/>
    <n v="3"/>
    <n v="3"/>
    <m/>
    <n v="10.6"/>
    <n v="31.799999999999997"/>
    <x v="3"/>
    <s v="A572 Gr. 50"/>
    <x v="1"/>
    <m/>
    <x v="1"/>
    <n v="372"/>
    <n v="514"/>
    <n v="49.532432400000005"/>
  </r>
  <r>
    <x v="12"/>
    <m/>
    <n v="12.2"/>
    <m/>
    <m/>
    <s v="DT34752"/>
    <m/>
    <s v="W-BEAM, REAR CARRIER BEAM - DS, PC4100 _x000a_W-BEAM, 190 X 450 X 3600"/>
    <n v="1"/>
    <n v="1"/>
    <m/>
    <n v="241"/>
    <n v="241"/>
    <x v="6"/>
    <s v="ASTM A572 Gr. 50 / S355JR"/>
    <x v="1"/>
    <m/>
    <x v="28"/>
    <m/>
    <n v="3600"/>
    <n v="265.95360000000005"/>
  </r>
  <r>
    <x v="12"/>
    <m/>
    <n v="12.3"/>
    <m/>
    <m/>
    <s v="DT34753"/>
    <m/>
    <s v="W-BEAM, REAR CARRIER BEAM - DS, PC4100 _x000a_W-BEAM, 190 X 450 X 3600"/>
    <n v="1"/>
    <n v="1"/>
    <m/>
    <n v="241"/>
    <n v="241"/>
    <x v="6"/>
    <s v="ASTM A572 Gr. 50 / S355JR"/>
    <x v="1"/>
    <m/>
    <x v="28"/>
    <m/>
    <n v="3600"/>
    <n v="265.95360000000005"/>
  </r>
  <r>
    <x v="12"/>
    <m/>
    <n v="12.4"/>
    <m/>
    <m/>
    <s v="DT34754"/>
    <m/>
    <s v="PLATE, REAR ROLLER EAR, PC4100"/>
    <n v="4"/>
    <n v="4"/>
    <m/>
    <n v="10.4"/>
    <n v="41.6"/>
    <x v="3"/>
    <s v="A572 Gr. 50"/>
    <x v="1"/>
    <m/>
    <x v="2"/>
    <n v="317"/>
    <n v="613"/>
    <n v="80.542168079999996"/>
  </r>
  <r>
    <x v="12"/>
    <m/>
    <n v="12.5"/>
    <m/>
    <m/>
    <s v="DT34755"/>
    <m/>
    <s v="PLATE, TENSIONER ASSEMBLY MOUNT, PC4100"/>
    <n v="1"/>
    <n v="1"/>
    <m/>
    <n v="47"/>
    <n v="47"/>
    <x v="3"/>
    <s v="A36 / S275JR / SA 516 GR.70"/>
    <x v="2"/>
    <m/>
    <x v="3"/>
    <n v="445"/>
    <n v="714"/>
    <n v="54.871971000000002"/>
  </r>
  <r>
    <x v="12"/>
    <m/>
    <n v="12.6"/>
    <m/>
    <m/>
    <s v="DT34756"/>
    <m/>
    <s v="PLATE, REAR SKATE SUPPORT, PC4100"/>
    <n v="2"/>
    <n v="2"/>
    <m/>
    <n v="53"/>
    <n v="106"/>
    <x v="3"/>
    <s v="A572 Gr. 50"/>
    <x v="1"/>
    <m/>
    <x v="2"/>
    <n v="152"/>
    <n v="3702"/>
    <n v="116.61477695999999"/>
  </r>
  <r>
    <x v="12"/>
    <m/>
    <n v="12.7"/>
    <m/>
    <m/>
    <s v="DT34757"/>
    <m/>
    <s v="SET COLLAR, Ø1.75&quot;, PC4100"/>
    <n v="4"/>
    <n v="4"/>
    <m/>
    <n v="0.4"/>
    <n v="1.6"/>
    <x v="11"/>
    <s v="AISI C1045"/>
    <x v="6"/>
    <m/>
    <x v="29"/>
    <m/>
    <n v="23"/>
    <n v="1.7600000000000002"/>
  </r>
  <r>
    <x v="12"/>
    <m/>
    <n v="12.8"/>
    <m/>
    <m/>
    <s v="DT34758"/>
    <m/>
    <s v="HSS, PULLY GUARD, PC4100"/>
    <n v="1"/>
    <n v="1"/>
    <m/>
    <n v="25"/>
    <n v="25"/>
    <x v="10"/>
    <s v="A36 / S275JR"/>
    <x v="4"/>
    <m/>
    <x v="30"/>
    <m/>
    <n v="575"/>
    <n v="38.848150000000004"/>
  </r>
  <r>
    <x v="12"/>
    <m/>
    <n v="12.9"/>
    <m/>
    <m/>
    <s v="DT34759"/>
    <m/>
    <s v="PLATE, BACK AXLE CAP, PC4100"/>
    <n v="2"/>
    <n v="2"/>
    <m/>
    <n v="3"/>
    <n v="6"/>
    <x v="3"/>
    <s v="A572 Gr. 50"/>
    <x v="1"/>
    <m/>
    <x v="1"/>
    <n v="462"/>
    <n v="76"/>
    <n v="6.0638423999999995"/>
  </r>
  <r>
    <x v="12"/>
    <m/>
    <n v="12.1"/>
    <m/>
    <m/>
    <s v="—"/>
    <m/>
    <s v="FLAT BAR, 25 x 50 x 50 LG [1 x 2 x 2]"/>
    <n v="2"/>
    <n v="2"/>
    <m/>
    <n v="0.49062499999999998"/>
    <n v="0.98124999999999996"/>
    <x v="3"/>
    <s v="G40.21-44W"/>
    <x v="1"/>
    <m/>
    <x v="5"/>
    <n v="50"/>
    <n v="50"/>
    <n v="1.079375"/>
  </r>
  <r>
    <x v="12"/>
    <m/>
    <n v="12.11"/>
    <m/>
    <m/>
    <s v="DT34550"/>
    <m/>
    <s v="GUSSET, FLANGE, CARRIER, PC4100"/>
    <n v="4"/>
    <n v="4"/>
    <m/>
    <n v="1.5"/>
    <n v="6"/>
    <x v="3"/>
    <s v="A572 Gr. 50"/>
    <x v="1"/>
    <m/>
    <x v="1"/>
    <n v="76"/>
    <n v="305"/>
    <n v="8.0063720000000007"/>
  </r>
  <r>
    <x v="12"/>
    <m/>
    <n v="12.12"/>
    <m/>
    <m/>
    <s v="DT34760"/>
    <m/>
    <s v="PLATE, REAR ROLLER EAR INNER CAP, PC4100"/>
    <n v="2"/>
    <n v="2"/>
    <m/>
    <n v="0.6"/>
    <n v="1.2"/>
    <x v="3"/>
    <s v="ASTM A572 Gr. 50 / S355JR OR A516 Gr.70"/>
    <x v="1"/>
    <m/>
    <x v="10"/>
    <n v="25"/>
    <n v="465"/>
    <n v="1.2045825000000001"/>
  </r>
  <r>
    <x v="12"/>
    <m/>
    <n v="12.13"/>
    <m/>
    <m/>
    <s v="DT34537"/>
    <m/>
    <s v="PLATE, KICKER GUSSET, PC4100"/>
    <n v="2"/>
    <n v="2"/>
    <m/>
    <n v="1.1000000000000001"/>
    <n v="2.2000000000000002"/>
    <x v="3"/>
    <s v="A572 Gr. 50"/>
    <x v="1"/>
    <m/>
    <x v="1"/>
    <n v="127"/>
    <n v="203"/>
    <n v="4.4523787000000006"/>
  </r>
  <r>
    <x v="12"/>
    <m/>
    <n v="12.14"/>
    <m/>
    <m/>
    <s v="DT34546"/>
    <m/>
    <s v="PLATE, CARRIER FLANGE PLATE, PC4100"/>
    <n v="2"/>
    <n v="2"/>
    <m/>
    <n v="12"/>
    <n v="24"/>
    <x v="3"/>
    <s v="A36 / S275JR / SA 516 GR.70"/>
    <x v="2"/>
    <m/>
    <x v="5"/>
    <n v="191"/>
    <n v="546"/>
    <n v="45.0254805"/>
  </r>
  <r>
    <x v="12"/>
    <m/>
    <n v="12.15"/>
    <m/>
    <m/>
    <s v="DT34547"/>
    <m/>
    <s v="PLATE, CARRIER FLANGE PLATE GUSSET, PC4100"/>
    <n v="2"/>
    <n v="2"/>
    <m/>
    <n v="1"/>
    <n v="2"/>
    <x v="3"/>
    <s v="A572 Gr. 50"/>
    <x v="1"/>
    <m/>
    <x v="2"/>
    <n v="76"/>
    <n v="152"/>
    <n v="2.39403648"/>
  </r>
  <r>
    <x v="13"/>
    <n v="13"/>
    <m/>
    <m/>
    <m/>
    <s v="AY51606"/>
    <m/>
    <s v="KIT, SHIPPING BRKTS, LONG,PC4000"/>
    <n v="1"/>
    <n v="1"/>
    <m/>
    <n v="175.07379729999997"/>
    <n v="175.07379729999997"/>
    <x v="1"/>
    <m/>
    <x v="0"/>
    <m/>
    <x v="0"/>
    <m/>
    <m/>
    <n v="250.32865000000004"/>
  </r>
  <r>
    <x v="13"/>
    <s v="13A"/>
    <m/>
    <m/>
    <m/>
    <n v="131100547"/>
    <s v="D"/>
    <s v="FRONT CARRIER SHIPPING MOUNT"/>
    <n v="1"/>
    <n v="1"/>
    <n v="93.2"/>
    <n v="42.27552"/>
    <n v="42.27552"/>
    <x v="2"/>
    <s v="-"/>
    <x v="0"/>
    <m/>
    <x v="0"/>
    <m/>
    <m/>
    <m/>
  </r>
  <r>
    <x v="13"/>
    <m/>
    <s v="13A.1"/>
    <m/>
    <m/>
    <m/>
    <m/>
    <s v="PLATE, 3/8 x 13 x 36 [10 x 330 x 914]"/>
    <n v="1"/>
    <n v="1"/>
    <m/>
    <n v="23.677169999999997"/>
    <n v="23.677169999999997"/>
    <x v="3"/>
    <s v="G40.21-44W/AG72 G50"/>
    <x v="1"/>
    <m/>
    <x v="1"/>
    <n v="330"/>
    <n v="914"/>
    <n v="26.044886999999999"/>
  </r>
  <r>
    <x v="13"/>
    <m/>
    <s v="13A.2"/>
    <m/>
    <m/>
    <m/>
    <m/>
    <s v="PLATE, 3/8 x 16 1/4 x 13 [10 x 413 x 330]"/>
    <n v="2"/>
    <n v="2"/>
    <m/>
    <n v="10.698765"/>
    <n v="21.39753"/>
    <x v="3"/>
    <s v="G40.21-44W/AG72 G50"/>
    <x v="1"/>
    <m/>
    <x v="1"/>
    <n v="330"/>
    <n v="413"/>
    <n v="23.537283000000002"/>
  </r>
  <r>
    <x v="13"/>
    <s v="13B"/>
    <m/>
    <m/>
    <m/>
    <n v="131100548"/>
    <s v="C"/>
    <s v="BACK CARRIER SHIPPING BRACKET"/>
    <n v="1"/>
    <n v="1"/>
    <m/>
    <n v="36.854949299999994"/>
    <n v="36.854949299999994"/>
    <x v="2"/>
    <s v="-"/>
    <x v="0"/>
    <m/>
    <x v="0"/>
    <m/>
    <m/>
    <m/>
  </r>
  <r>
    <x v="13"/>
    <m/>
    <s v="13B.1"/>
    <m/>
    <m/>
    <n v="141101163"/>
    <m/>
    <s v="BC SHIPPING MOUNT"/>
    <n v="1"/>
    <n v="1"/>
    <m/>
    <n v="25.585332299999997"/>
    <n v="25.585332299999997"/>
    <x v="3"/>
    <s v="G40.21-44W/AG72 G50"/>
    <x v="1"/>
    <m/>
    <x v="2"/>
    <n v="330"/>
    <n v="885"/>
    <n v="30.262221"/>
  </r>
  <r>
    <x v="13"/>
    <m/>
    <s v="13B.2"/>
    <m/>
    <m/>
    <n v="141101162"/>
    <m/>
    <s v="BC SHIPPING SUPPORT"/>
    <n v="2"/>
    <n v="2"/>
    <m/>
    <n v="5.1174149999999994"/>
    <n v="10.234829999999999"/>
    <x v="3"/>
    <s v="G40.21-44W/AG72 G50"/>
    <x v="1"/>
    <m/>
    <x v="2"/>
    <n v="205"/>
    <n v="265"/>
    <n v="11.258312999999999"/>
  </r>
  <r>
    <x v="13"/>
    <m/>
    <s v="13B.3"/>
    <m/>
    <m/>
    <n v="141101164"/>
    <m/>
    <s v="BC SHIPPING GUSSET"/>
    <n v="1"/>
    <n v="1"/>
    <m/>
    <n v="1.0347869999999999"/>
    <n v="1.0347869999999999"/>
    <x v="3"/>
    <s v="G40.21-44W/AG72 G50"/>
    <x v="1"/>
    <m/>
    <x v="2"/>
    <n v="130"/>
    <n v="130"/>
    <n v="1.7511780000000001"/>
  </r>
  <r>
    <x v="13"/>
    <s v="13C"/>
    <m/>
    <m/>
    <m/>
    <n v="131100705"/>
    <m/>
    <s v="BRACKET MASTER SHIPPING "/>
    <n v="1"/>
    <n v="1"/>
    <m/>
    <n v="47.97166399999999"/>
    <n v="47.97166399999999"/>
    <x v="2"/>
    <s v="-"/>
    <x v="0"/>
    <m/>
    <x v="0"/>
    <m/>
    <m/>
    <m/>
  </r>
  <r>
    <x v="13"/>
    <m/>
    <s v="13C.1"/>
    <m/>
    <m/>
    <n v="141100938"/>
    <m/>
    <s v="CATWALK CONNECTION PLATE"/>
    <n v="1"/>
    <n v="1"/>
    <m/>
    <n v="12.559999999999999"/>
    <n v="12.559999999999999"/>
    <x v="3"/>
    <s v="G40.21-44W/AG72 G50"/>
    <x v="1"/>
    <m/>
    <x v="4"/>
    <n v="200"/>
    <n v="200"/>
    <n v="13.815999999999999"/>
  </r>
  <r>
    <x v="13"/>
    <m/>
    <s v="13C.2"/>
    <m/>
    <m/>
    <n v="141101531"/>
    <m/>
    <s v="EAR BRACKET"/>
    <n v="1"/>
    <n v="1"/>
    <m/>
    <n v="35.411663999999995"/>
    <n v="35.411663999999995"/>
    <x v="3"/>
    <s v="G40.21-44W/AG72 G50"/>
    <x v="1"/>
    <m/>
    <x v="4"/>
    <n v="469.9"/>
    <n v="400"/>
    <n v="64.921384000000003"/>
  </r>
  <r>
    <x v="13"/>
    <s v="13D"/>
    <m/>
    <m/>
    <m/>
    <n v="131100706"/>
    <m/>
    <s v="BRACKET, MASTER SHIPPING 2"/>
    <n v="1"/>
    <n v="1"/>
    <m/>
    <n v="47.97166399999999"/>
    <n v="47.97166399999999"/>
    <x v="2"/>
    <s v="-"/>
    <x v="0"/>
    <m/>
    <x v="0"/>
    <m/>
    <m/>
    <m/>
  </r>
  <r>
    <x v="13"/>
    <m/>
    <s v="13D.1"/>
    <m/>
    <m/>
    <n v="141100938"/>
    <m/>
    <s v="CATWALK CONNECTION PLATE"/>
    <n v="1"/>
    <n v="1"/>
    <m/>
    <n v="12.559999999999999"/>
    <n v="12.559999999999999"/>
    <x v="3"/>
    <s v="G40.21-44W/AG72 G50"/>
    <x v="1"/>
    <m/>
    <x v="4"/>
    <n v="200"/>
    <n v="200"/>
    <n v="13.815999999999999"/>
  </r>
  <r>
    <x v="13"/>
    <m/>
    <s v="13D.2"/>
    <m/>
    <m/>
    <n v="141101531"/>
    <m/>
    <s v="EAR BRACKET"/>
    <n v="1"/>
    <n v="1"/>
    <m/>
    <n v="35.411663999999995"/>
    <n v="35.411663999999995"/>
    <x v="3"/>
    <s v="G40.21-44W/AG72 G50"/>
    <x v="1"/>
    <m/>
    <x v="4"/>
    <n v="469.9"/>
    <n v="400"/>
    <n v="64.9213840000000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x v="0"/>
    <s v="00"/>
    <m/>
    <m/>
    <m/>
    <m/>
    <m/>
    <s v="All RFQ PACKAGE PC4100"/>
    <m/>
    <m/>
    <m/>
    <m/>
    <n v="7416.173797299999"/>
    <s v="All"/>
    <m/>
    <x v="0"/>
    <m/>
    <x v="0"/>
    <m/>
    <m/>
    <n v="9171.8161413410398"/>
  </r>
  <r>
    <x v="1"/>
    <n v="0"/>
    <m/>
    <m/>
    <m/>
    <s v="AY30013"/>
    <s v="A"/>
    <s v="WELDMENT, PC4100 R2D SLAVE SKID, PC4100"/>
    <n v="1"/>
    <n v="1"/>
    <m/>
    <n v="4034"/>
    <n v="4034"/>
    <s v="Main Assy."/>
    <m/>
    <x v="0"/>
    <m/>
    <x v="0"/>
    <m/>
    <m/>
    <n v="4796.48819198604"/>
  </r>
  <r>
    <x v="1"/>
    <s v="1A"/>
    <s v="*"/>
    <s v="*"/>
    <m/>
    <s v="AY30012"/>
    <m/>
    <s v="WELDMENT, R2D CATWALK, LEV 2, PC4100"/>
    <n v="1"/>
    <n v="1"/>
    <m/>
    <n v="3370"/>
    <n v="3370"/>
    <s v="Sub Assy."/>
    <s v="-"/>
    <x v="0"/>
    <m/>
    <x v="0"/>
    <m/>
    <m/>
    <m/>
  </r>
  <r>
    <x v="1"/>
    <m/>
    <s v="1A.1"/>
    <m/>
    <m/>
    <s v="AY30011"/>
    <s v="A"/>
    <s v="WELDMENT, R2D CATWALK, LEV 1, PC4100"/>
    <n v="1"/>
    <n v="1"/>
    <m/>
    <n v="3208"/>
    <n v="3208"/>
    <s v="Sub Assy."/>
    <s v="-"/>
    <x v="0"/>
    <m/>
    <x v="0"/>
    <m/>
    <m/>
    <m/>
  </r>
  <r>
    <x v="1"/>
    <m/>
    <m/>
    <s v="1A.1.1"/>
    <m/>
    <s v="AY30010"/>
    <s v="A"/>
    <s v="WELDMENT, CATWALK ODS BEAM, R2D, PC4100"/>
    <n v="1"/>
    <n v="1"/>
    <m/>
    <n v="679"/>
    <n v="679"/>
    <s v="Sub Assy."/>
    <s v="-"/>
    <x v="0"/>
    <m/>
    <x v="0"/>
    <m/>
    <m/>
    <m/>
  </r>
  <r>
    <x v="1"/>
    <m/>
    <m/>
    <m/>
    <s v="1A.1.1.1"/>
    <s v="DT34393"/>
    <m/>
    <s v="REAR ODS BEAM WEB"/>
    <n v="1"/>
    <n v="1"/>
    <m/>
    <n v="339"/>
    <n v="339"/>
    <s v="Plate"/>
    <s v="A572 Gr. 50"/>
    <x v="1"/>
    <m/>
    <x v="1"/>
    <n v="1022"/>
    <n v="5080"/>
    <n v="448.30847600000004"/>
  </r>
  <r>
    <x v="1"/>
    <m/>
    <m/>
    <m/>
    <s v="1A.1.1.2"/>
    <s v="DT34394"/>
    <m/>
    <s v="PLATE, OUTER ODS BEAM TOP FLANGE, R2D, PC4100"/>
    <n v="1"/>
    <n v="1"/>
    <m/>
    <n v="76"/>
    <n v="76"/>
    <s v="Plate"/>
    <s v="A572 Gr. 50"/>
    <x v="1"/>
    <m/>
    <x v="2"/>
    <n v="180"/>
    <n v="4775"/>
    <n v="89.061390000000003"/>
  </r>
  <r>
    <x v="1"/>
    <m/>
    <m/>
    <m/>
    <s v="1A.1.1.3"/>
    <s v="DT34395"/>
    <m/>
    <s v="PLATE, OUTER BEAM BACK ANGLE CAP, PC4100"/>
    <n v="1"/>
    <n v="1"/>
    <m/>
    <n v="9"/>
    <n v="9"/>
    <s v="Plate"/>
    <s v="A572 Gr. 50"/>
    <x v="1"/>
    <m/>
    <x v="2"/>
    <n v="180"/>
    <n v="572"/>
    <n v="10.668715199999999"/>
  </r>
  <r>
    <x v="1"/>
    <m/>
    <m/>
    <m/>
    <s v="1A.1.1.4"/>
    <s v="DT34315"/>
    <m/>
    <s v="PLATE, OUTER FRONT BEAM NOSE CAP, PC4100"/>
    <n v="1"/>
    <n v="1"/>
    <m/>
    <n v="8"/>
    <n v="8"/>
    <s v="Plate"/>
    <s v="A36/S275JR/SA 516 GR.70"/>
    <x v="2"/>
    <m/>
    <x v="3"/>
    <n v="200"/>
    <n v="324"/>
    <n v="11.190959999999999"/>
  </r>
  <r>
    <x v="1"/>
    <m/>
    <m/>
    <m/>
    <s v="1A.1.1.5"/>
    <s v="DT34396"/>
    <m/>
    <s v="PLATE, REAR OUTER BEAM ANGLE CAP, PC4100"/>
    <n v="1"/>
    <n v="1"/>
    <m/>
    <n v="37"/>
    <n v="37"/>
    <s v="Plate"/>
    <s v="ASTM A572 Gr. 50 / S355JR"/>
    <x v="1"/>
    <m/>
    <x v="1"/>
    <n v="100"/>
    <n v="4702"/>
    <n v="40.601770000000002"/>
  </r>
  <r>
    <x v="1"/>
    <m/>
    <m/>
    <m/>
    <s v="1A.1.1.6"/>
    <s v="DT34397"/>
    <m/>
    <s v="PLATE, ANGLE CAP, PC4100"/>
    <n v="1"/>
    <n v="1"/>
    <m/>
    <n v="0.8"/>
    <n v="0.8"/>
    <s v="Plate"/>
    <s v="A572 Gr. 50"/>
    <x v="1"/>
    <m/>
    <x v="1"/>
    <n v="100"/>
    <n v="191"/>
    <n v="1.6492850000000001"/>
  </r>
  <r>
    <x v="1"/>
    <m/>
    <m/>
    <m/>
    <s v="1A.1.1.7"/>
    <s v="DT34327"/>
    <m/>
    <s v="CATWALK CONNECTION PLATE, PC4100"/>
    <n v="1"/>
    <n v="1"/>
    <m/>
    <n v="11.6"/>
    <n v="11.6"/>
    <s v="Plate"/>
    <s v="A36/S275JR/SA 516 GR.70"/>
    <x v="2"/>
    <m/>
    <x v="4"/>
    <n v="200"/>
    <n v="200"/>
    <n v="13.815999999999999"/>
  </r>
  <r>
    <x v="1"/>
    <m/>
    <m/>
    <m/>
    <s v="1A.1.1.8"/>
    <s v="DT34328"/>
    <m/>
    <s v="PLATE, CARRIER CONNECTION PLATE GUSSET, PC4100"/>
    <n v="1"/>
    <n v="1"/>
    <m/>
    <n v="4"/>
    <n v="4"/>
    <s v="Plate"/>
    <s v="A36/S275JR/SA 516 GR.70"/>
    <x v="2"/>
    <m/>
    <x v="5"/>
    <n v="165"/>
    <n v="180"/>
    <n v="6.4114874999999998"/>
  </r>
  <r>
    <x v="1"/>
    <m/>
    <m/>
    <m/>
    <s v="1A.1.1.9"/>
    <s v="DT34378"/>
    <m/>
    <s v="PIPE, 33 OD x 21 ID X 51 L"/>
    <n v="4"/>
    <n v="4"/>
    <m/>
    <n v="9.0720000000000009E-2"/>
    <n v="0.36288000000000004"/>
    <s v="Pipe"/>
    <s v="ASTM A106 GR.B"/>
    <x v="3"/>
    <m/>
    <x v="6"/>
    <m/>
    <n v="51"/>
    <n v="0.39916800000000008"/>
  </r>
  <r>
    <x v="1"/>
    <m/>
    <m/>
    <m/>
    <s v="1A.1.1.10"/>
    <s v="DT34398"/>
    <m/>
    <s v="REAR CATWALK CONNECTION BLOCK, PC4100"/>
    <n v="2"/>
    <n v="2"/>
    <m/>
    <n v="19"/>
    <n v="38"/>
    <s v="Plate"/>
    <s v="ASTM A572 Gr. 50 / S355JR"/>
    <x v="1"/>
    <m/>
    <x v="7"/>
    <n v="220"/>
    <n v="334"/>
    <n v="63.449980000000004"/>
  </r>
  <r>
    <x v="1"/>
    <m/>
    <m/>
    <m/>
    <s v="1A.1.1.11"/>
    <s v="-"/>
    <m/>
    <s v="BAR, FLAT, 200 X 20 X 4777 LG"/>
    <n v="1"/>
    <n v="1"/>
    <m/>
    <n v="149.99779999999998"/>
    <n v="149.99779999999998"/>
    <s v="Plate"/>
    <s v="A36/S275JR/SA 516 GR.70"/>
    <x v="2"/>
    <m/>
    <x v="3"/>
    <n v="200"/>
    <n v="4777"/>
    <n v="164.99758"/>
  </r>
  <r>
    <x v="1"/>
    <m/>
    <m/>
    <m/>
    <s v="1A.1.1.12"/>
    <s v="-"/>
    <m/>
    <s v="BAR, FLAT, 75 x 12 x 381 LG"/>
    <n v="2"/>
    <n v="2"/>
    <m/>
    <n v="2.6917649999999997"/>
    <n v="5.3835299999999995"/>
    <s v="Plate"/>
    <s v="A36/S275JR/SA 516 GR.70"/>
    <x v="2"/>
    <m/>
    <x v="2"/>
    <n v="75"/>
    <n v="381"/>
    <n v="5.9218830000000002"/>
  </r>
  <r>
    <x v="1"/>
    <m/>
    <m/>
    <s v="1A.1.2"/>
    <m/>
    <s v="AY30009"/>
    <m/>
    <s v="WELDMENT, CATWALK DS BEAM, R2D, PC4100"/>
    <n v="1"/>
    <n v="1"/>
    <m/>
    <n v="667"/>
    <n v="667"/>
    <s v="Sub Assy."/>
    <s v="-"/>
    <x v="0"/>
    <m/>
    <x v="0"/>
    <m/>
    <m/>
    <m/>
  </r>
  <r>
    <x v="1"/>
    <m/>
    <m/>
    <m/>
    <s v="1A.1.2.1"/>
    <s v="DT34400"/>
    <m/>
    <s v="REAR DS BEAM WEB, R2D, PC4100"/>
    <n v="1"/>
    <n v="1"/>
    <m/>
    <n v="321"/>
    <n v="321"/>
    <s v="Plate"/>
    <s v="A572 Gr. 50"/>
    <x v="1"/>
    <m/>
    <x v="1"/>
    <n v="1022"/>
    <n v="5080"/>
    <n v="448.30847600000004"/>
  </r>
  <r>
    <x v="1"/>
    <m/>
    <m/>
    <m/>
    <s v="1A.1.2.2"/>
    <s v="DT34401"/>
    <m/>
    <s v="PLATE, OUTER BEAM D5 TOP FLANGE, R2D, PC4100"/>
    <n v="1"/>
    <n v="1"/>
    <m/>
    <n v="83"/>
    <n v="83"/>
    <s v="Plate"/>
    <s v="A572 Gr. 50"/>
    <x v="1"/>
    <m/>
    <x v="2"/>
    <n v="180"/>
    <n v="4775"/>
    <n v="89.061390000000003"/>
  </r>
  <r>
    <x v="1"/>
    <m/>
    <m/>
    <m/>
    <s v="1A.1.2.3"/>
    <s v="DT34395"/>
    <m/>
    <s v="PLATE, OUTER BEAM BACK ANGLE CAP, PC4100"/>
    <n v="1"/>
    <n v="1"/>
    <m/>
    <n v="9"/>
    <n v="9"/>
    <s v="Plate"/>
    <s v="A572 Gr. 50"/>
    <x v="1"/>
    <m/>
    <x v="2"/>
    <n v="180"/>
    <n v="572"/>
    <n v="10.668715199999999"/>
  </r>
  <r>
    <x v="1"/>
    <m/>
    <m/>
    <m/>
    <s v="1A.1.2.4"/>
    <s v="DT34315"/>
    <m/>
    <s v="PLATE, OUTER FRONT BEAM NOSE CAP, PC4100"/>
    <n v="1"/>
    <n v="1"/>
    <m/>
    <n v="8"/>
    <n v="8"/>
    <s v="Plate"/>
    <s v="A36/S275JR/SA 516 GR.70"/>
    <x v="2"/>
    <m/>
    <x v="3"/>
    <n v="200"/>
    <n v="324"/>
    <n v="11.190959999999999"/>
  </r>
  <r>
    <x v="1"/>
    <m/>
    <m/>
    <m/>
    <s v="1A.1.2.5"/>
    <s v="DT34396"/>
    <m/>
    <s v="PLATE, REAR OUTER BEAM ANGLE CAP, PC4100"/>
    <n v="1"/>
    <n v="1"/>
    <m/>
    <n v="37"/>
    <n v="37"/>
    <s v="Plate"/>
    <s v="ASTM A572 Gr. 50 / S355JR"/>
    <x v="1"/>
    <m/>
    <x v="1"/>
    <n v="100"/>
    <n v="4702"/>
    <n v="40.601770000000002"/>
  </r>
  <r>
    <x v="1"/>
    <m/>
    <m/>
    <m/>
    <s v="1A.1.2.6"/>
    <s v="DT34397"/>
    <m/>
    <s v="PLATE, ANGLE CAP, PC4100"/>
    <n v="1"/>
    <n v="1"/>
    <m/>
    <n v="0.8"/>
    <n v="0.8"/>
    <s v="Plate"/>
    <s v="A572 Gr. 50"/>
    <x v="1"/>
    <m/>
    <x v="1"/>
    <n v="100"/>
    <n v="191"/>
    <n v="1.6492850000000001"/>
  </r>
  <r>
    <x v="1"/>
    <m/>
    <m/>
    <m/>
    <s v="1A.1.2.7"/>
    <s v="DT34327"/>
    <m/>
    <s v="CATWALK CONNECTION PLATE, PC4100"/>
    <n v="1"/>
    <n v="1"/>
    <m/>
    <n v="11.6"/>
    <n v="11.6"/>
    <s v="Plate"/>
    <s v="A36/S275JR/SA 516 GR.70"/>
    <x v="2"/>
    <m/>
    <x v="4"/>
    <n v="200"/>
    <n v="200"/>
    <n v="13.815999999999999"/>
  </r>
  <r>
    <x v="1"/>
    <m/>
    <m/>
    <m/>
    <s v="1A.1.2.8"/>
    <s v="DT34328"/>
    <m/>
    <s v="PLATE, CARRIER CONNECTION PLATE GUSSET, PC4100"/>
    <n v="1"/>
    <n v="1"/>
    <m/>
    <n v="4"/>
    <n v="4"/>
    <s v="Plate"/>
    <s v="A36/S275JR/SA 516 GR.70"/>
    <x v="2"/>
    <m/>
    <x v="5"/>
    <n v="165"/>
    <n v="180"/>
    <n v="6.4114874999999998"/>
  </r>
  <r>
    <x v="1"/>
    <m/>
    <m/>
    <m/>
    <s v="1A.1.2.9"/>
    <s v="DT34398"/>
    <m/>
    <s v="REAR CATWALK CONNECTION BLOCK, PC4100"/>
    <n v="2"/>
    <n v="2"/>
    <m/>
    <n v="19"/>
    <n v="38"/>
    <s v="Plate"/>
    <s v="ASTM A572 Gr. 50 / S355JR"/>
    <x v="1"/>
    <m/>
    <x v="7"/>
    <n v="220"/>
    <n v="334"/>
    <n v="63.449980000000004"/>
  </r>
  <r>
    <x v="1"/>
    <m/>
    <m/>
    <m/>
    <s v="1A.1.2.10"/>
    <s v="-"/>
    <m/>
    <s v="BAR, FLAT, 200 X 20 X 4777 LG"/>
    <n v="1"/>
    <n v="1"/>
    <m/>
    <n v="149.99779999999998"/>
    <n v="149.99779999999998"/>
    <s v="Plate"/>
    <s v="A36/S275JR/SA 516 GR.70"/>
    <x v="2"/>
    <m/>
    <x v="3"/>
    <n v="200"/>
    <n v="4777"/>
    <n v="164.99758"/>
  </r>
  <r>
    <x v="1"/>
    <m/>
    <m/>
    <m/>
    <s v="1A.1.2.11"/>
    <s v="-"/>
    <m/>
    <s v="PIPE, 1/2&quot; SCH 40 x 1035 LG"/>
    <n v="2"/>
    <n v="2"/>
    <m/>
    <n v="0.13144500000000001"/>
    <n v="0.26289000000000001"/>
    <s v="Pipe"/>
    <s v="A.S.T.M. A106 GR.B"/>
    <x v="3"/>
    <m/>
    <x v="8"/>
    <m/>
    <n v="103.5"/>
    <n v="0.28917900000000002"/>
  </r>
  <r>
    <x v="1"/>
    <m/>
    <m/>
    <m/>
    <s v="1A.1.2.12"/>
    <s v="-"/>
    <m/>
    <s v="UNISTRUT, 41.3 x 22.2 x 457 LG"/>
    <n v="2"/>
    <n v="2"/>
    <m/>
    <m/>
    <n v="0"/>
    <s v="BOP _x000a_Unistruct"/>
    <s v="G40.21-44W / A572 G50"/>
    <x v="0"/>
    <m/>
    <x v="0"/>
    <m/>
    <m/>
    <m/>
  </r>
  <r>
    <x v="1"/>
    <m/>
    <m/>
    <m/>
    <s v="1A.1.2.13"/>
    <s v="DT34399"/>
    <m/>
    <s v="PLATE, SAFETY BAR HOLDER, PC4100"/>
    <n v="2"/>
    <n v="2"/>
    <m/>
    <n v="2"/>
    <n v="4"/>
    <s v="Plate"/>
    <s v="A572 Gr. 50"/>
    <x v="1"/>
    <m/>
    <x v="1"/>
    <n v="210"/>
    <n v="210"/>
    <n v="7.6160699999999997"/>
  </r>
  <r>
    <x v="1"/>
    <m/>
    <m/>
    <s v="1A.1.3"/>
    <m/>
    <s v="DT34313"/>
    <m/>
    <s v="PLATE, ROLL BAR END CAP, PC4100"/>
    <n v="2"/>
    <n v="2"/>
    <m/>
    <n v="3.4"/>
    <n v="6.8"/>
    <s v="Plate"/>
    <s v="A572 Gr. 50"/>
    <x v="1"/>
    <m/>
    <x v="2"/>
    <n v="200"/>
    <n v="240"/>
    <n v="9.947519999999999"/>
  </r>
  <r>
    <x v="1"/>
    <m/>
    <m/>
    <s v="1A.1.4"/>
    <m/>
    <s v="DT34402"/>
    <m/>
    <s v="PLATE, BACK MID STOP RIB, PC4100"/>
    <n v="4"/>
    <n v="4"/>
    <m/>
    <n v="15"/>
    <n v="60"/>
    <s v="Plate"/>
    <s v="A572 Gr. 50"/>
    <x v="1"/>
    <m/>
    <x v="2"/>
    <n v="373"/>
    <n v="789"/>
    <n v="121.98022056000001"/>
  </r>
  <r>
    <x v="1"/>
    <m/>
    <m/>
    <s v="1A.1.5"/>
    <m/>
    <s v="DT34403"/>
    <m/>
    <s v="PIPE, CABLE ROLL, PC4100"/>
    <n v="2"/>
    <n v="2"/>
    <m/>
    <n v="5"/>
    <n v="10"/>
    <s v="Sub Assy."/>
    <s v="-"/>
    <x v="0"/>
    <m/>
    <x v="0"/>
    <m/>
    <m/>
    <m/>
  </r>
  <r>
    <x v="1"/>
    <m/>
    <m/>
    <m/>
    <s v="1A.1.5.1"/>
    <m/>
    <m/>
    <s v="PIPE, 4SCH80 X 254 LG"/>
    <n v="1"/>
    <n v="2"/>
    <m/>
    <n v="4.6516484"/>
    <n v="9.3032968"/>
    <s v="Pipe"/>
    <s v="A.S.T.M. A106 GR.B"/>
    <x v="3"/>
    <m/>
    <x v="9"/>
    <m/>
    <n v="255"/>
    <n v="10.233626480000002"/>
  </r>
  <r>
    <x v="1"/>
    <m/>
    <m/>
    <m/>
    <s v="1A.1.5.2"/>
    <m/>
    <m/>
    <s v="PLATE, 86 X 86X 6"/>
    <n v="1"/>
    <n v="2"/>
    <m/>
    <n v="0.34835159999999998"/>
    <n v="0.69670319999999997"/>
    <s v="Plate"/>
    <s v="A.S.T.M. A106 GR.B"/>
    <x v="1"/>
    <m/>
    <x v="10"/>
    <n v="86"/>
    <n v="86"/>
    <n v="0.76637352000000003"/>
  </r>
  <r>
    <x v="1"/>
    <m/>
    <m/>
    <s v="1A.1.6"/>
    <m/>
    <s v="DT34404"/>
    <m/>
    <s v="W-BEAM 600 X 220 X 4572 LG"/>
    <n v="2"/>
    <n v="2"/>
    <m/>
    <n v="498"/>
    <n v="996"/>
    <s v="Beam"/>
    <s v="A992 / A572"/>
    <x v="1"/>
    <m/>
    <x v="11"/>
    <m/>
    <n v="4572"/>
    <n v="1081.982088"/>
  </r>
  <r>
    <x v="1"/>
    <m/>
    <m/>
    <s v="1A.1.7"/>
    <m/>
    <s v="DT34405"/>
    <m/>
    <s v="CARRIER RAIL BOTTOM STIFFNER, DS, PC4100_x000a_UPN80 X 45"/>
    <n v="1"/>
    <n v="1"/>
    <m/>
    <n v="3"/>
    <n v="3"/>
    <s v="Channel"/>
    <s v="A36/S275JR"/>
    <x v="2"/>
    <m/>
    <x v="12"/>
    <m/>
    <n v="410"/>
    <n v="3.8966400000000005"/>
  </r>
  <r>
    <x v="1"/>
    <m/>
    <m/>
    <s v="1A.1.8"/>
    <m/>
    <s v="DT34406"/>
    <m/>
    <s v="CARRIER RAIL BOTTOM STIFFNER, ODS, PC4100_x000a_UPN80 X 45"/>
    <n v="1"/>
    <n v="1"/>
    <m/>
    <n v="3"/>
    <n v="3"/>
    <s v="Channel"/>
    <s v="A36/S275JR"/>
    <x v="2"/>
    <m/>
    <x v="12"/>
    <m/>
    <n v="410"/>
    <n v="3.8966400000000005"/>
  </r>
  <r>
    <x v="1"/>
    <m/>
    <m/>
    <s v="1A.1.9"/>
    <m/>
    <s v="-"/>
    <m/>
    <s v="CHANNEL, UPN200x2198 LG"/>
    <n v="7"/>
    <n v="7"/>
    <m/>
    <n v="55.609400000000001"/>
    <n v="389.26580000000001"/>
    <s v="Channel"/>
    <s v="A572 Gr. 50"/>
    <x v="1"/>
    <m/>
    <x v="13"/>
    <m/>
    <n v="2198"/>
    <n v="428.19238000000001"/>
  </r>
  <r>
    <x v="1"/>
    <m/>
    <m/>
    <s v="1A.1.10"/>
    <m/>
    <s v="DT34390"/>
    <m/>
    <s v="PLATE, BOTTOM PLATE, JUNK BOX, PC4100"/>
    <n v="1"/>
    <n v="1"/>
    <m/>
    <n v="27.7"/>
    <n v="27.7"/>
    <s v="Plate"/>
    <s v="ASTM A572 Gr. 50 / A516 Gr.70 / S355JR"/>
    <x v="1"/>
    <m/>
    <x v="10"/>
    <n v="720"/>
    <n v="819"/>
    <n v="30.551320799999999"/>
  </r>
  <r>
    <x v="1"/>
    <m/>
    <m/>
    <s v="1A.1.11"/>
    <m/>
    <s v="-"/>
    <m/>
    <s v="CHANNEL, UPN80.000X 4672.000 LG"/>
    <n v="1"/>
    <n v="1"/>
    <m/>
    <n v="40.366080000000004"/>
    <n v="40.366080000000004"/>
    <s v="Channel"/>
    <s v="A36/S275JR"/>
    <x v="2"/>
    <m/>
    <x v="12"/>
    <m/>
    <n v="4672"/>
    <n v="44.402688000000005"/>
  </r>
  <r>
    <x v="1"/>
    <m/>
    <m/>
    <s v="1A.1.12"/>
    <m/>
    <s v="-"/>
    <m/>
    <s v="CHANNEL, UPN80X1143 LG"/>
    <n v="5"/>
    <n v="5"/>
    <m/>
    <n v="9.8755199999999999"/>
    <n v="49.377600000000001"/>
    <s v="Channel"/>
    <s v="A36/S275JR"/>
    <x v="2"/>
    <m/>
    <x v="12"/>
    <m/>
    <n v="1143"/>
    <n v="54.315360000000005"/>
  </r>
  <r>
    <x v="1"/>
    <m/>
    <m/>
    <s v="1A.1.13"/>
    <m/>
    <s v="UPN80x4623"/>
    <m/>
    <s v="CHANNEL, UPN80.000X4623.000 LG"/>
    <n v="1"/>
    <n v="1"/>
    <m/>
    <n v="39.942720000000001"/>
    <n v="39.942720000000001"/>
    <s v="Channel"/>
    <s v="A36/S275JR"/>
    <x v="2"/>
    <m/>
    <x v="12"/>
    <m/>
    <n v="4623"/>
    <n v="43.936992000000004"/>
  </r>
  <r>
    <x v="1"/>
    <m/>
    <m/>
    <s v="1A.1.14"/>
    <m/>
    <s v="FB45X6X329"/>
    <m/>
    <s v="BAR, FLAT, 45.000 X 6.000 X 329.406 LG"/>
    <n v="1"/>
    <n v="1"/>
    <m/>
    <n v="0.69731549999999998"/>
    <n v="0.69731549999999998"/>
    <s v="Plate"/>
    <s v="A36/S275JR/SA 516 GR.70"/>
    <x v="2"/>
    <m/>
    <x v="10"/>
    <n v="45"/>
    <n v="329"/>
    <n v="0.76704705000000006"/>
  </r>
  <r>
    <x v="1"/>
    <m/>
    <m/>
    <s v="1A.1.15"/>
    <m/>
    <s v="-"/>
    <m/>
    <s v="PI 6&quot; SCH XS X 2388mm"/>
    <n v="1"/>
    <n v="1"/>
    <m/>
    <n v="101.63328"/>
    <n v="101.63328"/>
    <s v="Pipe"/>
    <s v="G40.21-44W"/>
    <x v="3"/>
    <m/>
    <x v="14"/>
    <m/>
    <n v="2388"/>
    <n v="111.79660800000001"/>
  </r>
  <r>
    <x v="1"/>
    <m/>
    <m/>
    <s v="1A.1.16"/>
    <m/>
    <s v="FB45X6X280"/>
    <m/>
    <s v="BAR, FLAT, 45.000 X 6.000 X 280.194 LG"/>
    <n v="1"/>
    <n v="1"/>
    <m/>
    <n v="0.59345999999999999"/>
    <n v="0.59345999999999999"/>
    <s v="Plate"/>
    <s v="A36/S275JR/SA 516 GR.70"/>
    <x v="2"/>
    <m/>
    <x v="10"/>
    <n v="45"/>
    <n v="280"/>
    <n v="0.652806"/>
  </r>
  <r>
    <x v="1"/>
    <m/>
    <m/>
    <s v="1A.1.17"/>
    <m/>
    <s v="DT34389"/>
    <m/>
    <s v="PLATE, FRONT LIP, JUNK BOX, PC4100"/>
    <n v="1"/>
    <n v="1"/>
    <m/>
    <n v="4.0999999999999996"/>
    <n v="4.0999999999999996"/>
    <s v="Plate"/>
    <s v="ASTM A572 Gr. 50 / A516 Gr.70 / S355JR"/>
    <x v="1"/>
    <m/>
    <x v="10"/>
    <n v="126"/>
    <n v="691"/>
    <n v="4.5108894600000005"/>
  </r>
  <r>
    <x v="1"/>
    <m/>
    <m/>
    <s v="1A.1.18"/>
    <m/>
    <s v="UPN80X1651"/>
    <m/>
    <s v="CHANNEL, UPN80.000 LG"/>
    <n v="1"/>
    <n v="1"/>
    <m/>
    <n v="14.264640000000002"/>
    <n v="14.264640000000002"/>
    <s v="Channel"/>
    <s v="A36/S275JR"/>
    <x v="2"/>
    <m/>
    <x v="12"/>
    <m/>
    <n v="1651"/>
    <n v="15.691104000000003"/>
  </r>
  <r>
    <x v="1"/>
    <m/>
    <m/>
    <s v="1A.1.19"/>
    <m/>
    <s v="FB80X6X4634"/>
    <m/>
    <s v="BAR, FLAT, 80.000 X 6.000 X 4634.000 LG"/>
    <n v="1"/>
    <n v="1"/>
    <m/>
    <n v="17.460911999999997"/>
    <n v="17.460911999999997"/>
    <s v="Plate"/>
    <s v="A36/S275JR/SA 516 GR.70"/>
    <x v="2"/>
    <m/>
    <x v="10"/>
    <n v="80"/>
    <n v="4634"/>
    <n v="19.207003199999999"/>
  </r>
  <r>
    <x v="1"/>
    <m/>
    <m/>
    <s v="1A.1.20"/>
    <m/>
    <s v="FB80X6X4585"/>
    <m/>
    <s v="BAR, FLAT, 80.000 X 6.000 X 4585.000 LG"/>
    <n v="1"/>
    <n v="1"/>
    <m/>
    <n v="17.27628"/>
    <n v="17.27628"/>
    <s v="Plate"/>
    <s v="A36/S275JR/SA 516 GR.70"/>
    <x v="2"/>
    <m/>
    <x v="10"/>
    <n v="80"/>
    <n v="4585"/>
    <n v="19.003908000000003"/>
  </r>
  <r>
    <x v="1"/>
    <m/>
    <m/>
    <s v="1A.1.21"/>
    <m/>
    <s v="AY30006.002"/>
    <m/>
    <s v="BAR, FLAT, 5 X 38 X 67 LG"/>
    <n v="2"/>
    <n v="2"/>
    <m/>
    <n v="9.9930499999999992E-2"/>
    <n v="0.19986099999999998"/>
    <s v="Plate"/>
    <s v="A36/S275JR/SA 516 GR.70"/>
    <x v="2"/>
    <m/>
    <x v="15"/>
    <n v="38"/>
    <n v="67"/>
    <n v="0.21984709999999999"/>
  </r>
  <r>
    <x v="1"/>
    <m/>
    <m/>
    <s v="1A.1.22"/>
    <m/>
    <s v="DT34392"/>
    <m/>
    <s v="PLATE, LEFT SIDE WALL, JUNK BOX, PC4100"/>
    <n v="1"/>
    <n v="1"/>
    <m/>
    <n v="28.6"/>
    <n v="28.6"/>
    <s v="Plate"/>
    <s v="ASTM A572 Gr. 50 / A516 Gr.70 / S355JR"/>
    <x v="1"/>
    <m/>
    <x v="10"/>
    <n v="630"/>
    <n v="967"/>
    <n v="31.563170100000001"/>
  </r>
  <r>
    <x v="1"/>
    <m/>
    <m/>
    <s v="1A.1.23"/>
    <m/>
    <s v="DT34391"/>
    <m/>
    <s v="PLATE, BACK LIP, JUNK BOX, PC4100"/>
    <n v="1"/>
    <n v="1"/>
    <m/>
    <n v="4"/>
    <n v="4"/>
    <s v="Plate"/>
    <s v="ASTM A572 Gr. 50 / A516 Gr.70 / S355JR"/>
    <x v="1"/>
    <m/>
    <x v="10"/>
    <n v="119"/>
    <n v="691"/>
    <n v="4.2602844900000001"/>
  </r>
  <r>
    <x v="1"/>
    <m/>
    <m/>
    <s v="1A.1.24"/>
    <m/>
    <s v="DT34388"/>
    <m/>
    <s v="PLATE, RIGHT SIDE WALL, JUNK BOX, PC4100"/>
    <n v="1"/>
    <n v="1"/>
    <m/>
    <n v="23"/>
    <n v="23"/>
    <s v="Plate"/>
    <s v="ASTM A572 Gr. 50 / A516 Gr.70 / S355JR"/>
    <x v="1"/>
    <m/>
    <x v="10"/>
    <n v="630"/>
    <n v="802"/>
    <n v="26.177520599999998"/>
  </r>
  <r>
    <x v="1"/>
    <m/>
    <m/>
    <s v="1A.1.25"/>
    <m/>
    <s v="DT34387"/>
    <m/>
    <s v="PLATE, BOTTOM PLATE, JUNK BOX, PC4100"/>
    <n v="1"/>
    <n v="1"/>
    <m/>
    <n v="9"/>
    <n v="9"/>
    <s v="Plate"/>
    <s v="ASTM A572 Gr. 50 / A516 Gr.70 / S355JR"/>
    <x v="1"/>
    <m/>
    <x v="10"/>
    <n v="365.13"/>
    <n v="526.79999999999995"/>
    <n v="9.9656785760399984"/>
  </r>
  <r>
    <x v="1"/>
    <m/>
    <m/>
    <s v="1A.1.26"/>
    <m/>
    <s v="M11504"/>
    <m/>
    <s v="FLANGE, SCULLY, 3/4&quot; NPT"/>
    <n v="1"/>
    <n v="1"/>
    <m/>
    <m/>
    <n v="0"/>
    <s v="BOP"/>
    <s v="CARBON STEEL"/>
    <x v="0"/>
    <m/>
    <x v="0"/>
    <m/>
    <m/>
    <m/>
  </r>
  <r>
    <x v="1"/>
    <m/>
    <m/>
    <s v="1A.1.27"/>
    <m/>
    <s v="DT34314"/>
    <m/>
    <s v="PLATE, CROSS CHANNEL GUSSET, PC4100"/>
    <n v="10"/>
    <n v="10"/>
    <m/>
    <n v="1.8"/>
    <n v="18"/>
    <s v="Plate"/>
    <s v="A572 Gr. 50"/>
    <x v="1"/>
    <m/>
    <x v="1"/>
    <n v="100"/>
    <n v="254"/>
    <n v="21.932899999999997"/>
  </r>
  <r>
    <x v="1"/>
    <m/>
    <s v="1A.2"/>
    <m/>
    <m/>
    <s v="DT34325"/>
    <m/>
    <s v="PLATE, ROLL SUPPORT, PC4100"/>
    <n v="4"/>
    <n v="4"/>
    <m/>
    <n v="2"/>
    <n v="8"/>
    <s v="Plate"/>
    <s v="A572 Gr. 50"/>
    <x v="1"/>
    <m/>
    <x v="1"/>
    <n v="200"/>
    <n v="200"/>
    <n v="13.815999999999999"/>
  </r>
  <r>
    <x v="1"/>
    <m/>
    <s v="1A.3"/>
    <m/>
    <m/>
    <s v="DT34333"/>
    <m/>
    <s v="MID FLOOR HANGER FRONT, PC4100"/>
    <n v="7"/>
    <n v="7"/>
    <m/>
    <n v="5"/>
    <n v="35"/>
    <s v="Plate"/>
    <s v="A572 Gr. 50"/>
    <x v="1"/>
    <m/>
    <x v="1"/>
    <n v="113"/>
    <n v="745"/>
    <n v="50.885623250000002"/>
  </r>
  <r>
    <x v="1"/>
    <m/>
    <s v="1A.4"/>
    <m/>
    <m/>
    <s v="DT34386"/>
    <m/>
    <s v="FLOOR, WIDE HANGER, PC4100"/>
    <n v="2"/>
    <n v="2"/>
    <m/>
    <n v="17"/>
    <n v="34"/>
    <s v="Plate"/>
    <s v="A36 / S275JR / SA 516 GR.70"/>
    <x v="2"/>
    <m/>
    <x v="4"/>
    <n v="87"/>
    <n v="813"/>
    <n v="48.860974800000001"/>
  </r>
  <r>
    <x v="1"/>
    <m/>
    <s v="1A.5"/>
    <m/>
    <m/>
    <s v="DT34385"/>
    <m/>
    <s v="HSS, HORIZONTAL ALIGNER, PC4100"/>
    <n v="2"/>
    <n v="2"/>
    <m/>
    <n v="11"/>
    <n v="22"/>
    <s v="Sub Assy."/>
    <s v="-"/>
    <x v="0"/>
    <m/>
    <x v="0"/>
    <m/>
    <m/>
    <m/>
  </r>
  <r>
    <x v="1"/>
    <m/>
    <m/>
    <s v="1A.5.1"/>
    <m/>
    <m/>
    <m/>
    <s v="HSS, 80 X 80 X 10 LG"/>
    <n v="1"/>
    <n v="2"/>
    <m/>
    <n v="13.407800000000002"/>
    <n v="26.815600000000003"/>
    <s v="Sq. Tube"/>
    <s v="A36/S275JR"/>
    <x v="4"/>
    <m/>
    <x v="16"/>
    <m/>
    <n v="610"/>
    <n v="29.497160000000004"/>
  </r>
  <r>
    <x v="1"/>
    <m/>
    <m/>
    <s v="1A.5.2"/>
    <m/>
    <m/>
    <m/>
    <s v="PLATE, 97X60X6"/>
    <n v="2"/>
    <n v="4"/>
    <m/>
    <n v="0.27412199999999998"/>
    <n v="1.0964879999999999"/>
    <s v="Plate"/>
    <s v="ASTM A572 Gr. 50 / A516 Gr.70 / S355JR"/>
    <x v="1"/>
    <m/>
    <x v="10"/>
    <n v="60"/>
    <n v="97"/>
    <n v="1.2061367999999999"/>
  </r>
  <r>
    <x v="1"/>
    <m/>
    <s v="1A.6"/>
    <m/>
    <m/>
    <s v="—"/>
    <m/>
    <s v="BAR, FLAT, 51 X 25 X 400 LG"/>
    <n v="2"/>
    <n v="2"/>
    <m/>
    <n v="4.0034999999999998"/>
    <n v="8.0069999999999997"/>
    <s v="Plate"/>
    <s v="A36 / S275JR / SA 516 GR.70"/>
    <x v="2"/>
    <m/>
    <x v="5"/>
    <n v="51"/>
    <n v="400"/>
    <n v="8.8077000000000005"/>
  </r>
  <r>
    <x v="1"/>
    <m/>
    <s v="1A.7"/>
    <m/>
    <m/>
    <s v="—"/>
    <m/>
    <s v="PIPE, 4 SCH 80 X 628 LG"/>
    <n v="2"/>
    <n v="2"/>
    <m/>
    <n v="14.023239999999999"/>
    <n v="28.046479999999999"/>
    <s v="Pipe"/>
    <s v="ASTM A106 GR.B"/>
    <x v="3"/>
    <m/>
    <x v="17"/>
    <m/>
    <n v="628"/>
    <n v="30.851128000000003"/>
  </r>
  <r>
    <x v="1"/>
    <m/>
    <s v="1A.8"/>
    <m/>
    <m/>
    <s v="—"/>
    <m/>
    <s v="UNISTRUCT, 41 X 22 X 368 LG"/>
    <n v="2"/>
    <n v="2"/>
    <m/>
    <m/>
    <n v="0"/>
    <s v="BOP _x000a_Unistruct"/>
    <s v="ASTM A572 Gr. 50 / S355JR"/>
    <x v="0"/>
    <m/>
    <x v="0"/>
    <m/>
    <m/>
    <m/>
  </r>
  <r>
    <x v="1"/>
    <m/>
    <s v="1A.9"/>
    <m/>
    <m/>
    <s v="DT34360"/>
    <m/>
    <s v="FLOOR, WIDE HANGER, PC4100"/>
    <n v="2"/>
    <n v="2"/>
    <m/>
    <n v="16"/>
    <n v="32"/>
    <s v="Plate"/>
    <s v="A36 / S275JR / SA 516 GR.70"/>
    <x v="2"/>
    <m/>
    <x v="4"/>
    <n v="112"/>
    <n v="813"/>
    <n v="62.901484799999999"/>
  </r>
  <r>
    <x v="1"/>
    <s v="1B"/>
    <m/>
    <m/>
    <m/>
    <s v="DT34384"/>
    <m/>
    <s v="WELDMENT, PANEL GUARD, PC4100"/>
    <n v="1"/>
    <n v="1"/>
    <m/>
    <n v="20.45"/>
    <n v="20.45"/>
    <s v="Sub Assy."/>
    <s v="-"/>
    <x v="0"/>
    <m/>
    <x v="0"/>
    <m/>
    <m/>
    <m/>
  </r>
  <r>
    <x v="1"/>
    <m/>
    <s v="1B.1"/>
    <m/>
    <m/>
    <m/>
    <m/>
    <s v="HSS, 50 X 50 X 5 X 184 LG"/>
    <n v="4"/>
    <n v="4"/>
    <m/>
    <n v="1.30088"/>
    <n v="5.2035200000000001"/>
    <s v="Sq. Tube"/>
    <s v="ASTM A516 Gr. 70/S275JR"/>
    <x v="4"/>
    <m/>
    <x v="18"/>
    <m/>
    <n v="184"/>
    <n v="5.723872000000001"/>
  </r>
  <r>
    <x v="1"/>
    <m/>
    <s v="1B.2"/>
    <m/>
    <m/>
    <m/>
    <m/>
    <s v="HSS, 50 X 50 X 5 X 558 LG"/>
    <n v="2"/>
    <n v="2"/>
    <m/>
    <n v="3.9450599999999998"/>
    <n v="7.8901199999999996"/>
    <s v="Sq. Tube"/>
    <s v="ASTM A516 Gr. 70/S275JR"/>
    <x v="4"/>
    <m/>
    <x v="18"/>
    <m/>
    <n v="558"/>
    <n v="8.679132000000001"/>
  </r>
  <r>
    <x v="1"/>
    <m/>
    <s v="1B.3"/>
    <m/>
    <m/>
    <m/>
    <m/>
    <s v="HSS, 50 X 50 X 5 X 520 LG"/>
    <n v="2"/>
    <n v="2"/>
    <m/>
    <n v="3.6764000000000001"/>
    <n v="7.3528000000000002"/>
    <s v="Sq. Tube"/>
    <s v="ASTM A516 Gr. 70/S275JR"/>
    <x v="4"/>
    <m/>
    <x v="18"/>
    <m/>
    <n v="520"/>
    <n v="8.0880800000000015"/>
  </r>
  <r>
    <x v="1"/>
    <s v="1C"/>
    <m/>
    <m/>
    <m/>
    <s v="DT34383"/>
    <m/>
    <s v="PLATE, SLAVE SKID CHANNEL CAP, PC4100"/>
    <n v="2"/>
    <n v="2"/>
    <m/>
    <n v="6.7"/>
    <n v="13.4"/>
    <s v="Plate"/>
    <s v="A572 Gr. 50"/>
    <x v="1"/>
    <m/>
    <x v="1"/>
    <n v="121"/>
    <n v="708"/>
    <n v="14.794863600000001"/>
  </r>
  <r>
    <x v="1"/>
    <s v="1D"/>
    <m/>
    <m/>
    <m/>
    <s v="DT34381"/>
    <m/>
    <s v="HSS, RIGHT SIDE LASER POST, PC4100"/>
    <n v="1"/>
    <n v="1"/>
    <m/>
    <n v="10"/>
    <n v="10"/>
    <s v="Sub Assy."/>
    <s v="-"/>
    <x v="0"/>
    <m/>
    <x v="0"/>
    <m/>
    <m/>
    <m/>
  </r>
  <r>
    <x v="1"/>
    <m/>
    <s v="1D.1"/>
    <m/>
    <m/>
    <m/>
    <m/>
    <s v="PLATE, 116X76X6"/>
    <n v="1"/>
    <n v="1"/>
    <m/>
    <n v="0.41523359999999998"/>
    <n v="0.41523359999999998"/>
    <s v="Plate"/>
    <s v="ASTM A572 Gr. 50 / A516 Gr.70 / S355JR"/>
    <x v="1"/>
    <m/>
    <x v="10"/>
    <n v="76"/>
    <n v="116"/>
    <n v="0.45675695999999999"/>
  </r>
  <r>
    <x v="1"/>
    <m/>
    <s v="1D.2"/>
    <m/>
    <m/>
    <m/>
    <m/>
    <s v="HSS,100 X 80 X 5X 864 LG"/>
    <n v="1"/>
    <n v="1"/>
    <m/>
    <n v="11.5344"/>
    <n v="11.5344"/>
    <s v="Rec. Tube"/>
    <s v="A36 / S275JR"/>
    <x v="4"/>
    <m/>
    <x v="19"/>
    <m/>
    <n v="864"/>
    <n v="12.687840000000001"/>
  </r>
  <r>
    <x v="1"/>
    <s v="1E"/>
    <m/>
    <m/>
    <m/>
    <s v="DT34382"/>
    <m/>
    <s v="HSS, LEFT SIDE LASER POST, PC4100"/>
    <n v="1"/>
    <n v="1"/>
    <m/>
    <n v="10"/>
    <n v="10"/>
    <s v="Sub Assy."/>
    <s v="-"/>
    <x v="0"/>
    <m/>
    <x v="0"/>
    <m/>
    <m/>
    <m/>
  </r>
  <r>
    <x v="1"/>
    <m/>
    <s v="1E.1"/>
    <m/>
    <m/>
    <m/>
    <m/>
    <s v="PLATE, 116X76X6"/>
    <n v="1"/>
    <n v="1"/>
    <m/>
    <n v="0.41523359999999998"/>
    <n v="0.41523359999999998"/>
    <s v="Plate"/>
    <s v="ASTM A572 Gr. 50 / A516 Gr.70 / S355JR"/>
    <x v="1"/>
    <m/>
    <x v="10"/>
    <n v="76"/>
    <n v="116"/>
    <n v="0.45675695999999999"/>
  </r>
  <r>
    <x v="1"/>
    <m/>
    <s v="1E.2"/>
    <m/>
    <m/>
    <m/>
    <m/>
    <s v="HSS,100 X 80 X 5X 864 LG"/>
    <n v="1"/>
    <n v="1"/>
    <m/>
    <n v="11.5344"/>
    <n v="11.5344"/>
    <s v="Rec. Tube"/>
    <s v="A36 / S275JR"/>
    <x v="4"/>
    <m/>
    <x v="19"/>
    <m/>
    <n v="864"/>
    <n v="12.687840000000001"/>
  </r>
  <r>
    <x v="1"/>
    <s v="1F"/>
    <m/>
    <m/>
    <m/>
    <s v="—"/>
    <m/>
    <s v="CHANNEL, UPN200 X 464 LG"/>
    <n v="3"/>
    <n v="3"/>
    <m/>
    <n v="11.7392"/>
    <n v="35.217600000000004"/>
    <s v="Channel"/>
    <s v="A572 Gr. 50"/>
    <x v="1"/>
    <m/>
    <x v="13"/>
    <m/>
    <n v="464"/>
    <n v="38.739360000000005"/>
  </r>
  <r>
    <x v="1"/>
    <s v="1G"/>
    <m/>
    <m/>
    <m/>
    <s v="—"/>
    <m/>
    <s v="CHANNEL, UPN200 X 4321.175 LG"/>
    <n v="3"/>
    <n v="3"/>
    <m/>
    <n v="109.34660000000001"/>
    <n v="328.03980000000001"/>
    <s v="Channel"/>
    <s v="A572 Gr. 50"/>
    <x v="1"/>
    <m/>
    <x v="13"/>
    <m/>
    <n v="4322"/>
    <n v="360.84378000000004"/>
  </r>
  <r>
    <x v="1"/>
    <s v="1H"/>
    <m/>
    <m/>
    <m/>
    <s v="—"/>
    <m/>
    <s v="BAR, FLAT, 30 X 10 X 622 LG"/>
    <n v="4"/>
    <n v="4"/>
    <m/>
    <n v="1.4648099999999999"/>
    <n v="5.8592399999999998"/>
    <s v="Plate"/>
    <s v="A572 Gr. 50"/>
    <x v="1"/>
    <m/>
    <x v="1"/>
    <n v="30"/>
    <n v="622"/>
    <n v="6.4451640000000001"/>
  </r>
  <r>
    <x v="1"/>
    <s v="1I"/>
    <m/>
    <m/>
    <m/>
    <s v="—"/>
    <m/>
    <s v="COUPLING, HALF, 3/4&quot; NPT"/>
    <n v="5"/>
    <n v="5"/>
    <m/>
    <n v="0.1"/>
    <n v="0.5"/>
    <s v="BOP"/>
    <s v="—"/>
    <x v="0"/>
    <m/>
    <x v="0"/>
    <m/>
    <m/>
    <m/>
  </r>
  <r>
    <x v="1"/>
    <s v="1J"/>
    <m/>
    <m/>
    <m/>
    <s v="—"/>
    <m/>
    <s v="CHANNEL, UPN200 X 3025 LG"/>
    <n v="3"/>
    <n v="3"/>
    <m/>
    <n v="76.532499999999999"/>
    <n v="229.5975"/>
    <s v="Channel"/>
    <s v="A572 Gr. 50"/>
    <x v="1"/>
    <m/>
    <x v="13"/>
    <m/>
    <n v="3025"/>
    <n v="252.55725000000001"/>
  </r>
  <r>
    <x v="1"/>
    <s v="1K"/>
    <m/>
    <m/>
    <m/>
    <s v="AY30014"/>
    <m/>
    <s v="WELDMENT, HINGED FLOOR MNT, PC4100"/>
    <n v="1"/>
    <n v="1"/>
    <m/>
    <n v="11"/>
    <n v="11"/>
    <s v="Sub Assy."/>
    <s v="-"/>
    <x v="0"/>
    <m/>
    <x v="0"/>
    <m/>
    <m/>
    <m/>
  </r>
  <r>
    <x v="1"/>
    <m/>
    <s v="1K.1"/>
    <m/>
    <m/>
    <s v="DT34373"/>
    <m/>
    <s v="PLATE, HINGED FLOOR FORMING CAP, PC4100"/>
    <n v="2"/>
    <n v="2"/>
    <m/>
    <n v="1"/>
    <n v="2"/>
    <s v="Plate"/>
    <s v="A572 Gr. 50"/>
    <x v="1"/>
    <m/>
    <x v="1"/>
    <n v="83"/>
    <n v="119"/>
    <n v="1.7057579"/>
  </r>
  <r>
    <x v="1"/>
    <m/>
    <s v="1K.2"/>
    <m/>
    <m/>
    <s v="DT34374"/>
    <m/>
    <s v="PLATE, HINGED FLOOR MNT, PC4100"/>
    <n v="2"/>
    <n v="2"/>
    <m/>
    <n v="1"/>
    <n v="2"/>
    <s v="Plate"/>
    <s v="A572 Gr. 50"/>
    <x v="1"/>
    <m/>
    <x v="1"/>
    <n v="75"/>
    <n v="119"/>
    <n v="1.5413475000000001"/>
  </r>
  <r>
    <x v="1"/>
    <m/>
    <s v="1K.3"/>
    <m/>
    <m/>
    <s v="DT34339"/>
    <m/>
    <s v="PLATE, HINGE FLOOR MOUNT SHORT, PC4100"/>
    <n v="2"/>
    <n v="2"/>
    <m/>
    <n v="0.25905"/>
    <n v="0.5181"/>
    <s v="Plate"/>
    <s v="A572 Gr. 50"/>
    <x v="1"/>
    <m/>
    <x v="1"/>
    <n v="44"/>
    <n v="75"/>
    <n v="0.56991000000000003"/>
  </r>
  <r>
    <x v="1"/>
    <m/>
    <s v="1K.4"/>
    <m/>
    <m/>
    <s v="DT34366"/>
    <m/>
    <s v="BAR, RD, 12 x 25 LG, PC4100"/>
    <n v="2"/>
    <n v="2"/>
    <m/>
    <n v="0.02"/>
    <n v="0.04"/>
    <s v="Rod"/>
    <s v="A36/275JR"/>
    <x v="2"/>
    <m/>
    <x v="20"/>
    <m/>
    <n v="25"/>
    <n v="0.29315000000000002"/>
  </r>
  <r>
    <x v="1"/>
    <m/>
    <s v="1K.5"/>
    <m/>
    <m/>
    <s v="DT34379"/>
    <m/>
    <s v="PLATE, 6 x 232 x 749, PC4100"/>
    <n v="1"/>
    <n v="1"/>
    <m/>
    <n v="8"/>
    <n v="8"/>
    <s v="Plate"/>
    <s v="ASTM A572 Gr. 50 /A516 Gr.70/S355JR"/>
    <x v="1"/>
    <m/>
    <x v="10"/>
    <n v="232"/>
    <n v="749"/>
    <n v="9.0029200800000009"/>
  </r>
  <r>
    <x v="2"/>
    <n v="2"/>
    <m/>
    <m/>
    <m/>
    <s v="AY30017"/>
    <s v="A"/>
    <s v="WELDMENT, FALSE FLOOR, PC4100"/>
    <n v="2"/>
    <n v="2"/>
    <m/>
    <n v="65"/>
    <n v="130"/>
    <s v="Main Assy."/>
    <m/>
    <x v="0"/>
    <m/>
    <x v="0"/>
    <m/>
    <m/>
    <n v="149.49658856000002"/>
  </r>
  <r>
    <x v="2"/>
    <m/>
    <n v="2.1"/>
    <m/>
    <m/>
    <m/>
    <m/>
    <s v="UPN200 X 740 LG"/>
    <n v="3"/>
    <n v="6"/>
    <m/>
    <n v="18.722000000000001"/>
    <n v="112.33200000000001"/>
    <s v="Channel"/>
    <s v="A572 Gr. 50"/>
    <x v="1"/>
    <m/>
    <x v="13"/>
    <m/>
    <n v="740"/>
    <n v="123.56520000000003"/>
  </r>
  <r>
    <x v="2"/>
    <m/>
    <n v="2.2000000000000002"/>
    <m/>
    <m/>
    <s v="DT34447"/>
    <m/>
    <s v="POSITIONING CAP. FALSE FLOOR"/>
    <n v="2"/>
    <n v="4"/>
    <m/>
    <n v="3"/>
    <n v="12"/>
    <s v="Plate"/>
    <s v="ASTM A516 Gr. 70/S275JR"/>
    <x v="2"/>
    <m/>
    <x v="21"/>
    <n v="51"/>
    <n v="629"/>
    <n v="17.728138559999998"/>
  </r>
  <r>
    <x v="2"/>
    <m/>
    <n v="2.2999999999999998"/>
    <m/>
    <m/>
    <s v="DT34448"/>
    <m/>
    <s v="RIB, FALSE FLOOR, PC4100"/>
    <n v="1"/>
    <n v="2"/>
    <m/>
    <n v="3"/>
    <n v="6"/>
    <s v="Plate"/>
    <s v="ASTM A516 Gr. 70/S275JR"/>
    <x v="2"/>
    <m/>
    <x v="1"/>
    <n v="76"/>
    <n v="625"/>
    <n v="8.2032500000000006"/>
  </r>
  <r>
    <x v="3"/>
    <n v="3"/>
    <m/>
    <m/>
    <m/>
    <s v="AY30018"/>
    <s v="A"/>
    <s v="WELDMENT, HINGED FLOOR, PC4100"/>
    <n v="1"/>
    <n v="1"/>
    <m/>
    <n v="27"/>
    <n v="27"/>
    <s v="Main Assy."/>
    <m/>
    <x v="0"/>
    <m/>
    <x v="0"/>
    <m/>
    <m/>
    <n v="29.666871520000001"/>
  </r>
  <r>
    <x v="3"/>
    <m/>
    <n v="3.1"/>
    <m/>
    <m/>
    <s v="DT34407"/>
    <m/>
    <s v="PLATE 6 X 622 X854, PC4100"/>
    <n v="1"/>
    <n v="1"/>
    <m/>
    <n v="26"/>
    <n v="26"/>
    <s v="Plate"/>
    <s v="ASTM A572 GR.50/S355JR"/>
    <x v="1"/>
    <m/>
    <x v="10"/>
    <n v="622"/>
    <n v="854"/>
    <n v="28.6"/>
  </r>
  <r>
    <x v="3"/>
    <m/>
    <n v="3.2"/>
    <m/>
    <m/>
    <s v="DT34380"/>
    <m/>
    <s v="PLATE, HINGED FLOOR CONNECTION, PC4100"/>
    <n v="2"/>
    <n v="2"/>
    <m/>
    <n v="0.4"/>
    <n v="0.8"/>
    <s v="Plate"/>
    <s v="A572 Gr. 50"/>
    <x v="1"/>
    <m/>
    <x v="1"/>
    <n v="57.2"/>
    <n v="108"/>
    <n v="1.0668715200000001"/>
  </r>
  <r>
    <x v="4"/>
    <n v="4"/>
    <m/>
    <m/>
    <m/>
    <s v="AY30027"/>
    <s v="A"/>
    <s v="WELDMENT, HINGED FLOOR, PC4100"/>
    <n v="23"/>
    <n v="23"/>
    <m/>
    <n v="19.8"/>
    <n v="455.40000000000003"/>
    <s v="Main Assy."/>
    <m/>
    <x v="0"/>
    <m/>
    <x v="0"/>
    <m/>
    <m/>
    <n v="490.53806438999999"/>
  </r>
  <r>
    <x v="4"/>
    <m/>
    <n v="4.0999999999999996"/>
    <m/>
    <m/>
    <s v="DT34439"/>
    <m/>
    <s v="PLATE, HINGED FLOOR DECK FORMING, PC4100"/>
    <n v="1"/>
    <n v="23"/>
    <m/>
    <n v="17"/>
    <n v="391"/>
    <s v="Plate"/>
    <s v="ASTM A572 Gr. 50 / S355JR OR A516 Gr.70"/>
    <x v="1"/>
    <m/>
    <x v="10"/>
    <n v="597"/>
    <n v="603"/>
    <n v="428.97607533000001"/>
  </r>
  <r>
    <x v="4"/>
    <m/>
    <n v="4.3"/>
    <m/>
    <m/>
    <s v="DT34380"/>
    <m/>
    <s v="PLATE, HINGED FLOOR CONNECTION, PC4100"/>
    <n v="2"/>
    <n v="46"/>
    <m/>
    <n v="0.4"/>
    <n v="18.400000000000002"/>
    <s v="Plate"/>
    <s v="A572 Gr. 50"/>
    <x v="1"/>
    <m/>
    <x v="1"/>
    <n v="57.2"/>
    <n v="108"/>
    <n v="24.538044960000001"/>
  </r>
  <r>
    <x v="4"/>
    <m/>
    <n v="4.3"/>
    <m/>
    <m/>
    <m/>
    <m/>
    <s v="PLATE, 13 X 10 X 724 LG."/>
    <n v="1"/>
    <n v="23"/>
    <m/>
    <n v="0.73884199999999989"/>
    <n v="16.993365999999998"/>
    <s v="Plate"/>
    <s v="G40.21-44W / A572 G50"/>
    <x v="1"/>
    <m/>
    <x v="1"/>
    <n v="13"/>
    <n v="724"/>
    <n v="18.692702600000001"/>
  </r>
  <r>
    <x v="4"/>
    <m/>
    <n v="4.4000000000000004"/>
    <m/>
    <m/>
    <m/>
    <m/>
    <s v="PLATE, 13 X 10 X 355 LG"/>
    <n v="2"/>
    <n v="46"/>
    <m/>
    <n v="0.36227749999999997"/>
    <n v="16.664764999999999"/>
    <s v="Plate"/>
    <s v="G40.21-44W / A572 G50"/>
    <x v="1"/>
    <m/>
    <x v="1"/>
    <n v="13"/>
    <n v="355"/>
    <n v="18.331241499999997"/>
  </r>
  <r>
    <x v="5"/>
    <n v="5"/>
    <m/>
    <m/>
    <m/>
    <s v="AY30062"/>
    <s v="A"/>
    <s v="WELDMENT, SAFETY BAR, PC4100"/>
    <n v="1"/>
    <n v="1"/>
    <m/>
    <n v="21"/>
    <n v="21"/>
    <s v="Main Assy."/>
    <m/>
    <x v="0"/>
    <m/>
    <x v="0"/>
    <m/>
    <m/>
    <n v="25.182289000000004"/>
  </r>
  <r>
    <x v="5"/>
    <m/>
    <n v="5.0999999999999996"/>
    <m/>
    <m/>
    <m/>
    <m/>
    <s v="PIPE,3.5SCH 80 X 965 LG"/>
    <n v="1"/>
    <n v="1"/>
    <m/>
    <n v="17.9876"/>
    <n v="17.9876"/>
    <s v="Pipe"/>
    <s v="A.S.T.M. A106 GR.B"/>
    <x v="3"/>
    <m/>
    <x v="9"/>
    <m/>
    <n v="965"/>
    <n v="19.786360000000002"/>
  </r>
  <r>
    <x v="5"/>
    <m/>
    <n v="5.2"/>
    <m/>
    <m/>
    <s v="DT34474"/>
    <m/>
    <s v="PLATE,SAFETY BAR CAP, PC4100"/>
    <n v="2"/>
    <n v="2"/>
    <m/>
    <n v="1.2"/>
    <n v="2.4"/>
    <s v="Plate"/>
    <s v="A572 Gr. 50"/>
    <x v="1"/>
    <m/>
    <x v="1"/>
    <n v="140"/>
    <n v="140"/>
    <n v="3.3849200000000002"/>
  </r>
  <r>
    <x v="5"/>
    <m/>
    <n v="5.3"/>
    <m/>
    <m/>
    <s v="DT34475"/>
    <m/>
    <s v="HANDLE, SAFETY BAR, PC4100_x000a_BAR, ROUND, 12"/>
    <n v="1"/>
    <n v="1"/>
    <m/>
    <n v="0.3"/>
    <n v="0.3"/>
    <s v="Rod"/>
    <s v="A36/S275JR"/>
    <x v="2"/>
    <m/>
    <x v="20"/>
    <m/>
    <n v="343"/>
    <n v="2.011009"/>
  </r>
  <r>
    <x v="6"/>
    <n v="6"/>
    <m/>
    <m/>
    <m/>
    <s v="AY30084"/>
    <s v="A"/>
    <s v="HAND RAIL,WELDMENT,42&quot; CATWALK, PC4100"/>
    <n v="4"/>
    <n v="4"/>
    <m/>
    <n v="19"/>
    <n v="76"/>
    <s v="Main Assy."/>
    <m/>
    <x v="0"/>
    <m/>
    <x v="0"/>
    <m/>
    <m/>
    <n v="97.840600000000009"/>
  </r>
  <r>
    <x v="6"/>
    <m/>
    <n v="6.1"/>
    <m/>
    <m/>
    <m/>
    <m/>
    <s v="HSS, 40 X 40 X 5 X 965 LG"/>
    <n v="1"/>
    <n v="4"/>
    <m/>
    <n v="5.3075000000000001"/>
    <n v="21.23"/>
    <s v="Sq. Tube"/>
    <s v="ASTM A500 GR B"/>
    <x v="4"/>
    <m/>
    <x v="22"/>
    <m/>
    <n v="965"/>
    <n v="23.353000000000002"/>
  </r>
  <r>
    <x v="6"/>
    <m/>
    <n v="6.2"/>
    <m/>
    <m/>
    <m/>
    <m/>
    <s v="HSS, 40 X 40 X 5 X 1113 LG"/>
    <n v="1"/>
    <n v="4"/>
    <m/>
    <n v="6.1215000000000002"/>
    <n v="24.486000000000001"/>
    <s v="Sq. Tube"/>
    <s v="ASTM A500 GR B"/>
    <x v="4"/>
    <m/>
    <x v="22"/>
    <m/>
    <n v="1113"/>
    <n v="26.934600000000003"/>
  </r>
  <r>
    <x v="6"/>
    <m/>
    <n v="6.3"/>
    <m/>
    <m/>
    <m/>
    <m/>
    <s v="HSS, 40 X 40 X 5 X 926 LG"/>
    <n v="1"/>
    <n v="4"/>
    <m/>
    <n v="5.093"/>
    <n v="20.372"/>
    <s v="Sq. Tube"/>
    <s v="ASTM A500 GR B"/>
    <x v="4"/>
    <m/>
    <x v="22"/>
    <m/>
    <n v="926"/>
    <n v="22.409200000000002"/>
  </r>
  <r>
    <x v="6"/>
    <m/>
    <n v="6.4"/>
    <m/>
    <m/>
    <m/>
    <m/>
    <s v="HSS, 40 X 40 X 5 X 1039 LG"/>
    <n v="1"/>
    <n v="4"/>
    <m/>
    <n v="5.7144999999999992"/>
    <n v="22.857999999999997"/>
    <s v="Sq. Tube"/>
    <s v="ASTM A500 GR B"/>
    <x v="4"/>
    <m/>
    <x v="22"/>
    <m/>
    <n v="1039"/>
    <n v="25.143799999999999"/>
  </r>
  <r>
    <x v="7"/>
    <n v="7"/>
    <m/>
    <m/>
    <m/>
    <s v="AY30107"/>
    <s v="A"/>
    <s v="WELDMENT,SKATE BODY, REVERSE VEE, PC4100"/>
    <n v="1"/>
    <n v="1"/>
    <m/>
    <n v="80"/>
    <n v="80"/>
    <s v="Main Assy."/>
    <m/>
    <x v="0"/>
    <m/>
    <x v="0"/>
    <m/>
    <m/>
    <n v="137.44273372499998"/>
  </r>
  <r>
    <x v="7"/>
    <m/>
    <n v="7.1"/>
    <m/>
    <m/>
    <s v="DT34574"/>
    <m/>
    <s v="SKATE MID RIB, PC4100"/>
    <n v="1"/>
    <n v="1"/>
    <m/>
    <n v="36.5"/>
    <n v="36.5"/>
    <s v="Plate"/>
    <s v="A36/S275JR/SA 516 GR.70"/>
    <x v="2"/>
    <m/>
    <x v="5"/>
    <n v="279"/>
    <n v="1275"/>
    <n v="76.792134375000003"/>
  </r>
  <r>
    <x v="7"/>
    <m/>
    <n v="7.2"/>
    <m/>
    <m/>
    <s v="DT34573"/>
    <m/>
    <s v="PIPE PUSHER, PC4100"/>
    <n v="1"/>
    <n v="1"/>
    <m/>
    <n v="14"/>
    <n v="14"/>
    <s v="Plate"/>
    <s v="A36/S275JR/SA 516 GR.70"/>
    <x v="2"/>
    <m/>
    <x v="5"/>
    <n v="203"/>
    <n v="406"/>
    <n v="17.791985749999998"/>
  </r>
  <r>
    <x v="7"/>
    <m/>
    <n v="7.3"/>
    <m/>
    <m/>
    <s v="DT34572"/>
    <m/>
    <s v="SKID PAD MOUNT, PC4100"/>
    <n v="2"/>
    <n v="2"/>
    <m/>
    <n v="14"/>
    <n v="28"/>
    <s v="Plate"/>
    <s v="A36/S275JR/SA 516 GR.70"/>
    <x v="2"/>
    <m/>
    <x v="3"/>
    <n v="152"/>
    <n v="738"/>
    <n v="38.745590400000005"/>
  </r>
  <r>
    <x v="7"/>
    <m/>
    <n v="7.4"/>
    <m/>
    <m/>
    <s v="DT34571"/>
    <m/>
    <s v="PLATE, SKATE REVERSED VEE, PC4100"/>
    <n v="2"/>
    <n v="2"/>
    <m/>
    <n v="1"/>
    <n v="2"/>
    <s v="Plate"/>
    <s v="A572 Gr. 50"/>
    <x v="1"/>
    <m/>
    <x v="1"/>
    <n v="104"/>
    <n v="229"/>
    <n v="4.1130231999999998"/>
  </r>
  <r>
    <x v="8"/>
    <n v="8"/>
    <m/>
    <m/>
    <m/>
    <s v="AY30133"/>
    <s v="A"/>
    <s v="WELDMENT,RAMPRAIL, PC4100"/>
    <n v="1"/>
    <n v="1"/>
    <m/>
    <n v="113.7"/>
    <n v="113.7"/>
    <s v="Main Assy."/>
    <m/>
    <x v="0"/>
    <m/>
    <x v="0"/>
    <m/>
    <m/>
    <n v="137.03074000000001"/>
  </r>
  <r>
    <x v="8"/>
    <m/>
    <n v="8.1"/>
    <m/>
    <m/>
    <m/>
    <m/>
    <s v="HSS 50x50x5x12187 LG"/>
    <n v="1"/>
    <n v="1"/>
    <m/>
    <n v="86.162089999999992"/>
    <n v="86.162089999999992"/>
    <s v="Sq. Tube"/>
    <s v="ASTM A516 Gr. 70/S275JR"/>
    <x v="4"/>
    <m/>
    <x v="18"/>
    <m/>
    <n v="12187"/>
    <n v="94.778299000000004"/>
  </r>
  <r>
    <x v="8"/>
    <m/>
    <n v="8.1999999999999993"/>
    <m/>
    <m/>
    <m/>
    <m/>
    <s v="HSS 50x50x5x219 LG"/>
    <n v="2"/>
    <n v="2"/>
    <m/>
    <n v="1.5483300000000002"/>
    <n v="3.0966600000000004"/>
    <s v="Sq. Tube"/>
    <s v="ASTM A516 Gr. 70/S275JR"/>
    <x v="4"/>
    <m/>
    <x v="18"/>
    <m/>
    <n v="219"/>
    <n v="3.4063260000000009"/>
  </r>
  <r>
    <x v="8"/>
    <m/>
    <n v="8.3000000000000007"/>
    <m/>
    <m/>
    <m/>
    <m/>
    <s v="HSS 50x50x5x87 LG"/>
    <n v="2"/>
    <n v="2"/>
    <m/>
    <n v="0.61509000000000003"/>
    <n v="1.2301800000000001"/>
    <s v="Sq. Tube"/>
    <s v="ASTM A516 Gr. 70/S275JR"/>
    <x v="4"/>
    <m/>
    <x v="18"/>
    <m/>
    <n v="87"/>
    <n v="1.3531980000000001"/>
  </r>
  <r>
    <x v="8"/>
    <m/>
    <n v="8.4"/>
    <m/>
    <m/>
    <m/>
    <m/>
    <s v="HSS 50x50x5x191 LG"/>
    <n v="17"/>
    <n v="17"/>
    <m/>
    <n v="1.3503700000000001"/>
    <n v="22.956290000000003"/>
    <s v="Sq. Tube"/>
    <s v="ASTM A516 Gr. 70/S275JR"/>
    <x v="4"/>
    <m/>
    <x v="18"/>
    <m/>
    <n v="191"/>
    <n v="25.251919000000004"/>
  </r>
  <r>
    <x v="8"/>
    <m/>
    <n v="8.5"/>
    <m/>
    <m/>
    <m/>
    <m/>
    <s v="HSS 50x50x5x397 LG"/>
    <n v="2"/>
    <n v="2"/>
    <m/>
    <n v="2.8067899999999999"/>
    <n v="5.6135799999999998"/>
    <s v="Sq. Tube"/>
    <s v="ASTM A516 Gr. 70/S275JR"/>
    <x v="4"/>
    <m/>
    <x v="18"/>
    <m/>
    <n v="397"/>
    <n v="6.174938"/>
  </r>
  <r>
    <x v="8"/>
    <m/>
    <n v="8.6"/>
    <m/>
    <m/>
    <m/>
    <m/>
    <s v="HSS 50x50x5x410 LG"/>
    <n v="1"/>
    <n v="1"/>
    <m/>
    <n v="2.8987000000000003"/>
    <n v="2.8987000000000003"/>
    <s v="Sq. Tube"/>
    <s v="ASTM A516 Gr. 70/S275JR"/>
    <x v="4"/>
    <m/>
    <x v="18"/>
    <m/>
    <n v="410"/>
    <n v="3.1885700000000003"/>
  </r>
  <r>
    <x v="8"/>
    <m/>
    <n v="8.6999999999999993"/>
    <m/>
    <m/>
    <m/>
    <m/>
    <s v="HSS 50x50x5x51 LG"/>
    <n v="1"/>
    <n v="1"/>
    <m/>
    <n v="0.36057"/>
    <n v="0.36057"/>
    <s v="Sq. Tube"/>
    <s v="ASTM A516 Gr. 70/S275JR"/>
    <x v="4"/>
    <m/>
    <x v="18"/>
    <m/>
    <n v="51"/>
    <n v="0.39662700000000001"/>
  </r>
  <r>
    <x v="8"/>
    <m/>
    <n v="8.8000000000000007"/>
    <m/>
    <m/>
    <m/>
    <m/>
    <s v="HSS 50x50x5x319 LG"/>
    <n v="1"/>
    <n v="1"/>
    <m/>
    <n v="2.2553299999999998"/>
    <n v="2.2553299999999998"/>
    <s v="Sq. Tube"/>
    <s v="ASTM A516 Gr. 70/S275JR"/>
    <x v="4"/>
    <m/>
    <x v="18"/>
    <m/>
    <n v="319"/>
    <n v="2.4808629999999998"/>
  </r>
  <r>
    <x v="9"/>
    <n v="9"/>
    <m/>
    <m/>
    <m/>
    <s v="AY30134"/>
    <s v="A"/>
    <s v="WELDMENT, RAMP, SHEAVE SUB B, PC4100"/>
    <n v="1"/>
    <n v="1"/>
    <m/>
    <n v="363"/>
    <n v="363"/>
    <s v="Main Assy."/>
    <m/>
    <x v="0"/>
    <m/>
    <x v="0"/>
    <m/>
    <m/>
    <n v="676.85076646000027"/>
  </r>
  <r>
    <x v="9"/>
    <m/>
    <n v="9.1"/>
    <m/>
    <m/>
    <s v="DT27245"/>
    <m/>
    <s v="WELDMENT, RAMP SHEAVE SUB, PC4100"/>
    <n v="1"/>
    <n v="1"/>
    <m/>
    <n v="177"/>
    <n v="177"/>
    <s v="Sub Assy."/>
    <s v="-"/>
    <x v="0"/>
    <m/>
    <x v="0"/>
    <m/>
    <m/>
    <m/>
  </r>
  <r>
    <x v="9"/>
    <m/>
    <m/>
    <s v="9.1.1"/>
    <m/>
    <m/>
    <m/>
    <s v="PLATE, 15/32 X 8 X 14 [12 X 203 X 356]"/>
    <n v="1"/>
    <n v="1"/>
    <m/>
    <n v="6.1268810399999998"/>
    <n v="6.1268810399999998"/>
    <s v="Plate"/>
    <s v="G40.21-44W / ASTM A572 G50"/>
    <x v="1"/>
    <m/>
    <x v="2"/>
    <n v="203"/>
    <n v="356"/>
    <n v="7.4884101600000008"/>
  </r>
  <r>
    <x v="9"/>
    <m/>
    <m/>
    <s v="9.1.2"/>
    <m/>
    <m/>
    <m/>
    <s v="PLATE, 3/4 X 24 1/32 X 46 3/8 [20 X 610 X 1178]"/>
    <n v="2"/>
    <n v="2"/>
    <m/>
    <n v="54.152188799999998"/>
    <n v="108.3043776"/>
    <s v="Plate"/>
    <s v="G40.21-44W / ASTM A572 G50"/>
    <x v="1"/>
    <m/>
    <x v="3"/>
    <n v="610"/>
    <n v="1178"/>
    <n v="248.19753200000002"/>
  </r>
  <r>
    <x v="9"/>
    <m/>
    <m/>
    <s v="9.1.3"/>
    <m/>
    <m/>
    <m/>
    <s v="PLATE, 3/4 X 24 1/32 X 51 7/8 [20 X 610 X 1318]"/>
    <n v="1"/>
    <n v="1"/>
    <m/>
    <n v="60.587932799999997"/>
    <n v="60.587932799999997"/>
    <s v="Plate"/>
    <s v="G40.21-44W / ASTM A572 G50"/>
    <x v="1"/>
    <m/>
    <x v="3"/>
    <n v="610"/>
    <n v="1318"/>
    <n v="138.84734600000002"/>
  </r>
  <r>
    <x v="9"/>
    <m/>
    <m/>
    <s v="9.1.4"/>
    <m/>
    <m/>
    <m/>
    <s v="PLATE, 1/2 X 2 X 12 [12 X 51 X 305]"/>
    <n v="3"/>
    <n v="3"/>
    <m/>
    <n v="1.3187528999999998"/>
    <n v="3.9562586999999994"/>
    <s v="Plate"/>
    <s v="G40.21-44W / ASTM A572 G50"/>
    <x v="1"/>
    <m/>
    <x v="2"/>
    <n v="51"/>
    <n v="305"/>
    <n v="4.8354272999999992"/>
  </r>
  <r>
    <x v="9"/>
    <m/>
    <m/>
    <s v="9.1.5"/>
    <m/>
    <m/>
    <m/>
    <s v="PLATE, 1/2 X 4 X 4 [13 X 102 X 102]"/>
    <n v="2"/>
    <n v="2"/>
    <m/>
    <n v="0.88205111999999997"/>
    <n v="1.7641022399999999"/>
    <s v="Plate"/>
    <s v="G40.21-44W / ASTM A572 G50"/>
    <x v="1"/>
    <m/>
    <x v="2"/>
    <n v="102"/>
    <n v="102"/>
    <n v="2.1561249600000001"/>
  </r>
  <r>
    <x v="9"/>
    <m/>
    <n v="9.1999999999999993"/>
    <m/>
    <m/>
    <s v="DT34621"/>
    <m/>
    <s v="PLATE, RAMP TOP CAP GUSSET, PC41000"/>
    <n v="2"/>
    <n v="2"/>
    <m/>
    <n v="15.2"/>
    <n v="30.4"/>
    <s v="Plate"/>
    <s v="A572 Gr. 50"/>
    <x v="1"/>
    <m/>
    <x v="2"/>
    <n v="467"/>
    <n v="513"/>
    <n v="49.648694040000002"/>
  </r>
  <r>
    <x v="9"/>
    <m/>
    <n v="9.3000000000000007"/>
    <m/>
    <m/>
    <s v="DT34622"/>
    <m/>
    <s v="PLATE, RAMP ROLL END CAP, PC4100"/>
    <n v="2"/>
    <n v="2"/>
    <m/>
    <n v="4.4000000000000004"/>
    <n v="8.8000000000000007"/>
    <s v="Plate"/>
    <s v="A572 Gr. 50"/>
    <x v="1"/>
    <m/>
    <x v="2"/>
    <n v="228"/>
    <n v="279"/>
    <n v="13.18295088"/>
  </r>
  <r>
    <x v="9"/>
    <m/>
    <n v="9.4"/>
    <m/>
    <m/>
    <s v="DT34623"/>
    <m/>
    <s v="PLATE, RAMP TOP CAP, PC4100"/>
    <n v="2"/>
    <n v="2"/>
    <m/>
    <n v="19"/>
    <n v="38"/>
    <s v="Plate"/>
    <s v="A572 Gr. 50"/>
    <x v="1"/>
    <m/>
    <x v="2"/>
    <n v="457"/>
    <n v="694"/>
    <n v="65.727823920000006"/>
  </r>
  <r>
    <x v="9"/>
    <m/>
    <n v="9.5"/>
    <m/>
    <m/>
    <s v="DT34624"/>
    <m/>
    <s v="PLATE, TOP ROLLER BEARING SUPPORT, PC4100"/>
    <n v="2"/>
    <n v="2"/>
    <m/>
    <n v="21"/>
    <n v="42"/>
    <s v="Plate"/>
    <s v="A36/S275JR/SA 516 GR.70"/>
    <x v="2"/>
    <m/>
    <x v="3"/>
    <n v="381"/>
    <n v="485"/>
    <n v="63.824739000000001"/>
  </r>
  <r>
    <x v="9"/>
    <m/>
    <n v="9.6"/>
    <m/>
    <m/>
    <s v="DT34625"/>
    <m/>
    <s v="PLATE, RAMP ROLLER GUSSET, PC4100"/>
    <n v="2"/>
    <n v="2"/>
    <m/>
    <n v="2.2999999999999998"/>
    <n v="4.5999999999999996"/>
    <s v="Plate"/>
    <s v="A36/S275JR/SA 516 GR.70"/>
    <x v="2"/>
    <m/>
    <x v="5"/>
    <n v="108"/>
    <n v="167"/>
    <n v="7.7870429999999997"/>
  </r>
  <r>
    <x v="9"/>
    <m/>
    <n v="9.7000000000000099"/>
    <m/>
    <m/>
    <s v="DT34626"/>
    <m/>
    <s v="PLATE, RAMP TOP ROLLER GUSSET, PC4100"/>
    <n v="2"/>
    <n v="2"/>
    <m/>
    <n v="1.7"/>
    <n v="3.4"/>
    <s v="Plate"/>
    <s v="A572 Gr. 50"/>
    <x v="1"/>
    <m/>
    <x v="2"/>
    <n v="176"/>
    <n v="176"/>
    <n v="6.4194662400000002"/>
  </r>
  <r>
    <x v="9"/>
    <m/>
    <n v="9.8000000000000096"/>
    <m/>
    <m/>
    <s v="-"/>
    <m/>
    <s v="PIPE, 6&quot; SCH80 X 54&quot; LONG"/>
    <n v="1"/>
    <n v="1"/>
    <m/>
    <n v="58.4"/>
    <n v="58.4"/>
    <s v="Pipe"/>
    <s v="A.S.T.M. A106 GR. B"/>
    <x v="3"/>
    <m/>
    <x v="14"/>
    <m/>
    <n v="1371.6"/>
    <n v="64.240000000000009"/>
  </r>
  <r>
    <x v="9"/>
    <m/>
    <n v="9.9000000000000092"/>
    <m/>
    <m/>
    <s v="-"/>
    <m/>
    <s v="PIPE, 2&quot; SCH.40, 2.0 LONG"/>
    <n v="2"/>
    <n v="2"/>
    <m/>
    <n v="0.13817600000000002"/>
    <n v="0.27635200000000004"/>
    <s v="Pipe"/>
    <s v="G40.21-44W / A572 G50"/>
    <x v="3"/>
    <m/>
    <x v="23"/>
    <m/>
    <n v="50.8"/>
    <n v="0.30398720000000007"/>
  </r>
  <r>
    <x v="9"/>
    <m/>
    <n v="9.1"/>
    <m/>
    <m/>
    <s v="-"/>
    <m/>
    <s v="PLATE, 13 x 32 x 127 [1/2 x 1 1/4 x 5]"/>
    <n v="2"/>
    <n v="2"/>
    <m/>
    <n v="0.38282879999999997"/>
    <n v="0.76565759999999994"/>
    <s v="Plate"/>
    <s v="ASTM A572-50 / Q345"/>
    <x v="1"/>
    <m/>
    <x v="2"/>
    <n v="32"/>
    <n v="127"/>
    <n v="0.84222335999999998"/>
  </r>
  <r>
    <x v="9"/>
    <m/>
    <n v="9.11"/>
    <m/>
    <m/>
    <s v="-"/>
    <m/>
    <s v="PLATE, 13 x 101 x 160 [1/2 x 4 x 6 5/16]"/>
    <n v="2"/>
    <n v="2"/>
    <m/>
    <n v="1.5222719999999998"/>
    <n v="3.0445439999999997"/>
    <s v="Plate"/>
    <s v="ASTM A572-50 / Q345"/>
    <x v="1"/>
    <m/>
    <x v="2"/>
    <n v="101"/>
    <n v="160"/>
    <n v="3.3489984000000002"/>
  </r>
  <r>
    <x v="10"/>
    <n v="10"/>
    <m/>
    <m/>
    <m/>
    <s v="AY30144"/>
    <s v="A"/>
    <s v="WELDMENT, 30 FT LIFT ARM, PC4100"/>
    <n v="1"/>
    <n v="1"/>
    <m/>
    <n v="1095"/>
    <n v="1095"/>
    <s v="Main Assy."/>
    <m/>
    <x v="0"/>
    <m/>
    <x v="0"/>
    <m/>
    <m/>
    <n v="1354.6605335999998"/>
  </r>
  <r>
    <x v="10"/>
    <m/>
    <n v="10.1"/>
    <m/>
    <m/>
    <s v="DT34647"/>
    <m/>
    <s v="PLATE, LIFT ARM RIB GUSSET, PC4100"/>
    <n v="14"/>
    <n v="14"/>
    <m/>
    <n v="5"/>
    <n v="70"/>
    <s v="Plate"/>
    <s v="A572 Gr. 50"/>
    <x v="1"/>
    <m/>
    <x v="1"/>
    <n v="305"/>
    <n v="318"/>
    <n v="117.251211"/>
  </r>
  <r>
    <x v="10"/>
    <m/>
    <n v="10.199999999999999"/>
    <m/>
    <m/>
    <s v="DT34648"/>
    <m/>
    <s v="PLATE, LIFT ARM LINK, PC4100"/>
    <n v="8"/>
    <n v="8"/>
    <m/>
    <n v="13"/>
    <n v="104"/>
    <s v="Plate"/>
    <s v="A36/S275JR/SA 516 GR.70"/>
    <x v="2"/>
    <m/>
    <x v="5"/>
    <n v="149"/>
    <n v="600"/>
    <n v="154.3938"/>
  </r>
  <r>
    <x v="10"/>
    <m/>
    <n v="10.3"/>
    <m/>
    <m/>
    <s v="DT34657"/>
    <m/>
    <s v="SET COLLAR, 2 IN, PC4100 _x000a_ROUND BAR, 76.20OD, 22.23 LG"/>
    <n v="6"/>
    <n v="6"/>
    <m/>
    <n v="0.4"/>
    <n v="2.4000000000000004"/>
    <s v="Rod"/>
    <s v="BROWNING SCS-2"/>
    <x v="5"/>
    <m/>
    <x v="24"/>
    <m/>
    <n v="22"/>
    <n v="2.6400000000000006"/>
  </r>
  <r>
    <x v="10"/>
    <m/>
    <n v="10.4"/>
    <m/>
    <m/>
    <s v="DT34649"/>
    <m/>
    <s v="HSS, LIFT ARM FRAME STIFFENER, PC4100"/>
    <n v="2"/>
    <n v="2"/>
    <m/>
    <n v="56.5"/>
    <n v="113"/>
    <s v="Sub Assy."/>
    <s v="-"/>
    <x v="0"/>
    <m/>
    <x v="0"/>
    <m/>
    <m/>
    <m/>
  </r>
  <r>
    <x v="10"/>
    <m/>
    <m/>
    <s v="10.4.1"/>
    <m/>
    <m/>
    <m/>
    <s v="HSS,150 X 80 X 10 X 1851 LG"/>
    <n v="1"/>
    <n v="2"/>
    <m/>
    <n v="55.632575000000003"/>
    <n v="111.26515000000001"/>
    <s v="Rec. Tube"/>
    <s v="EN 10025-2 S355J2"/>
    <x v="4"/>
    <m/>
    <x v="25"/>
    <m/>
    <n v="1851"/>
    <n v="122.39166500000002"/>
  </r>
  <r>
    <x v="10"/>
    <m/>
    <m/>
    <s v="10.4.2"/>
    <m/>
    <m/>
    <m/>
    <s v="PLATE, 10 THK, 85 X130"/>
    <n v="1"/>
    <n v="2"/>
    <m/>
    <n v="0.86742499999999989"/>
    <n v="1.7348499999999998"/>
    <s v="Plate"/>
    <s v="EN 10025-2 S355J2"/>
    <x v="1"/>
    <m/>
    <x v="1"/>
    <n v="85"/>
    <n v="130"/>
    <n v="1.9083349999999999"/>
  </r>
  <r>
    <x v="10"/>
    <m/>
    <n v="10.5"/>
    <m/>
    <m/>
    <s v="—"/>
    <m/>
    <s v="PLATE, 6 THK, 88.9 X 140 , PC4100"/>
    <n v="2"/>
    <n v="2"/>
    <m/>
    <n v="0.586866"/>
    <n v="1.173732"/>
    <s v="Plate"/>
    <s v="ASTM A516 Gr 70"/>
    <x v="2"/>
    <m/>
    <x v="10"/>
    <n v="89"/>
    <n v="140"/>
    <n v="1.2911052000000001"/>
  </r>
  <r>
    <x v="10"/>
    <m/>
    <n v="10.6"/>
    <m/>
    <m/>
    <s v="DT34650"/>
    <m/>
    <s v="PLATE, LIFT ARM CAP PLATE, PC4100"/>
    <n v="2"/>
    <n v="2"/>
    <m/>
    <n v="2"/>
    <n v="4"/>
    <s v="Plate"/>
    <s v="A572 Gr. 50"/>
    <x v="1"/>
    <m/>
    <x v="2"/>
    <n v="140"/>
    <n v="165"/>
    <n v="4.7872440000000003"/>
  </r>
  <r>
    <x v="10"/>
    <m/>
    <n v="10.7"/>
    <m/>
    <m/>
    <s v="DT34651"/>
    <m/>
    <s v="PLATE, LIFT ARM, PIPE GUIDE, PC4100"/>
    <n v="7"/>
    <n v="7"/>
    <m/>
    <n v="2"/>
    <n v="14"/>
    <s v="Plate"/>
    <s v="A572 Gr. 50"/>
    <x v="1"/>
    <m/>
    <x v="1"/>
    <n v="102"/>
    <n v="318"/>
    <n v="19.605940199999999"/>
  </r>
  <r>
    <x v="10"/>
    <m/>
    <n v="10.8"/>
    <m/>
    <m/>
    <s v="—"/>
    <m/>
    <s v="HSS 150 X 100 X 12 X 8682 LG, PC4100"/>
    <n v="2"/>
    <n v="2"/>
    <m/>
    <n v="369.67955999999998"/>
    <n v="739.35911999999996"/>
    <s v="Rec. Tube"/>
    <s v="EN 10025-2 S355J2"/>
    <x v="4"/>
    <m/>
    <x v="26"/>
    <m/>
    <n v="8682"/>
    <n v="813.29503199999999"/>
  </r>
  <r>
    <x v="10"/>
    <m/>
    <n v="10.9"/>
    <m/>
    <m/>
    <s v="DT34652"/>
    <m/>
    <s v="LIFT ARM COLLAR STOP PLATE, PC4100"/>
    <n v="2"/>
    <n v="2"/>
    <m/>
    <n v="0.4536"/>
    <n v="0.90720000000000001"/>
    <s v="Plate"/>
    <s v="ASTM A572 Gr. 50 / A516 Gr.70 / S355JR"/>
    <x v="1"/>
    <m/>
    <x v="3"/>
    <n v="101"/>
    <n v="178"/>
    <n v="6.2096011999999998"/>
  </r>
  <r>
    <x v="10"/>
    <m/>
    <n v="10.1"/>
    <m/>
    <m/>
    <s v="—"/>
    <m/>
    <s v="PIPE, 1&quot; SCH 160 x 3353 LG, PC4100"/>
    <n v="2"/>
    <n v="2"/>
    <m/>
    <n v="14.21672"/>
    <n v="28.433440000000001"/>
    <s v="Pipe"/>
    <s v="EN 10216-2 P265GH"/>
    <x v="3"/>
    <m/>
    <x v="6"/>
    <m/>
    <n v="3353"/>
    <n v="31.276784000000003"/>
  </r>
  <r>
    <x v="10"/>
    <m/>
    <n v="10.11"/>
    <m/>
    <m/>
    <s v="—"/>
    <m/>
    <s v="PIPE, 1&quot; SCH 160 x 4572 LG, PC4100"/>
    <n v="2"/>
    <n v="2"/>
    <m/>
    <n v="19.385280000000002"/>
    <n v="38.770560000000003"/>
    <s v="Pipe"/>
    <s v="EN 10216-2 P265GH"/>
    <x v="3"/>
    <m/>
    <x v="6"/>
    <m/>
    <n v="4572"/>
    <n v="42.647616000000006"/>
  </r>
  <r>
    <x v="10"/>
    <m/>
    <n v="10.119999999999999"/>
    <m/>
    <m/>
    <s v="H13386"/>
    <m/>
    <s v="COUPLING, 1, 6000, SKT WELD"/>
    <n v="3"/>
    <n v="3"/>
    <m/>
    <m/>
    <n v="0"/>
    <s v="BOP"/>
    <s v="—"/>
    <x v="0"/>
    <m/>
    <x v="0"/>
    <m/>
    <m/>
    <m/>
  </r>
  <r>
    <x v="10"/>
    <m/>
    <n v="10.130000000000001"/>
    <m/>
    <m/>
    <s v="—"/>
    <m/>
    <s v="PIPE, 1&quot; SCH 160 x 3048 LG, PC4100"/>
    <n v="1"/>
    <n v="1"/>
    <m/>
    <n v="12.92352"/>
    <n v="12.92352"/>
    <s v="Pipe"/>
    <s v="EN 10216-2 P265GH"/>
    <x v="3"/>
    <m/>
    <x v="6"/>
    <m/>
    <n v="3048"/>
    <n v="14.215872000000001"/>
  </r>
  <r>
    <x v="10"/>
    <m/>
    <n v="10.14"/>
    <m/>
    <m/>
    <s v="—"/>
    <m/>
    <s v="PIPE, 1&quot; SCH 160 x 4877 LG"/>
    <n v="1"/>
    <n v="1"/>
    <m/>
    <n v="20.67848"/>
    <n v="20.67848"/>
    <s v="Pipe"/>
    <s v="EN 10216-2 P265GH"/>
    <x v="3"/>
    <m/>
    <x v="6"/>
    <m/>
    <n v="4877"/>
    <n v="22.746328000000002"/>
  </r>
  <r>
    <x v="11"/>
    <n v="11"/>
    <m/>
    <m/>
    <m/>
    <s v="AY30150"/>
    <s v="A"/>
    <s v="WELDMENT, SPEAR FRAME, PC4100"/>
    <n v="1"/>
    <n v="1"/>
    <m/>
    <n v="69"/>
    <n v="69"/>
    <s v="Main Assy."/>
    <m/>
    <x v="0"/>
    <m/>
    <x v="0"/>
    <m/>
    <m/>
    <n v="83.987346079999995"/>
  </r>
  <r>
    <x v="11"/>
    <m/>
    <n v="11.1"/>
    <m/>
    <m/>
    <s v="DT34668"/>
    <m/>
    <s v="HSS, SPEAR TUBE ENTRY, PC4100 _x000a_HSS, 120 X 80 X 5 X 914 LG"/>
    <n v="1"/>
    <n v="1"/>
    <m/>
    <n v="13"/>
    <n v="13"/>
    <s v="Rec. Tube"/>
    <s v="ASTM A516 Gr. 70 / S275JR"/>
    <x v="4"/>
    <m/>
    <x v="27"/>
    <m/>
    <n v="914"/>
    <n v="14.3"/>
  </r>
  <r>
    <x v="11"/>
    <m/>
    <n v="11.2"/>
    <m/>
    <m/>
    <s v="DT34667"/>
    <m/>
    <s v="HSS, INTERMEDIATE SPEAR TUBE, PC4100"/>
    <n v="1"/>
    <n v="1"/>
    <m/>
    <n v="24"/>
    <n v="24"/>
    <s v="Rec. Tube"/>
    <s v="ASTM A516 Gr. 70 / S275JR"/>
    <x v="4"/>
    <m/>
    <x v="27"/>
    <m/>
    <n v="1651"/>
    <n v="26.400000000000002"/>
  </r>
  <r>
    <x v="11"/>
    <m/>
    <n v="11.3"/>
    <m/>
    <m/>
    <s v="DT34666"/>
    <m/>
    <s v="HSS, SPEAR TUBE EXIT, PC4100"/>
    <n v="1"/>
    <n v="1"/>
    <m/>
    <n v="14"/>
    <n v="14"/>
    <s v="Rec. Tube"/>
    <s v="ASTM A516 Gr. 70 / S275JR"/>
    <x v="4"/>
    <m/>
    <x v="27"/>
    <m/>
    <n v="1000"/>
    <n v="15.400000000000002"/>
  </r>
  <r>
    <x v="11"/>
    <m/>
    <n v="11.4"/>
    <m/>
    <m/>
    <s v="DT34665"/>
    <m/>
    <s v="ROUNDBAR, LIFT ARM ENTRY GUIDE, PC4100"/>
    <n v="2"/>
    <n v="2"/>
    <m/>
    <n v="0.2"/>
    <n v="0.4"/>
    <s v="Rod"/>
    <s v="A36 / S275JR"/>
    <x v="2"/>
    <m/>
    <x v="20"/>
    <m/>
    <n v="214"/>
    <n v="2.5093640000000006"/>
  </r>
  <r>
    <x v="11"/>
    <m/>
    <n v="11.5"/>
    <m/>
    <m/>
    <s v="—"/>
    <m/>
    <s v="HSS 120 X 80 X 5 X 125 LG"/>
    <n v="2"/>
    <n v="2"/>
    <m/>
    <n v="1.865"/>
    <n v="3.73"/>
    <s v="Rec. Tube"/>
    <s v="ASTM A516 Gr. 70 / S275JR"/>
    <x v="4"/>
    <m/>
    <x v="27"/>
    <m/>
    <n v="125"/>
    <n v="4.1030000000000006"/>
  </r>
  <r>
    <x v="11"/>
    <m/>
    <n v="11.6"/>
    <m/>
    <m/>
    <s v="DT34664"/>
    <m/>
    <s v="PLATE, SPEAR PIVOT EAR, PC4100"/>
    <n v="2"/>
    <n v="2"/>
    <m/>
    <n v="3"/>
    <n v="6"/>
    <s v="Plate"/>
    <s v="A36 / S275JR / SA 516 GR.70"/>
    <x v="2"/>
    <m/>
    <x v="3"/>
    <n v="286"/>
    <n v="130"/>
    <n v="12.841972"/>
  </r>
  <r>
    <x v="11"/>
    <m/>
    <n v="11.7"/>
    <m/>
    <m/>
    <s v="DT34663"/>
    <m/>
    <s v="SPEAR WEAR PAD MOUNT, PC4100"/>
    <n v="1"/>
    <n v="1"/>
    <m/>
    <n v="4.4000000000000004"/>
    <n v="4.4000000000000004"/>
    <s v="Plate"/>
    <s v="A572 Gr. 50"/>
    <x v="1"/>
    <m/>
    <x v="2"/>
    <n v="102"/>
    <n v="457"/>
    <n v="4.8301426799999998"/>
  </r>
  <r>
    <x v="11"/>
    <m/>
    <n v="11.8"/>
    <m/>
    <m/>
    <s v="DT34662"/>
    <m/>
    <s v="GORETRACK MOUNT PLATE, PC4100"/>
    <n v="1"/>
    <n v="1"/>
    <m/>
    <n v="3"/>
    <m/>
    <s v="Plate"/>
    <s v="A572 Gr. 50"/>
    <x v="1"/>
    <m/>
    <x v="2"/>
    <n v="114"/>
    <n v="305"/>
    <n v="3.6028673999999996"/>
  </r>
  <r>
    <x v="12"/>
    <n v="12"/>
    <m/>
    <m/>
    <m/>
    <s v="AY30160"/>
    <s v="A"/>
    <s v="WELDMENT,42D CARRIER REAR, PC4100"/>
    <n v="1"/>
    <n v="1"/>
    <m/>
    <n v="777"/>
    <n v="777"/>
    <s v="Main Assy."/>
    <m/>
    <x v="0"/>
    <m/>
    <x v="0"/>
    <m/>
    <m/>
    <n v="942.30276602000026"/>
  </r>
  <r>
    <x v="12"/>
    <m/>
    <n v="12.1"/>
    <m/>
    <m/>
    <s v="DT34528"/>
    <m/>
    <s v="PLATE, CARRIER MASTER RIB, PC4100"/>
    <n v="3"/>
    <n v="3"/>
    <m/>
    <n v="10.6"/>
    <n v="31.799999999999997"/>
    <s v="Plate"/>
    <s v="A572 Gr. 50"/>
    <x v="1"/>
    <m/>
    <x v="1"/>
    <n v="372"/>
    <n v="514"/>
    <n v="49.532432400000005"/>
  </r>
  <r>
    <x v="12"/>
    <m/>
    <n v="12.2"/>
    <m/>
    <m/>
    <s v="DT34752"/>
    <m/>
    <s v="W-BEAM, REAR CARRIER BEAM - DS, PC4100 _x000a_W-BEAM, 190 X 450 X 3600"/>
    <n v="1"/>
    <n v="1"/>
    <m/>
    <n v="241"/>
    <n v="241"/>
    <s v="Beam"/>
    <s v="ASTM A572 Gr. 50 / S355JR"/>
    <x v="1"/>
    <m/>
    <x v="28"/>
    <m/>
    <n v="3600"/>
    <n v="265.95360000000005"/>
  </r>
  <r>
    <x v="12"/>
    <m/>
    <n v="12.3"/>
    <m/>
    <m/>
    <s v="DT34753"/>
    <m/>
    <s v="W-BEAM, REAR CARRIER BEAM - DS, PC4100 _x000a_W-BEAM, 190 X 450 X 3600"/>
    <n v="1"/>
    <n v="1"/>
    <m/>
    <n v="241"/>
    <n v="241"/>
    <s v="Beam"/>
    <s v="ASTM A572 Gr. 50 / S355JR"/>
    <x v="1"/>
    <m/>
    <x v="28"/>
    <m/>
    <n v="3600"/>
    <n v="265.95360000000005"/>
  </r>
  <r>
    <x v="12"/>
    <m/>
    <n v="12.4"/>
    <m/>
    <m/>
    <s v="DT34754"/>
    <m/>
    <s v="PLATE, REAR ROLLER EAR, PC4100"/>
    <n v="4"/>
    <n v="4"/>
    <m/>
    <n v="10.4"/>
    <n v="41.6"/>
    <s v="Plate"/>
    <s v="A572 Gr. 50"/>
    <x v="1"/>
    <m/>
    <x v="2"/>
    <n v="317"/>
    <n v="613"/>
    <n v="80.542168079999996"/>
  </r>
  <r>
    <x v="12"/>
    <m/>
    <n v="12.5"/>
    <m/>
    <m/>
    <s v="DT34755"/>
    <m/>
    <s v="PLATE, TENSIONER ASSEMBLY MOUNT, PC4100"/>
    <n v="1"/>
    <n v="1"/>
    <m/>
    <n v="47"/>
    <n v="47"/>
    <s v="Plate"/>
    <s v="A36 / S275JR / SA 516 GR.70"/>
    <x v="2"/>
    <m/>
    <x v="3"/>
    <n v="445"/>
    <n v="714"/>
    <n v="54.871971000000002"/>
  </r>
  <r>
    <x v="12"/>
    <m/>
    <n v="12.6"/>
    <m/>
    <m/>
    <s v="DT34756"/>
    <m/>
    <s v="PLATE, REAR SKATE SUPPORT, PC4100"/>
    <n v="2"/>
    <n v="2"/>
    <m/>
    <n v="53"/>
    <n v="106"/>
    <s v="Plate"/>
    <s v="A572 Gr. 50"/>
    <x v="1"/>
    <m/>
    <x v="2"/>
    <n v="152"/>
    <n v="3702"/>
    <n v="116.61477695999999"/>
  </r>
  <r>
    <x v="12"/>
    <m/>
    <n v="12.7"/>
    <m/>
    <m/>
    <s v="DT34757"/>
    <m/>
    <s v="SET COLLAR, Ø1.75&quot;, PC4100"/>
    <n v="4"/>
    <n v="4"/>
    <m/>
    <n v="0.4"/>
    <n v="1.6"/>
    <s v="Rod"/>
    <s v="AISI C1045"/>
    <x v="6"/>
    <m/>
    <x v="29"/>
    <m/>
    <n v="23"/>
    <n v="1.7600000000000002"/>
  </r>
  <r>
    <x v="12"/>
    <m/>
    <n v="12.8"/>
    <m/>
    <m/>
    <s v="DT34758"/>
    <m/>
    <s v="HSS, PULLY GUARD, PC4100"/>
    <n v="1"/>
    <n v="1"/>
    <m/>
    <n v="25"/>
    <n v="25"/>
    <s v="Rec. Tube"/>
    <s v="A36 / S275JR"/>
    <x v="4"/>
    <m/>
    <x v="30"/>
    <m/>
    <n v="575"/>
    <n v="38.848150000000004"/>
  </r>
  <r>
    <x v="12"/>
    <m/>
    <n v="12.9"/>
    <m/>
    <m/>
    <s v="DT34759"/>
    <m/>
    <s v="PLATE, BACK AXLE CAP, PC4100"/>
    <n v="2"/>
    <n v="2"/>
    <m/>
    <n v="3"/>
    <n v="6"/>
    <s v="Plate"/>
    <s v="A572 Gr. 50"/>
    <x v="1"/>
    <m/>
    <x v="1"/>
    <n v="462"/>
    <n v="76"/>
    <n v="6.0638423999999995"/>
  </r>
  <r>
    <x v="12"/>
    <m/>
    <n v="12.1"/>
    <m/>
    <m/>
    <s v="—"/>
    <m/>
    <s v="FLAT BAR, 25 x 50 x 50 LG [1 x 2 x 2]"/>
    <n v="2"/>
    <n v="2"/>
    <m/>
    <n v="0.49062499999999998"/>
    <n v="0.98124999999999996"/>
    <s v="Plate"/>
    <s v="G40.21-44W"/>
    <x v="1"/>
    <m/>
    <x v="5"/>
    <n v="50"/>
    <n v="50"/>
    <n v="1.079375"/>
  </r>
  <r>
    <x v="12"/>
    <m/>
    <n v="12.11"/>
    <m/>
    <m/>
    <s v="DT34550"/>
    <m/>
    <s v="GUSSET, FLANGE, CARRIER, PC4100"/>
    <n v="4"/>
    <n v="4"/>
    <m/>
    <n v="1.5"/>
    <n v="6"/>
    <s v="Plate"/>
    <s v="A572 Gr. 50"/>
    <x v="1"/>
    <m/>
    <x v="1"/>
    <n v="76"/>
    <n v="305"/>
    <n v="8.0063720000000007"/>
  </r>
  <r>
    <x v="12"/>
    <m/>
    <n v="12.12"/>
    <m/>
    <m/>
    <s v="DT34760"/>
    <m/>
    <s v="PLATE, REAR ROLLER EAR INNER CAP, PC4100"/>
    <n v="2"/>
    <n v="2"/>
    <m/>
    <n v="0.6"/>
    <n v="1.2"/>
    <s v="Plate"/>
    <s v="ASTM A572 Gr. 50 / S355JR OR A516 Gr.70"/>
    <x v="1"/>
    <m/>
    <x v="10"/>
    <n v="25"/>
    <n v="465"/>
    <n v="1.2045825000000001"/>
  </r>
  <r>
    <x v="12"/>
    <m/>
    <n v="12.13"/>
    <m/>
    <m/>
    <s v="DT34537"/>
    <m/>
    <s v="PLATE, KICKER GUSSET, PC4100"/>
    <n v="2"/>
    <n v="2"/>
    <m/>
    <n v="1.1000000000000001"/>
    <n v="2.2000000000000002"/>
    <s v="Plate"/>
    <s v="A572 Gr. 50"/>
    <x v="1"/>
    <m/>
    <x v="1"/>
    <n v="127"/>
    <n v="203"/>
    <n v="4.4523787000000006"/>
  </r>
  <r>
    <x v="12"/>
    <m/>
    <n v="12.14"/>
    <m/>
    <m/>
    <s v="DT34546"/>
    <m/>
    <s v="PLATE, CARRIER FLANGE PLATE, PC4100"/>
    <n v="2"/>
    <n v="2"/>
    <m/>
    <n v="12"/>
    <n v="24"/>
    <s v="Plate"/>
    <s v="A36 / S275JR / SA 516 GR.70"/>
    <x v="2"/>
    <m/>
    <x v="5"/>
    <n v="191"/>
    <n v="546"/>
    <n v="45.0254805"/>
  </r>
  <r>
    <x v="12"/>
    <m/>
    <n v="12.15"/>
    <m/>
    <m/>
    <s v="DT34547"/>
    <m/>
    <s v="PLATE, CARRIER FLANGE PLATE GUSSET, PC4100"/>
    <n v="2"/>
    <n v="2"/>
    <m/>
    <n v="1"/>
    <n v="2"/>
    <s v="Plate"/>
    <s v="A572 Gr. 50"/>
    <x v="1"/>
    <m/>
    <x v="2"/>
    <n v="76"/>
    <n v="152"/>
    <n v="2.39403648"/>
  </r>
  <r>
    <x v="13"/>
    <n v="13"/>
    <m/>
    <m/>
    <m/>
    <s v="AY51606"/>
    <m/>
    <s v="KIT, SHIPPING BRKTS, LONG,PC4000"/>
    <n v="1"/>
    <n v="1"/>
    <m/>
    <n v="175.07379729999997"/>
    <n v="175.07379729999997"/>
    <s v="Main Assy."/>
    <m/>
    <x v="0"/>
    <m/>
    <x v="0"/>
    <m/>
    <m/>
    <n v="250.32865000000004"/>
  </r>
  <r>
    <x v="13"/>
    <s v="13A"/>
    <m/>
    <m/>
    <m/>
    <n v="131100547"/>
    <s v="D"/>
    <s v="FRONT CARRIER SHIPPING MOUNT"/>
    <n v="1"/>
    <n v="1"/>
    <n v="93.2"/>
    <n v="42.27552"/>
    <n v="42.27552"/>
    <s v="Sub Assy."/>
    <s v="-"/>
    <x v="0"/>
    <m/>
    <x v="0"/>
    <m/>
    <m/>
    <m/>
  </r>
  <r>
    <x v="13"/>
    <m/>
    <s v="13A.1"/>
    <m/>
    <m/>
    <m/>
    <m/>
    <s v="PLATE, 3/8 x 13 x 36 [10 x 330 x 914]"/>
    <n v="1"/>
    <n v="1"/>
    <m/>
    <n v="23.677169999999997"/>
    <n v="23.677169999999997"/>
    <s v="Plate"/>
    <s v="G40.21-44W/AG72 G50"/>
    <x v="1"/>
    <m/>
    <x v="1"/>
    <n v="330"/>
    <n v="914"/>
    <n v="26.044886999999999"/>
  </r>
  <r>
    <x v="13"/>
    <m/>
    <s v="13A.2"/>
    <m/>
    <m/>
    <m/>
    <m/>
    <s v="PLATE, 3/8 x 16 1/4 x 13 [10 x 413 x 330]"/>
    <n v="2"/>
    <n v="2"/>
    <m/>
    <n v="10.698765"/>
    <n v="21.39753"/>
    <s v="Plate"/>
    <s v="G40.21-44W/AG72 G50"/>
    <x v="1"/>
    <m/>
    <x v="1"/>
    <n v="330"/>
    <n v="413"/>
    <n v="23.537283000000002"/>
  </r>
  <r>
    <x v="13"/>
    <s v="13B"/>
    <m/>
    <m/>
    <m/>
    <n v="131100548"/>
    <s v="C"/>
    <s v="BACK CARRIER SHIPPING BRACKET"/>
    <n v="1"/>
    <n v="1"/>
    <m/>
    <n v="36.854949299999994"/>
    <n v="36.854949299999994"/>
    <s v="Sub Assy."/>
    <s v="-"/>
    <x v="0"/>
    <m/>
    <x v="0"/>
    <m/>
    <m/>
    <m/>
  </r>
  <r>
    <x v="13"/>
    <m/>
    <s v="13B.1"/>
    <m/>
    <m/>
    <n v="141101163"/>
    <m/>
    <s v="BC SHIPPING MOUNT"/>
    <n v="1"/>
    <n v="1"/>
    <m/>
    <n v="25.585332299999997"/>
    <n v="25.585332299999997"/>
    <s v="Plate"/>
    <s v="G40.21-44W/AG72 G50"/>
    <x v="1"/>
    <m/>
    <x v="2"/>
    <n v="330"/>
    <n v="885"/>
    <n v="30.262221"/>
  </r>
  <r>
    <x v="13"/>
    <m/>
    <s v="13B.2"/>
    <m/>
    <m/>
    <n v="141101162"/>
    <m/>
    <s v="BC SHIPPING SUPPORT"/>
    <n v="2"/>
    <n v="2"/>
    <m/>
    <n v="5.1174149999999994"/>
    <n v="10.234829999999999"/>
    <s v="Plate"/>
    <s v="G40.21-44W/AG72 G50"/>
    <x v="1"/>
    <m/>
    <x v="2"/>
    <n v="205"/>
    <n v="265"/>
    <n v="11.258312999999999"/>
  </r>
  <r>
    <x v="13"/>
    <m/>
    <s v="13B.3"/>
    <m/>
    <m/>
    <n v="141101164"/>
    <m/>
    <s v="BC SHIPPING GUSSET"/>
    <n v="1"/>
    <n v="1"/>
    <m/>
    <n v="1.0347869999999999"/>
    <n v="1.0347869999999999"/>
    <s v="Plate"/>
    <s v="G40.21-44W/AG72 G50"/>
    <x v="1"/>
    <m/>
    <x v="2"/>
    <n v="130"/>
    <n v="130"/>
    <n v="1.7511780000000001"/>
  </r>
  <r>
    <x v="13"/>
    <s v="13C"/>
    <m/>
    <m/>
    <m/>
    <n v="131100705"/>
    <m/>
    <s v="BRACKET MASTER SHIPPING "/>
    <n v="1"/>
    <n v="1"/>
    <m/>
    <n v="47.97166399999999"/>
    <n v="47.97166399999999"/>
    <s v="Sub Assy."/>
    <s v="-"/>
    <x v="0"/>
    <m/>
    <x v="0"/>
    <m/>
    <m/>
    <m/>
  </r>
  <r>
    <x v="13"/>
    <m/>
    <s v="13C.1"/>
    <m/>
    <m/>
    <n v="141100938"/>
    <m/>
    <s v="CATWALK CONNECTION PLATE"/>
    <n v="1"/>
    <n v="1"/>
    <m/>
    <n v="12.559999999999999"/>
    <n v="12.559999999999999"/>
    <s v="Plate"/>
    <s v="G40.21-44W/AG72 G50"/>
    <x v="1"/>
    <m/>
    <x v="4"/>
    <n v="200"/>
    <n v="200"/>
    <n v="13.815999999999999"/>
  </r>
  <r>
    <x v="13"/>
    <m/>
    <s v="13C.2"/>
    <m/>
    <m/>
    <n v="141101531"/>
    <m/>
    <s v="EAR BRACKET"/>
    <n v="1"/>
    <n v="1"/>
    <m/>
    <n v="35.411663999999995"/>
    <n v="35.411663999999995"/>
    <s v="Plate"/>
    <s v="G40.21-44W/AG72 G50"/>
    <x v="1"/>
    <m/>
    <x v="4"/>
    <n v="469.9"/>
    <n v="400"/>
    <n v="64.921384000000003"/>
  </r>
  <r>
    <x v="13"/>
    <s v="13D"/>
    <m/>
    <m/>
    <m/>
    <n v="131100706"/>
    <m/>
    <s v="BRACKET, MASTER SHIPPING 2"/>
    <n v="1"/>
    <n v="1"/>
    <m/>
    <n v="47.97166399999999"/>
    <n v="47.97166399999999"/>
    <s v="Sub Assy."/>
    <s v="-"/>
    <x v="0"/>
    <m/>
    <x v="0"/>
    <m/>
    <m/>
    <m/>
  </r>
  <r>
    <x v="13"/>
    <m/>
    <s v="13D.1"/>
    <m/>
    <m/>
    <n v="141100938"/>
    <m/>
    <s v="CATWALK CONNECTION PLATE"/>
    <n v="1"/>
    <n v="1"/>
    <m/>
    <n v="12.559999999999999"/>
    <n v="12.559999999999999"/>
    <s v="Plate"/>
    <s v="G40.21-44W/AG72 G50"/>
    <x v="1"/>
    <m/>
    <x v="4"/>
    <n v="200"/>
    <n v="200"/>
    <n v="13.815999999999999"/>
  </r>
  <r>
    <x v="13"/>
    <m/>
    <s v="13D.2"/>
    <m/>
    <m/>
    <n v="141101531"/>
    <m/>
    <s v="EAR BRACKET"/>
    <n v="1"/>
    <n v="1"/>
    <m/>
    <n v="35.411663999999995"/>
    <n v="35.411663999999995"/>
    <s v="Plate"/>
    <s v="G40.21-44W/AG72 G50"/>
    <x v="1"/>
    <m/>
    <x v="4"/>
    <n v="469.9"/>
    <n v="400"/>
    <n v="64.921384000000003"/>
  </r>
  <r>
    <x v="14"/>
    <n v="14"/>
    <m/>
    <m/>
    <m/>
    <s v="AY30130"/>
    <s v="A"/>
    <s v="WELDMENT, PC4100,42' CATWALK, RAMP B"/>
    <n v="1"/>
    <n v="1"/>
    <n v="7057.6"/>
    <n v="4003"/>
    <n v="4003"/>
    <s v="Main Assy."/>
    <m/>
    <x v="0"/>
    <m/>
    <x v="0"/>
    <m/>
    <m/>
    <n v="4707.4830999900014"/>
  </r>
  <r>
    <x v="14"/>
    <m/>
    <n v="14.1"/>
    <m/>
    <m/>
    <s v="AY30131"/>
    <m/>
    <s v="WELDMENT, PC4100, 42' CATWALK, RAMP"/>
    <n v="1"/>
    <n v="1"/>
    <m/>
    <n v="3697.9"/>
    <n v="3697.9"/>
    <s v="Sub Assy."/>
    <s v="-"/>
    <x v="0"/>
    <m/>
    <x v="0"/>
    <m/>
    <m/>
    <m/>
  </r>
  <r>
    <x v="14"/>
    <m/>
    <m/>
    <s v="14.1.1"/>
    <m/>
    <s v="DT34598"/>
    <m/>
    <s v="PLATE, RAMP BOTTOM PLATE"/>
    <n v="1"/>
    <n v="1"/>
    <m/>
    <n v="814"/>
    <n v="814"/>
    <s v="Plate"/>
    <s v="A572 Gr. 50"/>
    <x v="1"/>
    <m/>
    <x v="1"/>
    <n v="800"/>
    <n v="13310"/>
    <n v="919.45479999999998"/>
  </r>
  <r>
    <x v="14"/>
    <m/>
    <m/>
    <s v="14.1.2"/>
    <m/>
    <s v="DT34599"/>
    <m/>
    <s v="PLATE, RAMP RIB"/>
    <n v="14"/>
    <n v="14"/>
    <m/>
    <n v="4"/>
    <n v="56"/>
    <s v="Plate"/>
    <s v="A572 Gr. 50"/>
    <x v="1"/>
    <m/>
    <x v="1"/>
    <n v="144"/>
    <n v="332"/>
    <n v="57.795091200000002"/>
  </r>
  <r>
    <x v="14"/>
    <m/>
    <m/>
    <s v="14.1.3"/>
    <m/>
    <s v="DT34600"/>
    <m/>
    <s v="PLATE, RAMP WINCH SUPPORT"/>
    <n v="1"/>
    <n v="1"/>
    <m/>
    <n v="151.1"/>
    <n v="151.1"/>
    <s v="Plate"/>
    <s v="A36/S275JR/SA 516 GR.70"/>
    <x v="2"/>
    <m/>
    <x v="3"/>
    <n v="889"/>
    <n v="1477"/>
    <n v="226.76425309999999"/>
  </r>
  <r>
    <x v="14"/>
    <m/>
    <m/>
    <s v="14.1.4"/>
    <m/>
    <s v="DT34604"/>
    <m/>
    <s v="GUSSET, 191mm [7 1/2&quot;] CHANNEL"/>
    <n v="1"/>
    <n v="1"/>
    <m/>
    <n v="0.7"/>
    <n v="0.7"/>
    <s v="Plate"/>
    <s v="ASTM A572 Gr. 50 /A516 Gr.70/ S355JR"/>
    <x v="1"/>
    <m/>
    <x v="10"/>
    <n v="127"/>
    <n v="191"/>
    <n v="1.2567551699999999"/>
  </r>
  <r>
    <x v="14"/>
    <m/>
    <m/>
    <s v="14.1.5"/>
    <m/>
    <s v="DT34605"/>
    <m/>
    <s v="GUSSET, DS, RAMP CHANNEL"/>
    <n v="1"/>
    <n v="1"/>
    <m/>
    <n v="0.5"/>
    <n v="0.5"/>
    <s v="Plate"/>
    <s v="ASTM A572 Gr. 50 /A516 Gr.70/ S355JR"/>
    <x v="1"/>
    <m/>
    <x v="10"/>
    <n v="60"/>
    <n v="191"/>
    <n v="0.59374260000000001"/>
  </r>
  <r>
    <x v="14"/>
    <m/>
    <m/>
    <s v="14.1.6"/>
    <m/>
    <s v="DT34606"/>
    <m/>
    <s v="CHANNEL, RAMP CARRIER LEAD IN - LH"/>
    <n v="1"/>
    <n v="1"/>
    <m/>
    <n v="4"/>
    <n v="4"/>
    <s v="Channel"/>
    <s v="ASTM A572 Gr. 50 / S355JR"/>
    <x v="1"/>
    <m/>
    <x v="31"/>
    <m/>
    <n v="324"/>
    <n v="6.7003200000000005"/>
  </r>
  <r>
    <x v="14"/>
    <m/>
    <m/>
    <s v="14.1.7"/>
    <m/>
    <s v="DT34607"/>
    <m/>
    <s v="CHANNEL, RAMP CARRIER LEAD IN - RH"/>
    <n v="1"/>
    <n v="1"/>
    <m/>
    <n v="4"/>
    <n v="4"/>
    <s v="Channel"/>
    <s v="ASTM A572 Gr. 50 / S355JR"/>
    <x v="1"/>
    <m/>
    <x v="31"/>
    <m/>
    <n v="324"/>
    <n v="6.7003200000000005"/>
  </r>
  <r>
    <x v="14"/>
    <m/>
    <m/>
    <s v="14.1.8"/>
    <m/>
    <s v="DT34608"/>
    <m/>
    <s v="CHANNEL, RAMP MID BOTTOM RAIL"/>
    <n v="2"/>
    <n v="2"/>
    <m/>
    <n v="167"/>
    <n v="334"/>
    <s v="Channel"/>
    <s v="ASTM A572 Gr. 50 / S355JR"/>
    <x v="1"/>
    <m/>
    <x v="31"/>
    <m/>
    <n v="8763"/>
    <n v="362.43768"/>
  </r>
  <r>
    <x v="14"/>
    <m/>
    <m/>
    <s v="14.1.9"/>
    <m/>
    <s v="DT34609"/>
    <m/>
    <s v="CHANNEL, RAMP BOTTOM RAIL"/>
    <n v="2"/>
    <n v="2"/>
    <m/>
    <n v="224"/>
    <n v="448"/>
    <s v="Channel"/>
    <s v="ASTM A572 Gr. 50 / S355JR"/>
    <x v="1"/>
    <m/>
    <x v="31"/>
    <m/>
    <n v="11709"/>
    <n v="484.28424000000007"/>
  </r>
  <r>
    <x v="14"/>
    <m/>
    <m/>
    <s v="14.1.10"/>
    <m/>
    <m/>
    <m/>
    <s v="HSS, 200 X 150 X 12 X 1584 LG"/>
    <n v="6"/>
    <n v="6"/>
    <m/>
    <m/>
    <n v="0"/>
    <s v="Rec. Tube"/>
    <s v="EN 10025-2 S355J2"/>
    <x v="4"/>
    <m/>
    <x v="30"/>
    <m/>
    <n v="1584"/>
    <n v="642.10924800000009"/>
  </r>
  <r>
    <x v="14"/>
    <m/>
    <m/>
    <s v="14.1.11"/>
    <m/>
    <m/>
    <m/>
    <s v="HSS, 200 X 150 X 12 X 1956 LG"/>
    <n v="2"/>
    <n v="2"/>
    <m/>
    <m/>
    <n v="0"/>
    <s v="Rec. Tube"/>
    <s v="EN 10025-2 S355J2"/>
    <x v="4"/>
    <m/>
    <x v="30"/>
    <m/>
    <n v="1956"/>
    <n v="264.30254400000001"/>
  </r>
  <r>
    <x v="14"/>
    <m/>
    <m/>
    <s v="14.1.12"/>
    <m/>
    <m/>
    <m/>
    <s v="HSS, 150 X 50 X 6 X 282 LG"/>
    <n v="8"/>
    <n v="8"/>
    <m/>
    <n v="4.9942199999999994"/>
    <n v="39.953759999999996"/>
    <s v="Rec. Tube"/>
    <s v="EN 10025-2 S355J2"/>
    <x v="4"/>
    <m/>
    <x v="32"/>
    <m/>
    <n v="282"/>
    <n v="43.949135999999996"/>
  </r>
  <r>
    <x v="14"/>
    <m/>
    <m/>
    <s v="14.1.13"/>
    <m/>
    <m/>
    <m/>
    <s v="FB 150 X 12 X 265 LONG"/>
    <n v="8"/>
    <n v="8"/>
    <m/>
    <n v="3.7444499999999996"/>
    <n v="29.955599999999997"/>
    <s v="Plate"/>
    <s v="G40.21-44W"/>
    <x v="2"/>
    <m/>
    <x v="2"/>
    <n v="150"/>
    <n v="265"/>
    <n v="32.951160000000002"/>
  </r>
  <r>
    <x v="14"/>
    <m/>
    <m/>
    <s v="14.1.14"/>
    <m/>
    <m/>
    <m/>
    <s v="CHANNEL, UPN160X12979 LG"/>
    <n v="4"/>
    <n v="4"/>
    <m/>
    <n v="244.0052"/>
    <n v="976.02080000000001"/>
    <s v="Channel"/>
    <s v="ASTM A572 Gr. 50 / S355JR"/>
    <x v="1"/>
    <m/>
    <x v="31"/>
    <m/>
    <n v="12979"/>
    <n v="1073.6228800000001"/>
  </r>
  <r>
    <x v="14"/>
    <m/>
    <m/>
    <s v="14.1.15"/>
    <m/>
    <m/>
    <m/>
    <s v="PLATE, 13 X 130 X 180"/>
    <n v="16"/>
    <n v="16"/>
    <m/>
    <n v="2.2042799999999998"/>
    <n v="35.268479999999997"/>
    <s v="Plate"/>
    <s v="EN 10025-2 S355JR"/>
    <x v="1"/>
    <m/>
    <x v="2"/>
    <n v="130"/>
    <n v="180"/>
    <n v="38.795327999999998"/>
  </r>
  <r>
    <x v="14"/>
    <m/>
    <n v="14.2"/>
    <m/>
    <m/>
    <s v="AY30132"/>
    <m/>
    <s v="WELDMENT, RAMP PIVOT, PC4100"/>
    <n v="2"/>
    <n v="2"/>
    <m/>
    <n v="152"/>
    <n v="304"/>
    <s v="Sub Assy."/>
    <m/>
    <x v="0"/>
    <m/>
    <x v="0"/>
    <m/>
    <m/>
    <m/>
  </r>
  <r>
    <x v="14"/>
    <m/>
    <m/>
    <s v="14.2.1"/>
    <m/>
    <s v="DT34610"/>
    <m/>
    <s v="PLATE,RAMP PIVOT BUSHING, PC4100"/>
    <n v="2"/>
    <n v="4"/>
    <m/>
    <n v="50.6"/>
    <n v="202.4"/>
    <s v="Plate"/>
    <s v=" A572 Gr. 50"/>
    <x v="1"/>
    <m/>
    <x v="2"/>
    <n v="814"/>
    <n v="1321"/>
    <n v="445.68785711999999"/>
  </r>
  <r>
    <x v="14"/>
    <m/>
    <m/>
    <s v="14.2.2"/>
    <m/>
    <s v="DT34611"/>
    <m/>
    <s v="RAMP PIVOT, PC4100"/>
    <n v="1"/>
    <n v="2"/>
    <m/>
    <n v="16.100000000000001"/>
    <n v="32.200000000000003"/>
    <s v="Rod"/>
    <s v=" A572 Gr. 50"/>
    <x v="1"/>
    <m/>
    <x v="33"/>
    <m/>
    <n v="180"/>
    <n v="49.230719999999998"/>
  </r>
  <r>
    <x v="14"/>
    <m/>
    <m/>
    <s v="14.2.3"/>
    <m/>
    <s v="DT34612"/>
    <m/>
    <s v="PLATE,RAMP PIVOT CAP 1, PC4100"/>
    <n v="1"/>
    <n v="2"/>
    <m/>
    <n v="8"/>
    <n v="16"/>
    <s v="Plate"/>
    <s v=" A572 Gr. 50"/>
    <x v="1"/>
    <m/>
    <x v="1"/>
    <n v="152"/>
    <n v="743"/>
    <n v="19.504047199999999"/>
  </r>
  <r>
    <x v="14"/>
    <m/>
    <m/>
    <s v="14.2.4"/>
    <m/>
    <s v="DT34613"/>
    <m/>
    <s v="PLATE,RAMP PIVOT CAP 2, PC4100"/>
    <n v="1"/>
    <n v="2"/>
    <m/>
    <n v="13"/>
    <n v="26"/>
    <s v="Plate"/>
    <s v=" A572 Gr. 50"/>
    <x v="1"/>
    <m/>
    <x v="1"/>
    <n v="152"/>
    <n v="1194"/>
    <n v="31.342977600000001"/>
  </r>
  <r>
    <x v="14"/>
    <m/>
    <m/>
    <s v="14.2.5"/>
    <m/>
    <s v="DT34614"/>
    <m/>
    <s v="PLATE,RAMP PIVOT CAP 3, PC4100"/>
    <n v="1"/>
    <n v="2"/>
    <m/>
    <n v="29.2"/>
    <n v="58.4"/>
    <s v="Plate"/>
    <s v=" A572 Gr. 50"/>
    <x v="1"/>
    <m/>
    <x v="1"/>
    <n v="152"/>
    <n v="1251"/>
    <n v="65.678500799999995"/>
  </r>
  <r>
    <x v="14"/>
    <m/>
    <n v="14.3"/>
    <m/>
    <m/>
    <s v="DT34615"/>
    <m/>
    <s v="SAFETY LOOP, PC4100"/>
    <n v="4"/>
    <n v="4"/>
    <m/>
    <n v="2.8"/>
    <n v="11.2"/>
    <s v="Rod"/>
    <s v=" AISI C1045"/>
    <x v="6"/>
    <m/>
    <x v="34"/>
    <m/>
    <n v="547"/>
    <n v="13.357740000000002"/>
  </r>
  <r>
    <x v="14"/>
    <m/>
    <n v="14.4"/>
    <m/>
    <m/>
    <s v="DT34616"/>
    <m/>
    <s v="PLATE, RAMP CARRIER LEAD-IN FISH PLATE,"/>
    <n v="2"/>
    <n v="2"/>
    <m/>
    <n v="7"/>
    <n v="14"/>
    <s v="Plate"/>
    <s v=" A572 Gr. 50"/>
    <x v="1"/>
    <m/>
    <x v="2"/>
    <n v="152"/>
    <n v="597"/>
    <n v="18.805786560000001"/>
  </r>
  <r>
    <x v="14"/>
    <m/>
    <n v="14.5"/>
    <m/>
    <m/>
    <s v="DT34599"/>
    <m/>
    <s v="PLATE, RAMP RIB, PC4100"/>
    <n v="2"/>
    <n v="2"/>
    <m/>
    <n v="4"/>
    <n v="8"/>
    <s v="Plate"/>
    <s v=" A572 Gr. 50"/>
    <x v="1"/>
    <m/>
    <x v="1"/>
    <n v="144"/>
    <n v="332"/>
    <n v="8.2564416000000005"/>
  </r>
  <r>
    <x v="14"/>
    <m/>
    <n v="14.6"/>
    <m/>
    <m/>
    <s v="DT34617"/>
    <m/>
    <s v="STAIR RETAINER PLATE, PC4100"/>
    <n v="4"/>
    <n v="4"/>
    <m/>
    <n v="0.1"/>
    <n v="0.4"/>
    <s v="Plate"/>
    <s v=" ASTM A572 Gr."/>
    <x v="1"/>
    <m/>
    <x v="10"/>
    <n v="54"/>
    <n v="64"/>
    <n v="0.71622143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260A8-CD2F-49FC-A40C-62C96A4F67B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68:W74" firstHeaderRow="1" firstDataRow="3" firstDataCol="1" rowPageCount="2" colPageCount="1"/>
  <pivotFields count="21">
    <pivotField axis="axisPage" multipleItemSelectionAllowed="1" showAll="0">
      <items count="16">
        <item m="1" x="14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13">
        <item x="6"/>
        <item x="8"/>
        <item x="5"/>
        <item x="7"/>
        <item x="1"/>
        <item x="4"/>
        <item x="3"/>
        <item x="10"/>
        <item x="11"/>
        <item x="9"/>
        <item x="2"/>
        <item x="0"/>
        <item t="default"/>
      </items>
    </pivotField>
    <pivotField showAll="0"/>
    <pivotField axis="axisCol" showAll="0">
      <items count="13">
        <item x="3"/>
        <item m="1" x="10"/>
        <item m="1" x="11"/>
        <item x="4"/>
        <item x="0"/>
        <item m="1" x="7"/>
        <item m="1" x="8"/>
        <item x="5"/>
        <item x="6"/>
        <item m="1" x="9"/>
        <item x="1"/>
        <item x="2"/>
        <item t="default"/>
      </items>
    </pivotField>
    <pivotField showAll="0"/>
    <pivotField axis="axisRow" showAll="0">
      <items count="32">
        <item x="15"/>
        <item x="10"/>
        <item x="1"/>
        <item x="2"/>
        <item x="21"/>
        <item x="3"/>
        <item x="5"/>
        <item x="4"/>
        <item x="7"/>
        <item x="19"/>
        <item x="27"/>
        <item x="25"/>
        <item x="22"/>
        <item x="18"/>
        <item x="16"/>
        <item x="9"/>
        <item x="17"/>
        <item x="20"/>
        <item x="14"/>
        <item x="8"/>
        <item x="6"/>
        <item x="23"/>
        <item x="29"/>
        <item x="24"/>
        <item x="13"/>
        <item x="28"/>
        <item x="11"/>
        <item x="12"/>
        <item h="1" x="0"/>
        <item h="1" x="26"/>
        <item h="1" x="30"/>
        <item t="default"/>
      </items>
    </pivotField>
    <pivotField showAll="0"/>
    <pivotField showAll="0"/>
    <pivotField dataField="1" showAll="0"/>
  </pivotFields>
  <rowFields count="1">
    <field x="17"/>
  </rowFields>
  <rowItems count="4">
    <i>
      <x v="2"/>
    </i>
    <i>
      <x v="15"/>
    </i>
    <i>
      <x v="17"/>
    </i>
    <i t="grand">
      <x/>
    </i>
  </rowItems>
  <colFields count="2">
    <field x="15"/>
    <field x="-2"/>
  </colFields>
  <colItems count="8">
    <i>
      <x/>
      <x/>
    </i>
    <i r="1" i="1">
      <x v="1"/>
    </i>
    <i>
      <x v="10"/>
      <x/>
    </i>
    <i r="1" i="1">
      <x v="1"/>
    </i>
    <i>
      <x v="11"/>
      <x/>
    </i>
    <i r="1" i="1">
      <x v="1"/>
    </i>
    <i t="grand">
      <x/>
    </i>
    <i t="grand" i="1">
      <x/>
    </i>
  </colItems>
  <pageFields count="2">
    <pageField fld="0" hier="-1"/>
    <pageField fld="13" hier="-1"/>
  </pageFields>
  <dataFields count="2">
    <dataField name="Sum of Total Weight _x000a_(Kg)" fld="12" baseField="0" baseItem="0"/>
    <dataField name="Sum of Gross Wt _x000a_(kg)" fld="20" baseField="0" baseItem="0"/>
  </dataFields>
  <formats count="46"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15" type="button" dataOnly="0" labelOnly="1" outline="0" axis="axisCol" fieldPosition="0"/>
    </format>
    <format dxfId="65">
      <pivotArea field="-2" type="button" dataOnly="0" labelOnly="1" outline="0" axis="axisCol" fieldPosition="1"/>
    </format>
    <format dxfId="64">
      <pivotArea type="topRight" dataOnly="0" labelOnly="1" outline="0" fieldPosition="0"/>
    </format>
    <format dxfId="63">
      <pivotArea field="17" type="button" dataOnly="0" labelOnly="1" outline="0" axis="axisRow" fieldPosition="0"/>
    </format>
    <format dxfId="62">
      <pivotArea dataOnly="0" labelOnly="1" fieldPosition="0">
        <references count="1">
          <reference field="17" count="0"/>
        </references>
      </pivotArea>
    </format>
    <format dxfId="61">
      <pivotArea dataOnly="0" labelOnly="1" grandRow="1" outline="0" fieldPosition="0"/>
    </format>
    <format dxfId="60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59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8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5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5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5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5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5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5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5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15" type="button" dataOnly="0" labelOnly="1" outline="0" axis="axisCol" fieldPosition="0"/>
    </format>
    <format dxfId="45">
      <pivotArea field="-2" type="button" dataOnly="0" labelOnly="1" outline="0" axis="axisCol" fieldPosition="1"/>
    </format>
    <format dxfId="44">
      <pivotArea type="topRight" dataOnly="0" labelOnly="1" outline="0" fieldPosition="0"/>
    </format>
    <format dxfId="43">
      <pivotArea field="17" type="button" dataOnly="0" labelOnly="1" outline="0" axis="axisRow" fieldPosition="0"/>
    </format>
    <format dxfId="42">
      <pivotArea dataOnly="0" labelOnly="1" fieldPosition="0">
        <references count="1">
          <reference field="17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39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3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3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3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3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3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3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dataOnly="0" fieldPosition="0">
        <references count="1">
          <reference field="17" count="1">
            <x v="26"/>
          </reference>
        </references>
      </pivotArea>
    </format>
    <format dxfId="25">
      <pivotArea dataOnly="0" fieldPosition="0">
        <references count="1">
          <reference field="17" count="1">
            <x v="26"/>
          </reference>
        </references>
      </pivotArea>
    </format>
    <format dxfId="24">
      <pivotArea dataOnly="0" labelOnly="1" fieldPosition="0">
        <references count="1">
          <reference field="17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61F99-B0C8-4448-B772-B8046E78CE93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7:S62" firstHeaderRow="1" firstDataRow="3" firstDataCol="1" rowPageCount="2" colPageCount="1"/>
  <pivotFields count="21">
    <pivotField axis="axisPage" multipleItemSelectionAllowed="1" showAll="0">
      <items count="16">
        <item m="1" x="14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13">
        <item x="6"/>
        <item x="8"/>
        <item x="5"/>
        <item x="7"/>
        <item x="1"/>
        <item x="4"/>
        <item x="3"/>
        <item x="10"/>
        <item x="11"/>
        <item x="9"/>
        <item x="2"/>
        <item x="0"/>
        <item t="default"/>
      </items>
    </pivotField>
    <pivotField showAll="0"/>
    <pivotField axis="axisCol" showAll="0">
      <items count="13">
        <item x="3"/>
        <item m="1" x="10"/>
        <item m="1" x="11"/>
        <item x="4"/>
        <item x="0"/>
        <item m="1" x="7"/>
        <item m="1" x="8"/>
        <item x="5"/>
        <item x="6"/>
        <item m="1" x="9"/>
        <item x="1"/>
        <item x="2"/>
        <item t="default"/>
      </items>
    </pivotField>
    <pivotField showAll="0"/>
    <pivotField axis="axisRow" showAll="0">
      <items count="32">
        <item x="15"/>
        <item x="10"/>
        <item x="1"/>
        <item x="2"/>
        <item x="21"/>
        <item x="3"/>
        <item x="5"/>
        <item x="4"/>
        <item x="7"/>
        <item x="19"/>
        <item x="27"/>
        <item x="25"/>
        <item x="22"/>
        <item x="18"/>
        <item x="16"/>
        <item x="9"/>
        <item x="17"/>
        <item x="20"/>
        <item x="14"/>
        <item x="8"/>
        <item x="6"/>
        <item x="23"/>
        <item x="29"/>
        <item x="24"/>
        <item x="13"/>
        <item x="28"/>
        <item x="11"/>
        <item x="12"/>
        <item h="1" x="0"/>
        <item h="1" x="26"/>
        <item h="1" x="30"/>
        <item t="default"/>
      </items>
    </pivotField>
    <pivotField showAll="0"/>
    <pivotField showAll="0"/>
    <pivotField dataField="1" showAll="0"/>
  </pivotFields>
  <rowFields count="1">
    <field x="17"/>
  </rowFields>
  <rowItems count="3">
    <i>
      <x v="1"/>
    </i>
    <i>
      <x v="2"/>
    </i>
    <i t="grand">
      <x/>
    </i>
  </rowItems>
  <colFields count="2">
    <field x="15"/>
    <field x="-2"/>
  </colFields>
  <colItems count="4">
    <i>
      <x v="10"/>
      <x/>
    </i>
    <i r="1" i="1">
      <x v="1"/>
    </i>
    <i t="grand">
      <x/>
    </i>
    <i t="grand" i="1">
      <x/>
    </i>
  </colItems>
  <pageFields count="2">
    <pageField fld="0" hier="-1"/>
    <pageField fld="13" hier="-1"/>
  </pageFields>
  <dataFields count="2">
    <dataField name="Sum of Total Weight _x000a_(Kg)" fld="12" baseField="0" baseItem="0"/>
    <dataField name="Sum of Gross Wt _x000a_(kg)" fld="20" baseField="0" baseItem="0"/>
  </dataFields>
  <formats count="46">
    <format dxfId="115">
      <pivotArea type="all" dataOnly="0" outline="0" fieldPosition="0"/>
    </format>
    <format dxfId="114">
      <pivotArea outline="0" collapsedLevelsAreSubtotals="1" fieldPosition="0"/>
    </format>
    <format dxfId="113">
      <pivotArea type="origin" dataOnly="0" labelOnly="1" outline="0" fieldPosition="0"/>
    </format>
    <format dxfId="112">
      <pivotArea field="15" type="button" dataOnly="0" labelOnly="1" outline="0" axis="axisCol" fieldPosition="0"/>
    </format>
    <format dxfId="111">
      <pivotArea field="-2" type="button" dataOnly="0" labelOnly="1" outline="0" axis="axisCol" fieldPosition="1"/>
    </format>
    <format dxfId="110">
      <pivotArea type="topRight" dataOnly="0" labelOnly="1" outline="0" fieldPosition="0"/>
    </format>
    <format dxfId="109">
      <pivotArea field="17" type="button" dataOnly="0" labelOnly="1" outline="0" axis="axisRow" fieldPosition="0"/>
    </format>
    <format dxfId="108">
      <pivotArea dataOnly="0" labelOnly="1" fieldPosition="0">
        <references count="1">
          <reference field="17" count="0"/>
        </references>
      </pivotArea>
    </format>
    <format dxfId="107">
      <pivotArea dataOnly="0" labelOnly="1" grandRow="1" outline="0" fieldPosition="0"/>
    </format>
    <format dxfId="106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105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4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10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10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10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9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9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9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9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type="origin" dataOnly="0" labelOnly="1" outline="0" fieldPosition="0"/>
    </format>
    <format dxfId="92">
      <pivotArea field="15" type="button" dataOnly="0" labelOnly="1" outline="0" axis="axisCol" fieldPosition="0"/>
    </format>
    <format dxfId="91">
      <pivotArea field="-2" type="button" dataOnly="0" labelOnly="1" outline="0" axis="axisCol" fieldPosition="1"/>
    </format>
    <format dxfId="90">
      <pivotArea type="topRight" dataOnly="0" labelOnly="1" outline="0" fieldPosition="0"/>
    </format>
    <format dxfId="89">
      <pivotArea field="17" type="button" dataOnly="0" labelOnly="1" outline="0" axis="axisRow" fieldPosition="0"/>
    </format>
    <format dxfId="88">
      <pivotArea dataOnly="0" labelOnly="1" fieldPosition="0">
        <references count="1">
          <reference field="17" count="0"/>
        </references>
      </pivotArea>
    </format>
    <format dxfId="87">
      <pivotArea dataOnly="0" labelOnly="1" grandRow="1" outline="0" fieldPosition="0"/>
    </format>
    <format dxfId="86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85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4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8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8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8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7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7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75">
      <pivotArea outline="0" collapsedLevelsAreSubtotals="1" fieldPosition="0"/>
    </format>
    <format dxfId="74">
      <pivotArea outline="0" collapsedLevelsAreSubtotals="1" fieldPosition="0"/>
    </format>
    <format dxfId="73">
      <pivotArea outline="0" collapsedLevelsAreSubtotals="1" fieldPosition="0"/>
    </format>
    <format dxfId="72">
      <pivotArea dataOnly="0" fieldPosition="0">
        <references count="1">
          <reference field="17" count="1">
            <x v="26"/>
          </reference>
        </references>
      </pivotArea>
    </format>
    <format dxfId="71">
      <pivotArea dataOnly="0" fieldPosition="0">
        <references count="1">
          <reference field="17" count="1">
            <x v="26"/>
          </reference>
        </references>
      </pivotArea>
    </format>
    <format dxfId="70">
      <pivotArea dataOnly="0" labelOnly="1" fieldPosition="0">
        <references count="1">
          <reference field="17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DDD9E-52EF-47D1-BBD9-F66523FB770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80:S84" firstHeaderRow="1" firstDataRow="3" firstDataCol="1" rowPageCount="2" colPageCount="1"/>
  <pivotFields count="21">
    <pivotField axis="axisPage" multipleItemSelectionAllowed="1" showAll="0">
      <items count="16">
        <item m="1" x="14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13">
        <item x="6"/>
        <item x="8"/>
        <item x="5"/>
        <item x="7"/>
        <item x="1"/>
        <item x="4"/>
        <item x="3"/>
        <item x="10"/>
        <item x="11"/>
        <item x="9"/>
        <item x="2"/>
        <item x="0"/>
        <item t="default"/>
      </items>
    </pivotField>
    <pivotField showAll="0"/>
    <pivotField axis="axisCol" showAll="0">
      <items count="13">
        <item x="3"/>
        <item m="1" x="10"/>
        <item m="1" x="11"/>
        <item x="4"/>
        <item x="0"/>
        <item m="1" x="7"/>
        <item m="1" x="8"/>
        <item x="5"/>
        <item x="6"/>
        <item m="1" x="9"/>
        <item x="1"/>
        <item x="2"/>
        <item t="default"/>
      </items>
    </pivotField>
    <pivotField showAll="0"/>
    <pivotField axis="axisRow" showAll="0">
      <items count="32">
        <item x="15"/>
        <item x="10"/>
        <item x="1"/>
        <item x="2"/>
        <item x="21"/>
        <item x="3"/>
        <item x="5"/>
        <item x="4"/>
        <item x="7"/>
        <item x="19"/>
        <item x="27"/>
        <item x="25"/>
        <item x="22"/>
        <item x="18"/>
        <item x="16"/>
        <item x="9"/>
        <item x="17"/>
        <item x="20"/>
        <item x="14"/>
        <item x="8"/>
        <item x="6"/>
        <item x="23"/>
        <item x="29"/>
        <item x="24"/>
        <item x="13"/>
        <item x="28"/>
        <item x="11"/>
        <item x="12"/>
        <item h="1" x="0"/>
        <item h="1" x="26"/>
        <item h="1" x="30"/>
        <item t="default"/>
      </items>
    </pivotField>
    <pivotField showAll="0"/>
    <pivotField showAll="0"/>
    <pivotField dataField="1" showAll="0"/>
  </pivotFields>
  <rowFields count="1">
    <field x="17"/>
  </rowFields>
  <rowItems count="2">
    <i>
      <x v="12"/>
    </i>
    <i t="grand">
      <x/>
    </i>
  </rowItems>
  <colFields count="2">
    <field x="15"/>
    <field x="-2"/>
  </colFields>
  <colItems count="4">
    <i>
      <x v="3"/>
      <x/>
    </i>
    <i r="1" i="1">
      <x v="1"/>
    </i>
    <i t="grand">
      <x/>
    </i>
    <i t="grand" i="1">
      <x/>
    </i>
  </colItems>
  <pageFields count="2">
    <pageField fld="0" hier="-1"/>
    <pageField fld="13" hier="-1"/>
  </pageFields>
  <dataFields count="2">
    <dataField name="Sum of Total Weight _x000a_(Kg)" fld="12" baseField="0" baseItem="0"/>
    <dataField name="Sum of Gross Wt _x000a_(kg)" fld="20" baseField="0" baseItem="0"/>
  </dataFields>
  <formats count="46">
    <format dxfId="161">
      <pivotArea type="all" dataOnly="0" outline="0" fieldPosition="0"/>
    </format>
    <format dxfId="160">
      <pivotArea outline="0" collapsedLevelsAreSubtotals="1" fieldPosition="0"/>
    </format>
    <format dxfId="159">
      <pivotArea type="origin" dataOnly="0" labelOnly="1" outline="0" fieldPosition="0"/>
    </format>
    <format dxfId="158">
      <pivotArea field="15" type="button" dataOnly="0" labelOnly="1" outline="0" axis="axisCol" fieldPosition="0"/>
    </format>
    <format dxfId="157">
      <pivotArea field="-2" type="button" dataOnly="0" labelOnly="1" outline="0" axis="axisCol" fieldPosition="1"/>
    </format>
    <format dxfId="156">
      <pivotArea type="topRight" dataOnly="0" labelOnly="1" outline="0" fieldPosition="0"/>
    </format>
    <format dxfId="155">
      <pivotArea field="17" type="button" dataOnly="0" labelOnly="1" outline="0" axis="axisRow" fieldPosition="0"/>
    </format>
    <format dxfId="154">
      <pivotArea dataOnly="0" labelOnly="1" fieldPosition="0">
        <references count="1">
          <reference field="17" count="0"/>
        </references>
      </pivotArea>
    </format>
    <format dxfId="153">
      <pivotArea dataOnly="0" labelOnly="1" grandRow="1" outline="0" fieldPosition="0"/>
    </format>
    <format dxfId="152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151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0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14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14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14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14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14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14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type="origin" dataOnly="0" labelOnly="1" outline="0" fieldPosition="0"/>
    </format>
    <format dxfId="138">
      <pivotArea field="15" type="button" dataOnly="0" labelOnly="1" outline="0" axis="axisCol" fieldPosition="0"/>
    </format>
    <format dxfId="137">
      <pivotArea field="-2" type="button" dataOnly="0" labelOnly="1" outline="0" axis="axisCol" fieldPosition="1"/>
    </format>
    <format dxfId="136">
      <pivotArea type="topRight" dataOnly="0" labelOnly="1" outline="0" fieldPosition="0"/>
    </format>
    <format dxfId="135">
      <pivotArea field="17" type="button" dataOnly="0" labelOnly="1" outline="0" axis="axisRow" fieldPosition="0"/>
    </format>
    <format dxfId="134">
      <pivotArea dataOnly="0" labelOnly="1" fieldPosition="0">
        <references count="1">
          <reference field="17" count="0"/>
        </references>
      </pivotArea>
    </format>
    <format dxfId="133">
      <pivotArea dataOnly="0" labelOnly="1" grandRow="1" outline="0" fieldPosition="0"/>
    </format>
    <format dxfId="132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131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0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12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12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12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12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12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121">
      <pivotArea outline="0" collapsedLevelsAreSubtotals="1" fieldPosition="0"/>
    </format>
    <format dxfId="120">
      <pivotArea outline="0" collapsedLevelsAreSubtotals="1" fieldPosition="0"/>
    </format>
    <format dxfId="119">
      <pivotArea outline="0" collapsedLevelsAreSubtotals="1" fieldPosition="0"/>
    </format>
    <format dxfId="118">
      <pivotArea dataOnly="0" fieldPosition="0">
        <references count="1">
          <reference field="17" count="1">
            <x v="26"/>
          </reference>
        </references>
      </pivotArea>
    </format>
    <format dxfId="117">
      <pivotArea dataOnly="0" fieldPosition="0">
        <references count="1">
          <reference field="17" count="1">
            <x v="26"/>
          </reference>
        </references>
      </pivotArea>
    </format>
    <format dxfId="116">
      <pivotArea dataOnly="0" labelOnly="1" fieldPosition="0">
        <references count="1">
          <reference field="17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5BAD9-5504-4098-B001-B0CD4F39423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Y27" firstHeaderRow="1" firstDataRow="3" firstDataCol="1" rowPageCount="2" colPageCount="1"/>
  <pivotFields count="21">
    <pivotField axis="axisPage" multipleItemSelectionAllowed="1" showAll="0">
      <items count="16">
        <item m="1" x="14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13">
        <item x="6"/>
        <item x="8"/>
        <item x="5"/>
        <item x="7"/>
        <item x="1"/>
        <item x="4"/>
        <item x="3"/>
        <item x="10"/>
        <item x="11"/>
        <item x="9"/>
        <item x="2"/>
        <item x="0"/>
        <item t="default"/>
      </items>
    </pivotField>
    <pivotField showAll="0"/>
    <pivotField axis="axisCol" showAll="0">
      <items count="13">
        <item x="3"/>
        <item m="1" x="10"/>
        <item m="1" x="11"/>
        <item x="4"/>
        <item x="0"/>
        <item m="1" x="7"/>
        <item m="1" x="8"/>
        <item x="5"/>
        <item x="6"/>
        <item m="1" x="9"/>
        <item x="1"/>
        <item x="2"/>
        <item t="default"/>
      </items>
    </pivotField>
    <pivotField showAll="0"/>
    <pivotField axis="axisRow" showAll="0">
      <items count="32">
        <item x="15"/>
        <item x="10"/>
        <item x="1"/>
        <item x="2"/>
        <item x="21"/>
        <item x="3"/>
        <item x="5"/>
        <item x="4"/>
        <item x="7"/>
        <item x="19"/>
        <item x="27"/>
        <item x="25"/>
        <item x="22"/>
        <item x="18"/>
        <item x="16"/>
        <item x="9"/>
        <item x="17"/>
        <item x="20"/>
        <item x="14"/>
        <item x="8"/>
        <item x="6"/>
        <item x="23"/>
        <item x="29"/>
        <item x="24"/>
        <item x="13"/>
        <item x="28"/>
        <item x="11"/>
        <item x="12"/>
        <item h="1" x="0"/>
        <item x="26"/>
        <item x="30"/>
        <item t="default"/>
      </items>
    </pivotField>
    <pivotField showAll="0"/>
    <pivotField showAll="0"/>
    <pivotField dataField="1" showAll="0"/>
  </pivotFields>
  <rowFields count="1">
    <field x="17"/>
  </rowFields>
  <rowItems count="21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4"/>
    </i>
    <i>
      <x v="26"/>
    </i>
    <i>
      <x v="27"/>
    </i>
    <i t="grand">
      <x/>
    </i>
  </rowItems>
  <colFields count="2">
    <field x="15"/>
    <field x="-2"/>
  </colFields>
  <colItems count="10">
    <i>
      <x/>
      <x/>
    </i>
    <i r="1" i="1">
      <x v="1"/>
    </i>
    <i>
      <x v="3"/>
      <x/>
    </i>
    <i r="1" i="1">
      <x v="1"/>
    </i>
    <i>
      <x v="10"/>
      <x/>
    </i>
    <i r="1" i="1">
      <x v="1"/>
    </i>
    <i>
      <x v="11"/>
      <x/>
    </i>
    <i r="1" i="1">
      <x v="1"/>
    </i>
    <i t="grand">
      <x/>
    </i>
    <i t="grand" i="1">
      <x/>
    </i>
  </colItems>
  <pageFields count="2">
    <pageField fld="0" hier="-1"/>
    <pageField fld="13" hier="-1"/>
  </pageFields>
  <dataFields count="2">
    <dataField name="Sum of Total Weight _x000a_(Kg)" fld="12" baseField="0" baseItem="0"/>
    <dataField name="Sum of Gross Wt _x000a_(kg)" fld="20" baseField="0" baseItem="0"/>
  </dataFields>
  <formats count="46">
    <format dxfId="207">
      <pivotArea type="all" dataOnly="0" outline="0" fieldPosition="0"/>
    </format>
    <format dxfId="206">
      <pivotArea outline="0" collapsedLevelsAreSubtotals="1" fieldPosition="0"/>
    </format>
    <format dxfId="205">
      <pivotArea type="origin" dataOnly="0" labelOnly="1" outline="0" fieldPosition="0"/>
    </format>
    <format dxfId="204">
      <pivotArea field="15" type="button" dataOnly="0" labelOnly="1" outline="0" axis="axisCol" fieldPosition="0"/>
    </format>
    <format dxfId="203">
      <pivotArea field="-2" type="button" dataOnly="0" labelOnly="1" outline="0" axis="axisCol" fieldPosition="1"/>
    </format>
    <format dxfId="202">
      <pivotArea type="topRight" dataOnly="0" labelOnly="1" outline="0" fieldPosition="0"/>
    </format>
    <format dxfId="201">
      <pivotArea field="17" type="button" dataOnly="0" labelOnly="1" outline="0" axis="axisRow" fieldPosition="0"/>
    </format>
    <format dxfId="200">
      <pivotArea dataOnly="0" labelOnly="1" fieldPosition="0">
        <references count="1">
          <reference field="17" count="0"/>
        </references>
      </pivotArea>
    </format>
    <format dxfId="199">
      <pivotArea dataOnly="0" labelOnly="1" grandRow="1" outline="0" fieldPosition="0"/>
    </format>
    <format dxfId="198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197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96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19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19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19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19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19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18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18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type="origin" dataOnly="0" labelOnly="1" outline="0" fieldPosition="0"/>
    </format>
    <format dxfId="184">
      <pivotArea field="15" type="button" dataOnly="0" labelOnly="1" outline="0" axis="axisCol" fieldPosition="0"/>
    </format>
    <format dxfId="183">
      <pivotArea field="-2" type="button" dataOnly="0" labelOnly="1" outline="0" axis="axisCol" fieldPosition="1"/>
    </format>
    <format dxfId="182">
      <pivotArea type="topRight" dataOnly="0" labelOnly="1" outline="0" fieldPosition="0"/>
    </format>
    <format dxfId="181">
      <pivotArea field="17" type="button" dataOnly="0" labelOnly="1" outline="0" axis="axisRow" fieldPosition="0"/>
    </format>
    <format dxfId="180">
      <pivotArea dataOnly="0" labelOnly="1" fieldPosition="0">
        <references count="1">
          <reference field="17" count="0"/>
        </references>
      </pivotArea>
    </format>
    <format dxfId="179">
      <pivotArea dataOnly="0" labelOnly="1" grandRow="1" outline="0" fieldPosition="0"/>
    </format>
    <format dxfId="178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177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6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17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17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17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17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17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16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167">
      <pivotArea outline="0" collapsedLevelsAreSubtotals="1" fieldPosition="0"/>
    </format>
    <format dxfId="166">
      <pivotArea outline="0" collapsedLevelsAreSubtotals="1" fieldPosition="0"/>
    </format>
    <format dxfId="165">
      <pivotArea outline="0" collapsedLevelsAreSubtotals="1" fieldPosition="0"/>
    </format>
    <format dxfId="164">
      <pivotArea dataOnly="0" fieldPosition="0">
        <references count="1">
          <reference field="17" count="1">
            <x v="26"/>
          </reference>
        </references>
      </pivotArea>
    </format>
    <format dxfId="163">
      <pivotArea dataOnly="0" fieldPosition="0">
        <references count="1">
          <reference field="17" count="1">
            <x v="26"/>
          </reference>
        </references>
      </pivotArea>
    </format>
    <format dxfId="162">
      <pivotArea dataOnly="0" labelOnly="1" fieldPosition="0">
        <references count="1">
          <reference field="17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EC4F2-CEB2-4ABC-919A-03E6A4BB270B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26:AA138" firstHeaderRow="1" firstDataRow="3" firstDataCol="1" rowPageCount="2" colPageCount="1"/>
  <pivotFields count="21">
    <pivotField axis="axisPage" multipleItemSelectionAllowed="1" showAll="0">
      <items count="16">
        <item m="1" x="14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13">
        <item x="6"/>
        <item x="8"/>
        <item x="5"/>
        <item x="7"/>
        <item x="1"/>
        <item x="4"/>
        <item x="3"/>
        <item x="10"/>
        <item x="11"/>
        <item x="9"/>
        <item x="2"/>
        <item x="0"/>
        <item t="default"/>
      </items>
    </pivotField>
    <pivotField showAll="0"/>
    <pivotField axis="axisCol" showAll="0">
      <items count="13">
        <item x="3"/>
        <item m="1" x="10"/>
        <item m="1" x="11"/>
        <item x="4"/>
        <item x="0"/>
        <item m="1" x="7"/>
        <item m="1" x="8"/>
        <item x="5"/>
        <item x="6"/>
        <item m="1" x="9"/>
        <item x="1"/>
        <item x="2"/>
        <item t="default"/>
      </items>
    </pivotField>
    <pivotField showAll="0"/>
    <pivotField axis="axisRow" showAll="0">
      <items count="32">
        <item x="15"/>
        <item x="10"/>
        <item x="1"/>
        <item x="2"/>
        <item x="21"/>
        <item x="3"/>
        <item x="5"/>
        <item x="4"/>
        <item x="7"/>
        <item x="19"/>
        <item x="27"/>
        <item x="25"/>
        <item x="22"/>
        <item x="18"/>
        <item x="16"/>
        <item x="9"/>
        <item x="17"/>
        <item x="20"/>
        <item x="14"/>
        <item x="8"/>
        <item x="6"/>
        <item x="23"/>
        <item x="29"/>
        <item x="24"/>
        <item x="13"/>
        <item x="28"/>
        <item x="11"/>
        <item x="12"/>
        <item h="1" x="0"/>
        <item x="26"/>
        <item x="30"/>
        <item t="default"/>
      </items>
    </pivotField>
    <pivotField showAll="0"/>
    <pivotField showAll="0"/>
    <pivotField dataField="1" showAll="0"/>
  </pivotFields>
  <rowFields count="1">
    <field x="17"/>
  </rowFields>
  <rowItems count="10">
    <i>
      <x v="1"/>
    </i>
    <i>
      <x v="2"/>
    </i>
    <i>
      <x v="3"/>
    </i>
    <i>
      <x v="5"/>
    </i>
    <i>
      <x v="6"/>
    </i>
    <i>
      <x v="11"/>
    </i>
    <i>
      <x v="20"/>
    </i>
    <i>
      <x v="23"/>
    </i>
    <i>
      <x v="29"/>
    </i>
    <i t="grand">
      <x/>
    </i>
  </rowItems>
  <colFields count="2">
    <field x="15"/>
    <field x="-2"/>
  </colFields>
  <colItems count="12">
    <i>
      <x/>
      <x/>
    </i>
    <i r="1" i="1">
      <x v="1"/>
    </i>
    <i>
      <x v="3"/>
      <x/>
    </i>
    <i r="1" i="1">
      <x v="1"/>
    </i>
    <i>
      <x v="7"/>
      <x/>
    </i>
    <i r="1" i="1">
      <x v="1"/>
    </i>
    <i>
      <x v="10"/>
      <x/>
    </i>
    <i r="1" i="1">
      <x v="1"/>
    </i>
    <i>
      <x v="11"/>
      <x/>
    </i>
    <i r="1" i="1">
      <x v="1"/>
    </i>
    <i t="grand">
      <x/>
    </i>
    <i t="grand" i="1">
      <x/>
    </i>
  </colItems>
  <pageFields count="2">
    <pageField fld="0" hier="-1"/>
    <pageField fld="13" hier="-1"/>
  </pageFields>
  <dataFields count="2">
    <dataField name="Sum of Total Weight _x000a_(Kg)" fld="12" baseField="0" baseItem="0"/>
    <dataField name="Sum of Gross Wt _x000a_(kg)" fld="20" baseField="0" baseItem="0"/>
  </dataFields>
  <formats count="46">
    <format dxfId="253">
      <pivotArea type="all" dataOnly="0" outline="0" fieldPosition="0"/>
    </format>
    <format dxfId="252">
      <pivotArea outline="0" collapsedLevelsAreSubtotals="1" fieldPosition="0"/>
    </format>
    <format dxfId="251">
      <pivotArea type="origin" dataOnly="0" labelOnly="1" outline="0" fieldPosition="0"/>
    </format>
    <format dxfId="250">
      <pivotArea field="15" type="button" dataOnly="0" labelOnly="1" outline="0" axis="axisCol" fieldPosition="0"/>
    </format>
    <format dxfId="249">
      <pivotArea field="-2" type="button" dataOnly="0" labelOnly="1" outline="0" axis="axisCol" fieldPosition="1"/>
    </format>
    <format dxfId="248">
      <pivotArea type="topRight" dataOnly="0" labelOnly="1" outline="0" fieldPosition="0"/>
    </format>
    <format dxfId="247">
      <pivotArea field="17" type="button" dataOnly="0" labelOnly="1" outline="0" axis="axisRow" fieldPosition="0"/>
    </format>
    <format dxfId="246">
      <pivotArea dataOnly="0" labelOnly="1" fieldPosition="0">
        <references count="1">
          <reference field="17" count="0"/>
        </references>
      </pivotArea>
    </format>
    <format dxfId="245">
      <pivotArea dataOnly="0" labelOnly="1" grandRow="1" outline="0" fieldPosition="0"/>
    </format>
    <format dxfId="244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243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2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24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23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23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23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23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23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23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233">
      <pivotArea type="all" dataOnly="0" outline="0" fieldPosition="0"/>
    </format>
    <format dxfId="232">
      <pivotArea outline="0" collapsedLevelsAreSubtotals="1" fieldPosition="0"/>
    </format>
    <format dxfId="231">
      <pivotArea type="origin" dataOnly="0" labelOnly="1" outline="0" fieldPosition="0"/>
    </format>
    <format dxfId="230">
      <pivotArea field="15" type="button" dataOnly="0" labelOnly="1" outline="0" axis="axisCol" fieldPosition="0"/>
    </format>
    <format dxfId="229">
      <pivotArea field="-2" type="button" dataOnly="0" labelOnly="1" outline="0" axis="axisCol" fieldPosition="1"/>
    </format>
    <format dxfId="228">
      <pivotArea type="topRight" dataOnly="0" labelOnly="1" outline="0" fieldPosition="0"/>
    </format>
    <format dxfId="227">
      <pivotArea field="17" type="button" dataOnly="0" labelOnly="1" outline="0" axis="axisRow" fieldPosition="0"/>
    </format>
    <format dxfId="226">
      <pivotArea dataOnly="0" labelOnly="1" fieldPosition="0">
        <references count="1">
          <reference field="17" count="0"/>
        </references>
      </pivotArea>
    </format>
    <format dxfId="225">
      <pivotArea dataOnly="0" labelOnly="1" grandRow="1" outline="0" fieldPosition="0"/>
    </format>
    <format dxfId="224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223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22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2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22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21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21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21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21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21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21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213">
      <pivotArea outline="0" collapsedLevelsAreSubtotals="1" fieldPosition="0"/>
    </format>
    <format dxfId="212">
      <pivotArea outline="0" collapsedLevelsAreSubtotals="1" fieldPosition="0"/>
    </format>
    <format dxfId="211">
      <pivotArea outline="0" collapsedLevelsAreSubtotals="1" fieldPosition="0"/>
    </format>
    <format dxfId="210">
      <pivotArea dataOnly="0" fieldPosition="0">
        <references count="1">
          <reference field="17" count="1">
            <x v="26"/>
          </reference>
        </references>
      </pivotArea>
    </format>
    <format dxfId="209">
      <pivotArea dataOnly="0" fieldPosition="0">
        <references count="1">
          <reference field="17" count="1">
            <x v="26"/>
          </reference>
        </references>
      </pivotArea>
    </format>
    <format dxfId="208">
      <pivotArea dataOnly="0" labelOnly="1" fieldPosition="0">
        <references count="1">
          <reference field="17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A0CC0-F99F-4380-BCAB-F382597729A4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44:W151" firstHeaderRow="1" firstDataRow="3" firstDataCol="1" rowPageCount="2" colPageCount="1"/>
  <pivotFields count="21">
    <pivotField axis="axisPage" multipleItemSelectionAllowed="1" showAll="0">
      <items count="16">
        <item m="1" x="14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13">
        <item x="6"/>
        <item x="8"/>
        <item x="5"/>
        <item x="7"/>
        <item x="1"/>
        <item x="4"/>
        <item x="3"/>
        <item x="10"/>
        <item x="11"/>
        <item x="9"/>
        <item x="2"/>
        <item x="0"/>
        <item t="default"/>
      </items>
    </pivotField>
    <pivotField showAll="0"/>
    <pivotField axis="axisCol" showAll="0">
      <items count="13">
        <item x="3"/>
        <item m="1" x="10"/>
        <item m="1" x="11"/>
        <item x="4"/>
        <item x="0"/>
        <item m="1" x="7"/>
        <item m="1" x="8"/>
        <item x="5"/>
        <item x="6"/>
        <item m="1" x="9"/>
        <item x="1"/>
        <item x="2"/>
        <item t="default"/>
      </items>
    </pivotField>
    <pivotField showAll="0"/>
    <pivotField axis="axisRow" showAll="0">
      <items count="32">
        <item x="15"/>
        <item x="10"/>
        <item x="1"/>
        <item x="2"/>
        <item x="21"/>
        <item x="3"/>
        <item x="5"/>
        <item x="4"/>
        <item x="7"/>
        <item x="19"/>
        <item x="27"/>
        <item x="25"/>
        <item x="22"/>
        <item x="18"/>
        <item x="16"/>
        <item x="9"/>
        <item x="17"/>
        <item x="20"/>
        <item x="14"/>
        <item x="8"/>
        <item x="6"/>
        <item x="23"/>
        <item x="29"/>
        <item x="24"/>
        <item x="13"/>
        <item x="28"/>
        <item x="11"/>
        <item x="12"/>
        <item h="1" x="0"/>
        <item h="1" x="26"/>
        <item h="1" x="30"/>
        <item t="default"/>
      </items>
    </pivotField>
    <pivotField showAll="0"/>
    <pivotField showAll="0"/>
    <pivotField dataField="1" showAll="0"/>
  </pivotFields>
  <rowFields count="1">
    <field x="17"/>
  </rowFields>
  <rowItems count="5">
    <i>
      <x v="3"/>
    </i>
    <i>
      <x v="5"/>
    </i>
    <i>
      <x v="10"/>
    </i>
    <i>
      <x v="17"/>
    </i>
    <i t="grand">
      <x/>
    </i>
  </rowItems>
  <colFields count="2">
    <field x="15"/>
    <field x="-2"/>
  </colFields>
  <colItems count="8">
    <i>
      <x v="3"/>
      <x/>
    </i>
    <i r="1" i="1">
      <x v="1"/>
    </i>
    <i>
      <x v="10"/>
      <x/>
    </i>
    <i r="1" i="1">
      <x v="1"/>
    </i>
    <i>
      <x v="11"/>
      <x/>
    </i>
    <i r="1" i="1">
      <x v="1"/>
    </i>
    <i t="grand">
      <x/>
    </i>
    <i t="grand" i="1">
      <x/>
    </i>
  </colItems>
  <pageFields count="2">
    <pageField fld="0" hier="-1"/>
    <pageField fld="13" hier="-1"/>
  </pageFields>
  <dataFields count="2">
    <dataField name="Sum of Total Weight _x000a_(Kg)" fld="12" baseField="0" baseItem="0"/>
    <dataField name="Sum of Gross Wt _x000a_(kg)" fld="20" baseField="0" baseItem="0"/>
  </dataFields>
  <formats count="46">
    <format dxfId="299">
      <pivotArea type="all" dataOnly="0" outline="0" fieldPosition="0"/>
    </format>
    <format dxfId="298">
      <pivotArea outline="0" collapsedLevelsAreSubtotals="1" fieldPosition="0"/>
    </format>
    <format dxfId="297">
      <pivotArea type="origin" dataOnly="0" labelOnly="1" outline="0" fieldPosition="0"/>
    </format>
    <format dxfId="296">
      <pivotArea field="15" type="button" dataOnly="0" labelOnly="1" outline="0" axis="axisCol" fieldPosition="0"/>
    </format>
    <format dxfId="295">
      <pivotArea field="-2" type="button" dataOnly="0" labelOnly="1" outline="0" axis="axisCol" fieldPosition="1"/>
    </format>
    <format dxfId="294">
      <pivotArea type="topRight" dataOnly="0" labelOnly="1" outline="0" fieldPosition="0"/>
    </format>
    <format dxfId="293">
      <pivotArea field="17" type="button" dataOnly="0" labelOnly="1" outline="0" axis="axisRow" fieldPosition="0"/>
    </format>
    <format dxfId="292">
      <pivotArea dataOnly="0" labelOnly="1" fieldPosition="0">
        <references count="1">
          <reference field="17" count="0"/>
        </references>
      </pivotArea>
    </format>
    <format dxfId="291">
      <pivotArea dataOnly="0" labelOnly="1" grandRow="1" outline="0" fieldPosition="0"/>
    </format>
    <format dxfId="290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289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88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8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28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28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28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28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28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28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28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279">
      <pivotArea type="all" dataOnly="0" outline="0" fieldPosition="0"/>
    </format>
    <format dxfId="278">
      <pivotArea outline="0" collapsedLevelsAreSubtotals="1" fieldPosition="0"/>
    </format>
    <format dxfId="277">
      <pivotArea type="origin" dataOnly="0" labelOnly="1" outline="0" fieldPosition="0"/>
    </format>
    <format dxfId="276">
      <pivotArea field="15" type="button" dataOnly="0" labelOnly="1" outline="0" axis="axisCol" fieldPosition="0"/>
    </format>
    <format dxfId="275">
      <pivotArea field="-2" type="button" dataOnly="0" labelOnly="1" outline="0" axis="axisCol" fieldPosition="1"/>
    </format>
    <format dxfId="274">
      <pivotArea type="topRight" dataOnly="0" labelOnly="1" outline="0" fieldPosition="0"/>
    </format>
    <format dxfId="273">
      <pivotArea field="17" type="button" dataOnly="0" labelOnly="1" outline="0" axis="axisRow" fieldPosition="0"/>
    </format>
    <format dxfId="272">
      <pivotArea dataOnly="0" labelOnly="1" fieldPosition="0">
        <references count="1">
          <reference field="17" count="0"/>
        </references>
      </pivotArea>
    </format>
    <format dxfId="271">
      <pivotArea dataOnly="0" labelOnly="1" grandRow="1" outline="0" fieldPosition="0"/>
    </format>
    <format dxfId="270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269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68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6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26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26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26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26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26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26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26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259">
      <pivotArea outline="0" collapsedLevelsAreSubtotals="1" fieldPosition="0"/>
    </format>
    <format dxfId="258">
      <pivotArea outline="0" collapsedLevelsAreSubtotals="1" fieldPosition="0"/>
    </format>
    <format dxfId="257">
      <pivotArea outline="0" collapsedLevelsAreSubtotals="1" fieldPosition="0"/>
    </format>
    <format dxfId="256">
      <pivotArea dataOnly="0" fieldPosition="0">
        <references count="1">
          <reference field="17" count="1">
            <x v="26"/>
          </reference>
        </references>
      </pivotArea>
    </format>
    <format dxfId="255">
      <pivotArea dataOnly="0" fieldPosition="0">
        <references count="1">
          <reference field="17" count="1">
            <x v="26"/>
          </reference>
        </references>
      </pivotArea>
    </format>
    <format dxfId="254">
      <pivotArea dataOnly="0" labelOnly="1" fieldPosition="0">
        <references count="1">
          <reference field="17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0354A-C97A-423E-A0C9-A90C7861E322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90:U96" firstHeaderRow="1" firstDataRow="3" firstDataCol="1" rowPageCount="2" colPageCount="1"/>
  <pivotFields count="21">
    <pivotField axis="axisPage" multipleItemSelectionAllowed="1" showAll="0">
      <items count="16">
        <item m="1" x="14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13">
        <item x="6"/>
        <item x="8"/>
        <item x="5"/>
        <item x="7"/>
        <item x="1"/>
        <item x="4"/>
        <item x="3"/>
        <item x="10"/>
        <item x="11"/>
        <item x="9"/>
        <item x="2"/>
        <item x="0"/>
        <item t="default"/>
      </items>
    </pivotField>
    <pivotField showAll="0"/>
    <pivotField axis="axisCol" showAll="0">
      <items count="13">
        <item x="3"/>
        <item m="1" x="10"/>
        <item m="1" x="11"/>
        <item x="4"/>
        <item x="0"/>
        <item m="1" x="7"/>
        <item m="1" x="8"/>
        <item x="5"/>
        <item x="6"/>
        <item m="1" x="9"/>
        <item x="1"/>
        <item x="2"/>
        <item t="default"/>
      </items>
    </pivotField>
    <pivotField showAll="0"/>
    <pivotField axis="axisRow" showAll="0">
      <items count="32">
        <item x="15"/>
        <item x="10"/>
        <item x="1"/>
        <item x="2"/>
        <item x="21"/>
        <item x="3"/>
        <item x="5"/>
        <item x="4"/>
        <item x="7"/>
        <item x="19"/>
        <item x="27"/>
        <item x="25"/>
        <item x="22"/>
        <item x="18"/>
        <item x="16"/>
        <item x="9"/>
        <item x="17"/>
        <item x="20"/>
        <item x="14"/>
        <item x="8"/>
        <item x="6"/>
        <item x="23"/>
        <item x="29"/>
        <item x="24"/>
        <item x="13"/>
        <item x="28"/>
        <item x="11"/>
        <item x="12"/>
        <item h="1" x="0"/>
        <item h="1" x="26"/>
        <item h="1" x="30"/>
        <item t="default"/>
      </items>
    </pivotField>
    <pivotField showAll="0"/>
    <pivotField showAll="0"/>
    <pivotField dataField="1" showAll="0"/>
  </pivotFields>
  <rowFields count="1">
    <field x="17"/>
  </rowFields>
  <rowItems count="4">
    <i>
      <x v="2"/>
    </i>
    <i>
      <x v="5"/>
    </i>
    <i>
      <x v="6"/>
    </i>
    <i t="grand">
      <x/>
    </i>
  </rowItems>
  <colFields count="2">
    <field x="15"/>
    <field x="-2"/>
  </colFields>
  <colItems count="6">
    <i>
      <x v="10"/>
      <x/>
    </i>
    <i r="1" i="1">
      <x v="1"/>
    </i>
    <i>
      <x v="11"/>
      <x/>
    </i>
    <i r="1" i="1">
      <x v="1"/>
    </i>
    <i t="grand">
      <x/>
    </i>
    <i t="grand" i="1">
      <x/>
    </i>
  </colItems>
  <pageFields count="2">
    <pageField fld="0" hier="-1"/>
    <pageField fld="13" hier="-1"/>
  </pageFields>
  <dataFields count="2">
    <dataField name="Sum of Total Weight _x000a_(Kg)" fld="12" baseField="0" baseItem="0"/>
    <dataField name="Sum of Gross Wt _x000a_(kg)" fld="20" baseField="0" baseItem="0"/>
  </dataFields>
  <formats count="46">
    <format dxfId="345">
      <pivotArea type="all" dataOnly="0" outline="0" fieldPosition="0"/>
    </format>
    <format dxfId="344">
      <pivotArea outline="0" collapsedLevelsAreSubtotals="1" fieldPosition="0"/>
    </format>
    <format dxfId="343">
      <pivotArea type="origin" dataOnly="0" labelOnly="1" outline="0" fieldPosition="0"/>
    </format>
    <format dxfId="342">
      <pivotArea field="15" type="button" dataOnly="0" labelOnly="1" outline="0" axis="axisCol" fieldPosition="0"/>
    </format>
    <format dxfId="341">
      <pivotArea field="-2" type="button" dataOnly="0" labelOnly="1" outline="0" axis="axisCol" fieldPosition="1"/>
    </format>
    <format dxfId="340">
      <pivotArea type="topRight" dataOnly="0" labelOnly="1" outline="0" fieldPosition="0"/>
    </format>
    <format dxfId="339">
      <pivotArea field="17" type="button" dataOnly="0" labelOnly="1" outline="0" axis="axisRow" fieldPosition="0"/>
    </format>
    <format dxfId="338">
      <pivotArea dataOnly="0" labelOnly="1" fieldPosition="0">
        <references count="1">
          <reference field="17" count="0"/>
        </references>
      </pivotArea>
    </format>
    <format dxfId="337">
      <pivotArea dataOnly="0" labelOnly="1" grandRow="1" outline="0" fieldPosition="0"/>
    </format>
    <format dxfId="336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335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4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33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33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33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32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32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32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32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325">
      <pivotArea type="all" dataOnly="0" outline="0" fieldPosition="0"/>
    </format>
    <format dxfId="324">
      <pivotArea outline="0" collapsedLevelsAreSubtotals="1" fieldPosition="0"/>
    </format>
    <format dxfId="323">
      <pivotArea type="origin" dataOnly="0" labelOnly="1" outline="0" fieldPosition="0"/>
    </format>
    <format dxfId="322">
      <pivotArea field="15" type="button" dataOnly="0" labelOnly="1" outline="0" axis="axisCol" fieldPosition="0"/>
    </format>
    <format dxfId="321">
      <pivotArea field="-2" type="button" dataOnly="0" labelOnly="1" outline="0" axis="axisCol" fieldPosition="1"/>
    </format>
    <format dxfId="320">
      <pivotArea type="topRight" dataOnly="0" labelOnly="1" outline="0" fieldPosition="0"/>
    </format>
    <format dxfId="319">
      <pivotArea field="17" type="button" dataOnly="0" labelOnly="1" outline="0" axis="axisRow" fieldPosition="0"/>
    </format>
    <format dxfId="318">
      <pivotArea dataOnly="0" labelOnly="1" fieldPosition="0">
        <references count="1">
          <reference field="17" count="0"/>
        </references>
      </pivotArea>
    </format>
    <format dxfId="317">
      <pivotArea dataOnly="0" labelOnly="1" grandRow="1" outline="0" fieldPosition="0"/>
    </format>
    <format dxfId="316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315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4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1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31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31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31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30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30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30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30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305">
      <pivotArea outline="0" collapsedLevelsAreSubtotals="1" fieldPosition="0"/>
    </format>
    <format dxfId="304">
      <pivotArea outline="0" collapsedLevelsAreSubtotals="1" fieldPosition="0"/>
    </format>
    <format dxfId="303">
      <pivotArea outline="0" collapsedLevelsAreSubtotals="1" fieldPosition="0"/>
    </format>
    <format dxfId="302">
      <pivotArea dataOnly="0" fieldPosition="0">
        <references count="1">
          <reference field="17" count="1">
            <x v="26"/>
          </reference>
        </references>
      </pivotArea>
    </format>
    <format dxfId="301">
      <pivotArea dataOnly="0" fieldPosition="0">
        <references count="1">
          <reference field="17" count="1">
            <x v="26"/>
          </reference>
        </references>
      </pivotArea>
    </format>
    <format dxfId="300">
      <pivotArea dataOnly="0" labelOnly="1" fieldPosition="0">
        <references count="1">
          <reference field="17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A4077-0F7D-4322-860E-4AD8FEE936B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5:S50" firstHeaderRow="1" firstDataRow="3" firstDataCol="1" rowPageCount="2" colPageCount="1"/>
  <pivotFields count="21">
    <pivotField axis="axisPage" multipleItemSelectionAllowed="1" showAll="0">
      <items count="16">
        <item m="1" x="14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13">
        <item x="6"/>
        <item x="8"/>
        <item x="5"/>
        <item x="7"/>
        <item x="1"/>
        <item x="4"/>
        <item x="3"/>
        <item x="10"/>
        <item x="11"/>
        <item x="9"/>
        <item x="2"/>
        <item x="0"/>
        <item t="default"/>
      </items>
    </pivotField>
    <pivotField showAll="0"/>
    <pivotField axis="axisCol" showAll="0">
      <items count="13">
        <item x="3"/>
        <item m="1" x="10"/>
        <item m="1" x="11"/>
        <item x="4"/>
        <item x="0"/>
        <item m="1" x="7"/>
        <item m="1" x="8"/>
        <item x="5"/>
        <item x="6"/>
        <item m="1" x="9"/>
        <item x="1"/>
        <item x="2"/>
        <item t="default"/>
      </items>
    </pivotField>
    <pivotField showAll="0"/>
    <pivotField axis="axisRow" showAll="0">
      <items count="32">
        <item x="15"/>
        <item x="10"/>
        <item x="1"/>
        <item x="2"/>
        <item x="21"/>
        <item x="3"/>
        <item x="5"/>
        <item x="4"/>
        <item x="7"/>
        <item x="19"/>
        <item x="27"/>
        <item x="25"/>
        <item x="22"/>
        <item x="18"/>
        <item x="16"/>
        <item x="9"/>
        <item x="17"/>
        <item x="20"/>
        <item x="14"/>
        <item x="8"/>
        <item x="6"/>
        <item x="23"/>
        <item x="29"/>
        <item x="24"/>
        <item x="13"/>
        <item x="28"/>
        <item x="11"/>
        <item x="12"/>
        <item h="1" x="0"/>
        <item h="1" x="26"/>
        <item h="1" x="30"/>
        <item t="default"/>
      </items>
    </pivotField>
    <pivotField showAll="0"/>
    <pivotField showAll="0"/>
    <pivotField dataField="1" showAll="0"/>
  </pivotFields>
  <rowFields count="1">
    <field x="17"/>
  </rowFields>
  <rowItems count="3">
    <i>
      <x v="1"/>
    </i>
    <i>
      <x v="2"/>
    </i>
    <i t="grand">
      <x/>
    </i>
  </rowItems>
  <colFields count="2">
    <field x="15"/>
    <field x="-2"/>
  </colFields>
  <colItems count="4">
    <i>
      <x v="10"/>
      <x/>
    </i>
    <i r="1" i="1">
      <x v="1"/>
    </i>
    <i t="grand">
      <x/>
    </i>
    <i t="grand" i="1">
      <x/>
    </i>
  </colItems>
  <pageFields count="2">
    <pageField fld="0" hier="-1"/>
    <pageField fld="13" hier="-1"/>
  </pageFields>
  <dataFields count="2">
    <dataField name="Sum of Total Weight _x000a_(Kg)" fld="12" baseField="0" baseItem="0"/>
    <dataField name="Sum of Gross Wt _x000a_(kg)" fld="20" baseField="0" baseItem="0"/>
  </dataFields>
  <formats count="46">
    <format dxfId="391">
      <pivotArea type="all" dataOnly="0" outline="0" fieldPosition="0"/>
    </format>
    <format dxfId="390">
      <pivotArea outline="0" collapsedLevelsAreSubtotals="1" fieldPosition="0"/>
    </format>
    <format dxfId="389">
      <pivotArea type="origin" dataOnly="0" labelOnly="1" outline="0" fieldPosition="0"/>
    </format>
    <format dxfId="388">
      <pivotArea field="15" type="button" dataOnly="0" labelOnly="1" outline="0" axis="axisCol" fieldPosition="0"/>
    </format>
    <format dxfId="387">
      <pivotArea field="-2" type="button" dataOnly="0" labelOnly="1" outline="0" axis="axisCol" fieldPosition="1"/>
    </format>
    <format dxfId="386">
      <pivotArea type="topRight" dataOnly="0" labelOnly="1" outline="0" fieldPosition="0"/>
    </format>
    <format dxfId="385">
      <pivotArea field="17" type="button" dataOnly="0" labelOnly="1" outline="0" axis="axisRow" fieldPosition="0"/>
    </format>
    <format dxfId="384">
      <pivotArea dataOnly="0" labelOnly="1" fieldPosition="0">
        <references count="1">
          <reference field="17" count="0"/>
        </references>
      </pivotArea>
    </format>
    <format dxfId="383">
      <pivotArea dataOnly="0" labelOnly="1" grandRow="1" outline="0" fieldPosition="0"/>
    </format>
    <format dxfId="382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381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0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37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37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37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37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37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37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37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371">
      <pivotArea type="all" dataOnly="0" outline="0" fieldPosition="0"/>
    </format>
    <format dxfId="370">
      <pivotArea outline="0" collapsedLevelsAreSubtotals="1" fieldPosition="0"/>
    </format>
    <format dxfId="369">
      <pivotArea type="origin" dataOnly="0" labelOnly="1" outline="0" fieldPosition="0"/>
    </format>
    <format dxfId="368">
      <pivotArea field="15" type="button" dataOnly="0" labelOnly="1" outline="0" axis="axisCol" fieldPosition="0"/>
    </format>
    <format dxfId="367">
      <pivotArea field="-2" type="button" dataOnly="0" labelOnly="1" outline="0" axis="axisCol" fieldPosition="1"/>
    </format>
    <format dxfId="366">
      <pivotArea type="topRight" dataOnly="0" labelOnly="1" outline="0" fieldPosition="0"/>
    </format>
    <format dxfId="365">
      <pivotArea field="17" type="button" dataOnly="0" labelOnly="1" outline="0" axis="axisRow" fieldPosition="0"/>
    </format>
    <format dxfId="364">
      <pivotArea dataOnly="0" labelOnly="1" fieldPosition="0">
        <references count="1">
          <reference field="17" count="0"/>
        </references>
      </pivotArea>
    </format>
    <format dxfId="363">
      <pivotArea dataOnly="0" labelOnly="1" grandRow="1" outline="0" fieldPosition="0"/>
    </format>
    <format dxfId="362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361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60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35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35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35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35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35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35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35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351">
      <pivotArea outline="0" collapsedLevelsAreSubtotals="1" fieldPosition="0"/>
    </format>
    <format dxfId="350">
      <pivotArea outline="0" collapsedLevelsAreSubtotals="1" fieldPosition="0"/>
    </format>
    <format dxfId="349">
      <pivotArea outline="0" collapsedLevelsAreSubtotals="1" fieldPosition="0"/>
    </format>
    <format dxfId="348">
      <pivotArea dataOnly="0" fieldPosition="0">
        <references count="1">
          <reference field="17" count="1">
            <x v="26"/>
          </reference>
        </references>
      </pivotArea>
    </format>
    <format dxfId="347">
      <pivotArea dataOnly="0" fieldPosition="0">
        <references count="1">
          <reference field="17" count="1">
            <x v="26"/>
          </reference>
        </references>
      </pivotArea>
    </format>
    <format dxfId="346">
      <pivotArea dataOnly="0" labelOnly="1" fieldPosition="0">
        <references count="1">
          <reference field="17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D5471-C687-49F3-8C27-11E1195FFDDF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86:T197" firstHeaderRow="1" firstDataRow="2" firstDataCol="1" rowPageCount="1" colPageCount="1"/>
  <pivotFields count="21">
    <pivotField axis="axisPage" multipleItemSelectionAllowed="1" showAll="0">
      <items count="16">
        <item h="1" x="1"/>
        <item h="1" x="2"/>
        <item h="1" x="3"/>
        <item h="1" x="4"/>
        <item h="1" x="5"/>
        <item h="1" x="6"/>
        <item h="1" x="7"/>
        <item x="14"/>
        <item h="1" x="8"/>
        <item h="1" x="9"/>
        <item h="1" x="10"/>
        <item h="1" x="11"/>
        <item h="1" x="12"/>
        <item h="1" x="1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4">
        <item x="6"/>
        <item x="3"/>
        <item x="5"/>
        <item m="1" x="8"/>
        <item m="1" x="7"/>
        <item m="1" x="12"/>
        <item m="1" x="10"/>
        <item m="1" x="11"/>
        <item m="1" x="9"/>
        <item x="4"/>
        <item x="0"/>
        <item x="1"/>
        <item x="2"/>
        <item t="default"/>
      </items>
    </pivotField>
    <pivotField showAll="0"/>
    <pivotField axis="axisRow" showAll="0">
      <items count="36">
        <item x="15"/>
        <item x="10"/>
        <item x="1"/>
        <item x="2"/>
        <item x="21"/>
        <item x="3"/>
        <item x="5"/>
        <item x="4"/>
        <item x="7"/>
        <item x="19"/>
        <item x="27"/>
        <item x="26"/>
        <item x="32"/>
        <item x="25"/>
        <item x="30"/>
        <item x="22"/>
        <item x="18"/>
        <item x="16"/>
        <item x="9"/>
        <item x="17"/>
        <item x="20"/>
        <item x="14"/>
        <item x="8"/>
        <item x="34"/>
        <item x="6"/>
        <item x="23"/>
        <item x="29"/>
        <item x="24"/>
        <item x="13"/>
        <item x="28"/>
        <item x="11"/>
        <item x="31"/>
        <item x="12"/>
        <item h="1" x="0"/>
        <item x="33"/>
        <item t="default"/>
      </items>
    </pivotField>
    <pivotField showAll="0"/>
    <pivotField showAll="0"/>
    <pivotField dataField="1" showAll="0"/>
  </pivotFields>
  <rowFields count="1">
    <field x="17"/>
  </rowFields>
  <rowItems count="10">
    <i>
      <x v="1"/>
    </i>
    <i>
      <x v="2"/>
    </i>
    <i>
      <x v="3"/>
    </i>
    <i>
      <x v="5"/>
    </i>
    <i>
      <x v="12"/>
    </i>
    <i>
      <x v="14"/>
    </i>
    <i>
      <x v="23"/>
    </i>
    <i>
      <x v="31"/>
    </i>
    <i>
      <x v="34"/>
    </i>
    <i t="grand">
      <x/>
    </i>
  </rowItems>
  <colFields count="1">
    <field x="15"/>
  </colFields>
  <colItems count="5">
    <i>
      <x/>
    </i>
    <i>
      <x v="9"/>
    </i>
    <i>
      <x v="11"/>
    </i>
    <i>
      <x v="12"/>
    </i>
    <i t="grand">
      <x/>
    </i>
  </colItems>
  <pageFields count="1">
    <pageField fld="0" hier="-1"/>
  </pageFields>
  <dataFields count="1">
    <dataField name="Sum of Gross Wt _x000a_(kg)" fld="20" baseField="0" baseItem="0"/>
  </dataFields>
  <formats count="9">
    <format dxfId="400">
      <pivotArea collapsedLevelsAreSubtotals="1" fieldPosition="0">
        <references count="1">
          <reference field="17" count="0"/>
        </references>
      </pivotArea>
    </format>
    <format dxfId="399">
      <pivotArea grandRow="1" outline="0" collapsedLevelsAreSubtotals="1" fieldPosition="0"/>
    </format>
    <format dxfId="398">
      <pivotArea type="all" dataOnly="0" outline="0" fieldPosition="0"/>
    </format>
    <format dxfId="397">
      <pivotArea field="17" type="button" dataOnly="0" labelOnly="1" outline="0" axis="axisRow" fieldPosition="0"/>
    </format>
    <format dxfId="396">
      <pivotArea dataOnly="0" labelOnly="1" fieldPosition="0">
        <references count="1">
          <reference field="15" count="6">
            <x v="0"/>
            <x v="1"/>
            <x v="2"/>
            <x v="9"/>
            <x v="11"/>
            <x v="12"/>
          </reference>
        </references>
      </pivotArea>
    </format>
    <format dxfId="395">
      <pivotArea dataOnly="0" labelOnly="1" grandCol="1" outline="0" fieldPosition="0"/>
    </format>
    <format dxfId="394">
      <pivotArea field="17" type="button" dataOnly="0" labelOnly="1" outline="0" axis="axisRow" fieldPosition="0"/>
    </format>
    <format dxfId="393">
      <pivotArea dataOnly="0" labelOnly="1" fieldPosition="0">
        <references count="1">
          <reference field="15" count="6">
            <x v="0"/>
            <x v="1"/>
            <x v="2"/>
            <x v="9"/>
            <x v="11"/>
            <x v="12"/>
          </reference>
        </references>
      </pivotArea>
    </format>
    <format dxfId="39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97034-5A25-495D-9561-6DF62F93A0BA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57:Y168" firstHeaderRow="1" firstDataRow="3" firstDataCol="1" rowPageCount="2" colPageCount="1"/>
  <pivotFields count="21">
    <pivotField axis="axisPage" multipleItemSelectionAllowed="1" showAll="0">
      <items count="16">
        <item m="1" x="14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13">
        <item x="6"/>
        <item x="8"/>
        <item x="5"/>
        <item x="7"/>
        <item x="1"/>
        <item x="4"/>
        <item x="3"/>
        <item x="10"/>
        <item x="11"/>
        <item x="9"/>
        <item x="2"/>
        <item x="0"/>
        <item t="default"/>
      </items>
    </pivotField>
    <pivotField showAll="0"/>
    <pivotField axis="axisCol" showAll="0">
      <items count="13">
        <item x="3"/>
        <item m="1" x="10"/>
        <item m="1" x="11"/>
        <item x="4"/>
        <item x="0"/>
        <item m="1" x="7"/>
        <item m="1" x="8"/>
        <item x="5"/>
        <item x="6"/>
        <item m="1" x="9"/>
        <item x="1"/>
        <item x="2"/>
        <item t="default"/>
      </items>
    </pivotField>
    <pivotField showAll="0"/>
    <pivotField axis="axisRow" showAll="0">
      <items count="32">
        <item x="15"/>
        <item x="10"/>
        <item x="1"/>
        <item x="2"/>
        <item x="21"/>
        <item x="3"/>
        <item x="5"/>
        <item x="4"/>
        <item x="7"/>
        <item x="19"/>
        <item x="27"/>
        <item x="25"/>
        <item x="22"/>
        <item x="18"/>
        <item x="16"/>
        <item x="9"/>
        <item x="17"/>
        <item x="20"/>
        <item x="14"/>
        <item x="8"/>
        <item x="6"/>
        <item x="23"/>
        <item x="29"/>
        <item x="24"/>
        <item x="13"/>
        <item x="28"/>
        <item x="11"/>
        <item x="12"/>
        <item h="1" x="0"/>
        <item x="26"/>
        <item x="30"/>
        <item t="default"/>
      </items>
    </pivotField>
    <pivotField showAll="0"/>
    <pivotField showAll="0"/>
    <pivotField dataField="1" showAll="0"/>
  </pivotFields>
  <rowFields count="1">
    <field x="17"/>
  </rowFields>
  <rowItems count="9">
    <i>
      <x v="1"/>
    </i>
    <i>
      <x v="2"/>
    </i>
    <i>
      <x v="3"/>
    </i>
    <i>
      <x v="5"/>
    </i>
    <i>
      <x v="6"/>
    </i>
    <i>
      <x v="22"/>
    </i>
    <i>
      <x v="25"/>
    </i>
    <i>
      <x v="30"/>
    </i>
    <i t="grand">
      <x/>
    </i>
  </rowItems>
  <colFields count="2">
    <field x="15"/>
    <field x="-2"/>
  </colFields>
  <colItems count="10">
    <i>
      <x v="3"/>
      <x/>
    </i>
    <i r="1" i="1">
      <x v="1"/>
    </i>
    <i>
      <x v="8"/>
      <x/>
    </i>
    <i r="1" i="1">
      <x v="1"/>
    </i>
    <i>
      <x v="10"/>
      <x/>
    </i>
    <i r="1" i="1">
      <x v="1"/>
    </i>
    <i>
      <x v="11"/>
      <x/>
    </i>
    <i r="1" i="1">
      <x v="1"/>
    </i>
    <i t="grand">
      <x/>
    </i>
    <i t="grand" i="1">
      <x/>
    </i>
  </colItems>
  <pageFields count="2">
    <pageField fld="0" hier="-1"/>
    <pageField fld="13" hier="-1"/>
  </pageFields>
  <dataFields count="2">
    <dataField name="Sum of Total Weight _x000a_(Kg)" fld="12" baseField="0" baseItem="0"/>
    <dataField name="Sum of Gross Wt _x000a_(kg)" fld="20" baseField="0" baseItem="0"/>
  </dataFields>
  <formats count="46">
    <format dxfId="446">
      <pivotArea type="all" dataOnly="0" outline="0" fieldPosition="0"/>
    </format>
    <format dxfId="445">
      <pivotArea outline="0" collapsedLevelsAreSubtotals="1" fieldPosition="0"/>
    </format>
    <format dxfId="444">
      <pivotArea type="origin" dataOnly="0" labelOnly="1" outline="0" fieldPosition="0"/>
    </format>
    <format dxfId="443">
      <pivotArea field="15" type="button" dataOnly="0" labelOnly="1" outline="0" axis="axisCol" fieldPosition="0"/>
    </format>
    <format dxfId="442">
      <pivotArea field="-2" type="button" dataOnly="0" labelOnly="1" outline="0" axis="axisCol" fieldPosition="1"/>
    </format>
    <format dxfId="441">
      <pivotArea type="topRight" dataOnly="0" labelOnly="1" outline="0" fieldPosition="0"/>
    </format>
    <format dxfId="440">
      <pivotArea field="17" type="button" dataOnly="0" labelOnly="1" outline="0" axis="axisRow" fieldPosition="0"/>
    </format>
    <format dxfId="439">
      <pivotArea dataOnly="0" labelOnly="1" fieldPosition="0">
        <references count="1">
          <reference field="17" count="0"/>
        </references>
      </pivotArea>
    </format>
    <format dxfId="438">
      <pivotArea dataOnly="0" labelOnly="1" grandRow="1" outline="0" fieldPosition="0"/>
    </format>
    <format dxfId="437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436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35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3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43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43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43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43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42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42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42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426">
      <pivotArea type="all" dataOnly="0" outline="0" fieldPosition="0"/>
    </format>
    <format dxfId="425">
      <pivotArea outline="0" collapsedLevelsAreSubtotals="1" fieldPosition="0"/>
    </format>
    <format dxfId="424">
      <pivotArea type="origin" dataOnly="0" labelOnly="1" outline="0" fieldPosition="0"/>
    </format>
    <format dxfId="423">
      <pivotArea field="15" type="button" dataOnly="0" labelOnly="1" outline="0" axis="axisCol" fieldPosition="0"/>
    </format>
    <format dxfId="422">
      <pivotArea field="-2" type="button" dataOnly="0" labelOnly="1" outline="0" axis="axisCol" fieldPosition="1"/>
    </format>
    <format dxfId="421">
      <pivotArea type="topRight" dataOnly="0" labelOnly="1" outline="0" fieldPosition="0"/>
    </format>
    <format dxfId="420">
      <pivotArea field="17" type="button" dataOnly="0" labelOnly="1" outline="0" axis="axisRow" fieldPosition="0"/>
    </format>
    <format dxfId="419">
      <pivotArea dataOnly="0" labelOnly="1" fieldPosition="0">
        <references count="1">
          <reference field="17" count="0"/>
        </references>
      </pivotArea>
    </format>
    <format dxfId="418">
      <pivotArea dataOnly="0" labelOnly="1" grandRow="1" outline="0" fieldPosition="0"/>
    </format>
    <format dxfId="417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416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5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41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41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41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41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40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40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40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406">
      <pivotArea outline="0" collapsedLevelsAreSubtotals="1" fieldPosition="0"/>
    </format>
    <format dxfId="405">
      <pivotArea outline="0" collapsedLevelsAreSubtotals="1" fieldPosition="0"/>
    </format>
    <format dxfId="404">
      <pivotArea outline="0" collapsedLevelsAreSubtotals="1" fieldPosition="0"/>
    </format>
    <format dxfId="403">
      <pivotArea dataOnly="0" fieldPosition="0">
        <references count="1">
          <reference field="17" count="1">
            <x v="26"/>
          </reference>
        </references>
      </pivotArea>
    </format>
    <format dxfId="402">
      <pivotArea dataOnly="0" fieldPosition="0">
        <references count="1">
          <reference field="17" count="1">
            <x v="26"/>
          </reference>
        </references>
      </pivotArea>
    </format>
    <format dxfId="401">
      <pivotArea dataOnly="0" labelOnly="1" fieldPosition="0">
        <references count="1">
          <reference field="17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F3FF5-2EA0-42A7-A2FB-DF773B40C1DB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01:S105" firstHeaderRow="1" firstDataRow="3" firstDataCol="1" rowPageCount="2" colPageCount="1"/>
  <pivotFields count="21">
    <pivotField axis="axisPage" multipleItemSelectionAllowed="1" showAll="0">
      <items count="16">
        <item m="1" x="14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13">
        <item x="6"/>
        <item x="8"/>
        <item x="5"/>
        <item x="7"/>
        <item x="1"/>
        <item x="4"/>
        <item x="3"/>
        <item x="10"/>
        <item x="11"/>
        <item x="9"/>
        <item x="2"/>
        <item x="0"/>
        <item t="default"/>
      </items>
    </pivotField>
    <pivotField showAll="0"/>
    <pivotField axis="axisCol" showAll="0">
      <items count="13">
        <item x="3"/>
        <item m="1" x="10"/>
        <item m="1" x="11"/>
        <item x="4"/>
        <item x="0"/>
        <item m="1" x="7"/>
        <item m="1" x="8"/>
        <item x="5"/>
        <item x="6"/>
        <item m="1" x="9"/>
        <item x="1"/>
        <item x="2"/>
        <item t="default"/>
      </items>
    </pivotField>
    <pivotField showAll="0"/>
    <pivotField axis="axisRow" showAll="0">
      <items count="32">
        <item x="15"/>
        <item x="10"/>
        <item x="1"/>
        <item x="2"/>
        <item x="21"/>
        <item x="3"/>
        <item x="5"/>
        <item x="4"/>
        <item x="7"/>
        <item x="19"/>
        <item x="27"/>
        <item x="25"/>
        <item x="22"/>
        <item x="18"/>
        <item x="16"/>
        <item x="9"/>
        <item x="17"/>
        <item x="20"/>
        <item x="14"/>
        <item x="8"/>
        <item x="6"/>
        <item x="23"/>
        <item x="29"/>
        <item x="24"/>
        <item x="13"/>
        <item x="28"/>
        <item x="11"/>
        <item x="12"/>
        <item h="1" x="0"/>
        <item h="1" x="26"/>
        <item h="1" x="30"/>
        <item t="default"/>
      </items>
    </pivotField>
    <pivotField showAll="0"/>
    <pivotField showAll="0"/>
    <pivotField dataField="1" showAll="0"/>
  </pivotFields>
  <rowFields count="1">
    <field x="17"/>
  </rowFields>
  <rowItems count="2">
    <i>
      <x v="13"/>
    </i>
    <i t="grand">
      <x/>
    </i>
  </rowItems>
  <colFields count="2">
    <field x="15"/>
    <field x="-2"/>
  </colFields>
  <colItems count="4">
    <i>
      <x v="3"/>
      <x/>
    </i>
    <i r="1" i="1">
      <x v="1"/>
    </i>
    <i t="grand">
      <x/>
    </i>
    <i t="grand" i="1">
      <x/>
    </i>
  </colItems>
  <pageFields count="2">
    <pageField fld="0" hier="-1"/>
    <pageField fld="13" hier="-1"/>
  </pageFields>
  <dataFields count="2">
    <dataField name="Sum of Total Weight _x000a_(Kg)" fld="12" baseField="0" baseItem="0"/>
    <dataField name="Sum of Gross Wt _x000a_(kg)" fld="20" baseField="0" baseItem="0"/>
  </dataFields>
  <formats count="46">
    <format dxfId="492">
      <pivotArea type="all" dataOnly="0" outline="0" fieldPosition="0"/>
    </format>
    <format dxfId="491">
      <pivotArea outline="0" collapsedLevelsAreSubtotals="1" fieldPosition="0"/>
    </format>
    <format dxfId="490">
      <pivotArea type="origin" dataOnly="0" labelOnly="1" outline="0" fieldPosition="0"/>
    </format>
    <format dxfId="489">
      <pivotArea field="15" type="button" dataOnly="0" labelOnly="1" outline="0" axis="axisCol" fieldPosition="0"/>
    </format>
    <format dxfId="488">
      <pivotArea field="-2" type="button" dataOnly="0" labelOnly="1" outline="0" axis="axisCol" fieldPosition="1"/>
    </format>
    <format dxfId="487">
      <pivotArea type="topRight" dataOnly="0" labelOnly="1" outline="0" fieldPosition="0"/>
    </format>
    <format dxfId="486">
      <pivotArea field="17" type="button" dataOnly="0" labelOnly="1" outline="0" axis="axisRow" fieldPosition="0"/>
    </format>
    <format dxfId="485">
      <pivotArea dataOnly="0" labelOnly="1" fieldPosition="0">
        <references count="1">
          <reference field="17" count="0"/>
        </references>
      </pivotArea>
    </format>
    <format dxfId="484">
      <pivotArea dataOnly="0" labelOnly="1" grandRow="1" outline="0" fieldPosition="0"/>
    </format>
    <format dxfId="483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482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1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8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47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47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47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47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47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47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47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472">
      <pivotArea type="all" dataOnly="0" outline="0" fieldPosition="0"/>
    </format>
    <format dxfId="471">
      <pivotArea outline="0" collapsedLevelsAreSubtotals="1" fieldPosition="0"/>
    </format>
    <format dxfId="470">
      <pivotArea type="origin" dataOnly="0" labelOnly="1" outline="0" fieldPosition="0"/>
    </format>
    <format dxfId="469">
      <pivotArea field="15" type="button" dataOnly="0" labelOnly="1" outline="0" axis="axisCol" fieldPosition="0"/>
    </format>
    <format dxfId="468">
      <pivotArea field="-2" type="button" dataOnly="0" labelOnly="1" outline="0" axis="axisCol" fieldPosition="1"/>
    </format>
    <format dxfId="467">
      <pivotArea type="topRight" dataOnly="0" labelOnly="1" outline="0" fieldPosition="0"/>
    </format>
    <format dxfId="466">
      <pivotArea field="17" type="button" dataOnly="0" labelOnly="1" outline="0" axis="axisRow" fieldPosition="0"/>
    </format>
    <format dxfId="465">
      <pivotArea dataOnly="0" labelOnly="1" fieldPosition="0">
        <references count="1">
          <reference field="17" count="0"/>
        </references>
      </pivotArea>
    </format>
    <format dxfId="464">
      <pivotArea dataOnly="0" labelOnly="1" grandRow="1" outline="0" fieldPosition="0"/>
    </format>
    <format dxfId="463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462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61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6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45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45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45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45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45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45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45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452">
      <pivotArea outline="0" collapsedLevelsAreSubtotals="1" fieldPosition="0"/>
    </format>
    <format dxfId="451">
      <pivotArea outline="0" collapsedLevelsAreSubtotals="1" fieldPosition="0"/>
    </format>
    <format dxfId="450">
      <pivotArea outline="0" collapsedLevelsAreSubtotals="1" fieldPosition="0"/>
    </format>
    <format dxfId="449">
      <pivotArea dataOnly="0" fieldPosition="0">
        <references count="1">
          <reference field="17" count="1">
            <x v="26"/>
          </reference>
        </references>
      </pivotArea>
    </format>
    <format dxfId="448">
      <pivotArea dataOnly="0" fieldPosition="0">
        <references count="1">
          <reference field="17" count="1">
            <x v="26"/>
          </reference>
        </references>
      </pivotArea>
    </format>
    <format dxfId="447">
      <pivotArea dataOnly="0" labelOnly="1" fieldPosition="0">
        <references count="1">
          <reference field="17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BDE20-340C-4196-BC3B-04C7728C83F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3:U39" firstHeaderRow="1" firstDataRow="3" firstDataCol="1" rowPageCount="2" colPageCount="1"/>
  <pivotFields count="21">
    <pivotField axis="axisPage" multipleItemSelectionAllowed="1" showAll="0">
      <items count="16">
        <item m="1" x="14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13">
        <item x="6"/>
        <item x="8"/>
        <item x="5"/>
        <item x="7"/>
        <item x="1"/>
        <item x="4"/>
        <item x="3"/>
        <item x="10"/>
        <item x="11"/>
        <item x="9"/>
        <item x="2"/>
        <item x="0"/>
        <item t="default"/>
      </items>
    </pivotField>
    <pivotField showAll="0"/>
    <pivotField axis="axisCol" showAll="0">
      <items count="13">
        <item x="3"/>
        <item m="1" x="10"/>
        <item m="1" x="11"/>
        <item x="4"/>
        <item x="0"/>
        <item m="1" x="7"/>
        <item m="1" x="8"/>
        <item x="5"/>
        <item x="6"/>
        <item m="1" x="9"/>
        <item x="1"/>
        <item x="2"/>
        <item t="default"/>
      </items>
    </pivotField>
    <pivotField showAll="0"/>
    <pivotField axis="axisRow" showAll="0">
      <items count="32">
        <item x="15"/>
        <item x="10"/>
        <item x="1"/>
        <item x="2"/>
        <item x="21"/>
        <item x="3"/>
        <item x="5"/>
        <item x="4"/>
        <item x="7"/>
        <item x="19"/>
        <item x="27"/>
        <item x="25"/>
        <item x="22"/>
        <item x="18"/>
        <item x="16"/>
        <item x="9"/>
        <item x="17"/>
        <item x="20"/>
        <item x="14"/>
        <item x="8"/>
        <item x="6"/>
        <item x="23"/>
        <item x="29"/>
        <item x="24"/>
        <item x="13"/>
        <item x="28"/>
        <item x="11"/>
        <item x="12"/>
        <item h="1" x="0"/>
        <item x="26"/>
        <item x="30"/>
        <item t="default"/>
      </items>
    </pivotField>
    <pivotField showAll="0"/>
    <pivotField showAll="0"/>
    <pivotField dataField="1" showAll="0"/>
  </pivotFields>
  <rowFields count="1">
    <field x="17"/>
  </rowFields>
  <rowItems count="4">
    <i>
      <x v="2"/>
    </i>
    <i>
      <x v="4"/>
    </i>
    <i>
      <x v="24"/>
    </i>
    <i t="grand">
      <x/>
    </i>
  </rowItems>
  <colFields count="2">
    <field x="15"/>
    <field x="-2"/>
  </colFields>
  <colItems count="6">
    <i>
      <x v="10"/>
      <x/>
    </i>
    <i r="1" i="1">
      <x v="1"/>
    </i>
    <i>
      <x v="11"/>
      <x/>
    </i>
    <i r="1" i="1">
      <x v="1"/>
    </i>
    <i t="grand">
      <x/>
    </i>
    <i t="grand" i="1">
      <x/>
    </i>
  </colItems>
  <pageFields count="2">
    <pageField fld="0" hier="-1"/>
    <pageField fld="13" hier="-1"/>
  </pageFields>
  <dataFields count="2">
    <dataField name="Sum of Total Weight _x000a_(Kg)" fld="12" baseField="0" baseItem="0"/>
    <dataField name="Sum of Gross Wt _x000a_(kg)" fld="20" baseField="0" baseItem="0"/>
  </dataFields>
  <formats count="46">
    <format dxfId="538">
      <pivotArea type="all" dataOnly="0" outline="0" fieldPosition="0"/>
    </format>
    <format dxfId="537">
      <pivotArea outline="0" collapsedLevelsAreSubtotals="1" fieldPosition="0"/>
    </format>
    <format dxfId="536">
      <pivotArea type="origin" dataOnly="0" labelOnly="1" outline="0" fieldPosition="0"/>
    </format>
    <format dxfId="535">
      <pivotArea field="15" type="button" dataOnly="0" labelOnly="1" outline="0" axis="axisCol" fieldPosition="0"/>
    </format>
    <format dxfId="534">
      <pivotArea field="-2" type="button" dataOnly="0" labelOnly="1" outline="0" axis="axisCol" fieldPosition="1"/>
    </format>
    <format dxfId="533">
      <pivotArea type="topRight" dataOnly="0" labelOnly="1" outline="0" fieldPosition="0"/>
    </format>
    <format dxfId="532">
      <pivotArea field="17" type="button" dataOnly="0" labelOnly="1" outline="0" axis="axisRow" fieldPosition="0"/>
    </format>
    <format dxfId="531">
      <pivotArea dataOnly="0" labelOnly="1" fieldPosition="0">
        <references count="1">
          <reference field="17" count="0"/>
        </references>
      </pivotArea>
    </format>
    <format dxfId="530">
      <pivotArea dataOnly="0" labelOnly="1" grandRow="1" outline="0" fieldPosition="0"/>
    </format>
    <format dxfId="529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528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27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2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52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52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52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52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52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52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51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518">
      <pivotArea type="all" dataOnly="0" outline="0" fieldPosition="0"/>
    </format>
    <format dxfId="517">
      <pivotArea outline="0" collapsedLevelsAreSubtotals="1" fieldPosition="0"/>
    </format>
    <format dxfId="516">
      <pivotArea type="origin" dataOnly="0" labelOnly="1" outline="0" fieldPosition="0"/>
    </format>
    <format dxfId="515">
      <pivotArea field="15" type="button" dataOnly="0" labelOnly="1" outline="0" axis="axisCol" fieldPosition="0"/>
    </format>
    <format dxfId="514">
      <pivotArea field="-2" type="button" dataOnly="0" labelOnly="1" outline="0" axis="axisCol" fieldPosition="1"/>
    </format>
    <format dxfId="513">
      <pivotArea type="topRight" dataOnly="0" labelOnly="1" outline="0" fieldPosition="0"/>
    </format>
    <format dxfId="512">
      <pivotArea field="17" type="button" dataOnly="0" labelOnly="1" outline="0" axis="axisRow" fieldPosition="0"/>
    </format>
    <format dxfId="511">
      <pivotArea dataOnly="0" labelOnly="1" fieldPosition="0">
        <references count="1">
          <reference field="17" count="0"/>
        </references>
      </pivotArea>
    </format>
    <format dxfId="510">
      <pivotArea dataOnly="0" labelOnly="1" grandRow="1" outline="0" fieldPosition="0"/>
    </format>
    <format dxfId="509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508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07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0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50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50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50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50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50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50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49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498">
      <pivotArea outline="0" collapsedLevelsAreSubtotals="1" fieldPosition="0"/>
    </format>
    <format dxfId="497">
      <pivotArea outline="0" collapsedLevelsAreSubtotals="1" fieldPosition="0"/>
    </format>
    <format dxfId="496">
      <pivotArea outline="0" collapsedLevelsAreSubtotals="1" fieldPosition="0"/>
    </format>
    <format dxfId="495">
      <pivotArea dataOnly="0" fieldPosition="0">
        <references count="1">
          <reference field="17" count="1">
            <x v="26"/>
          </reference>
        </references>
      </pivotArea>
    </format>
    <format dxfId="494">
      <pivotArea dataOnly="0" fieldPosition="0">
        <references count="1">
          <reference field="17" count="1">
            <x v="26"/>
          </reference>
        </references>
      </pivotArea>
    </format>
    <format dxfId="493">
      <pivotArea dataOnly="0" labelOnly="1" fieldPosition="0">
        <references count="1">
          <reference field="17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F6885-C8F0-464C-84AF-B9D6E891D44D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11:W119" firstHeaderRow="1" firstDataRow="3" firstDataCol="1" rowPageCount="2" colPageCount="1"/>
  <pivotFields count="21">
    <pivotField axis="axisPage" multipleItemSelectionAllowed="1" showAll="0">
      <items count="16">
        <item m="1" x="14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13">
        <item x="6"/>
        <item x="8"/>
        <item x="5"/>
        <item x="7"/>
        <item x="1"/>
        <item x="4"/>
        <item x="3"/>
        <item x="10"/>
        <item x="11"/>
        <item x="9"/>
        <item x="2"/>
        <item x="0"/>
        <item t="default"/>
      </items>
    </pivotField>
    <pivotField showAll="0"/>
    <pivotField axis="axisCol" showAll="0">
      <items count="13">
        <item x="3"/>
        <item m="1" x="10"/>
        <item m="1" x="11"/>
        <item x="4"/>
        <item x="0"/>
        <item m="1" x="7"/>
        <item m="1" x="8"/>
        <item x="5"/>
        <item x="6"/>
        <item m="1" x="9"/>
        <item x="1"/>
        <item x="2"/>
        <item t="default"/>
      </items>
    </pivotField>
    <pivotField showAll="0"/>
    <pivotField axis="axisRow" showAll="0">
      <items count="32">
        <item x="15"/>
        <item x="10"/>
        <item x="1"/>
        <item x="2"/>
        <item x="21"/>
        <item x="3"/>
        <item x="5"/>
        <item x="4"/>
        <item x="7"/>
        <item x="19"/>
        <item x="27"/>
        <item x="25"/>
        <item x="22"/>
        <item x="18"/>
        <item x="16"/>
        <item x="9"/>
        <item x="17"/>
        <item x="20"/>
        <item x="14"/>
        <item x="8"/>
        <item x="6"/>
        <item x="23"/>
        <item x="29"/>
        <item x="24"/>
        <item x="13"/>
        <item x="28"/>
        <item x="11"/>
        <item x="12"/>
        <item h="1" x="0"/>
        <item h="1" x="26"/>
        <item h="1" x="30"/>
        <item t="default"/>
      </items>
    </pivotField>
    <pivotField showAll="0"/>
    <pivotField showAll="0"/>
    <pivotField dataField="1" showAll="0"/>
  </pivotFields>
  <rowFields count="1">
    <field x="17"/>
  </rowFields>
  <rowItems count="6">
    <i>
      <x v="3"/>
    </i>
    <i>
      <x v="5"/>
    </i>
    <i>
      <x v="6"/>
    </i>
    <i>
      <x v="18"/>
    </i>
    <i>
      <x v="21"/>
    </i>
    <i t="grand">
      <x/>
    </i>
  </rowItems>
  <colFields count="2">
    <field x="15"/>
    <field x="-2"/>
  </colFields>
  <colItems count="8">
    <i>
      <x/>
      <x/>
    </i>
    <i r="1" i="1">
      <x v="1"/>
    </i>
    <i>
      <x v="10"/>
      <x/>
    </i>
    <i r="1" i="1">
      <x v="1"/>
    </i>
    <i>
      <x v="11"/>
      <x/>
    </i>
    <i r="1" i="1">
      <x v="1"/>
    </i>
    <i t="grand">
      <x/>
    </i>
    <i t="grand" i="1">
      <x/>
    </i>
  </colItems>
  <pageFields count="2">
    <pageField fld="0" hier="-1"/>
    <pageField fld="13" hier="-1"/>
  </pageFields>
  <dataFields count="2">
    <dataField name="Sum of Total Weight _x000a_(Kg)" fld="12" baseField="0" baseItem="0"/>
    <dataField name="Sum of Gross Wt _x000a_(kg)" fld="20" baseField="0" baseItem="0"/>
  </dataFields>
  <formats count="46">
    <format dxfId="584">
      <pivotArea type="all" dataOnly="0" outline="0" fieldPosition="0"/>
    </format>
    <format dxfId="583">
      <pivotArea outline="0" collapsedLevelsAreSubtotals="1" fieldPosition="0"/>
    </format>
    <format dxfId="582">
      <pivotArea type="origin" dataOnly="0" labelOnly="1" outline="0" fieldPosition="0"/>
    </format>
    <format dxfId="581">
      <pivotArea field="15" type="button" dataOnly="0" labelOnly="1" outline="0" axis="axisCol" fieldPosition="0"/>
    </format>
    <format dxfId="580">
      <pivotArea field="-2" type="button" dataOnly="0" labelOnly="1" outline="0" axis="axisCol" fieldPosition="1"/>
    </format>
    <format dxfId="579">
      <pivotArea type="topRight" dataOnly="0" labelOnly="1" outline="0" fieldPosition="0"/>
    </format>
    <format dxfId="578">
      <pivotArea field="17" type="button" dataOnly="0" labelOnly="1" outline="0" axis="axisRow" fieldPosition="0"/>
    </format>
    <format dxfId="577">
      <pivotArea dataOnly="0" labelOnly="1" fieldPosition="0">
        <references count="1">
          <reference field="17" count="0"/>
        </references>
      </pivotArea>
    </format>
    <format dxfId="576">
      <pivotArea dataOnly="0" labelOnly="1" grandRow="1" outline="0" fieldPosition="0"/>
    </format>
    <format dxfId="575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574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73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7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57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57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56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56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56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56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56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564">
      <pivotArea type="all" dataOnly="0" outline="0" fieldPosition="0"/>
    </format>
    <format dxfId="563">
      <pivotArea outline="0" collapsedLevelsAreSubtotals="1" fieldPosition="0"/>
    </format>
    <format dxfId="562">
      <pivotArea type="origin" dataOnly="0" labelOnly="1" outline="0" fieldPosition="0"/>
    </format>
    <format dxfId="561">
      <pivotArea field="15" type="button" dataOnly="0" labelOnly="1" outline="0" axis="axisCol" fieldPosition="0"/>
    </format>
    <format dxfId="560">
      <pivotArea field="-2" type="button" dataOnly="0" labelOnly="1" outline="0" axis="axisCol" fieldPosition="1"/>
    </format>
    <format dxfId="559">
      <pivotArea type="topRight" dataOnly="0" labelOnly="1" outline="0" fieldPosition="0"/>
    </format>
    <format dxfId="558">
      <pivotArea field="17" type="button" dataOnly="0" labelOnly="1" outline="0" axis="axisRow" fieldPosition="0"/>
    </format>
    <format dxfId="557">
      <pivotArea dataOnly="0" labelOnly="1" fieldPosition="0">
        <references count="1">
          <reference field="17" count="0"/>
        </references>
      </pivotArea>
    </format>
    <format dxfId="556">
      <pivotArea dataOnly="0" labelOnly="1" grandRow="1" outline="0" fieldPosition="0"/>
    </format>
    <format dxfId="555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554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53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5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55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550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549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54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54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54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54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544">
      <pivotArea outline="0" collapsedLevelsAreSubtotals="1" fieldPosition="0"/>
    </format>
    <format dxfId="543">
      <pivotArea outline="0" collapsedLevelsAreSubtotals="1" fieldPosition="0"/>
    </format>
    <format dxfId="542">
      <pivotArea outline="0" collapsedLevelsAreSubtotals="1" fieldPosition="0"/>
    </format>
    <format dxfId="541">
      <pivotArea dataOnly="0" fieldPosition="0">
        <references count="1">
          <reference field="17" count="1">
            <x v="26"/>
          </reference>
        </references>
      </pivotArea>
    </format>
    <format dxfId="540">
      <pivotArea dataOnly="0" fieldPosition="0">
        <references count="1">
          <reference field="17" count="1">
            <x v="26"/>
          </reference>
        </references>
      </pivotArea>
    </format>
    <format dxfId="539">
      <pivotArea dataOnly="0" labelOnly="1" fieldPosition="0">
        <references count="1">
          <reference field="17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69AE3-8A44-4418-A9CC-7FC9574135BF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75:S181" firstHeaderRow="1" firstDataRow="3" firstDataCol="1" rowPageCount="2" colPageCount="1"/>
  <pivotFields count="21">
    <pivotField axis="axisPage" multipleItemSelectionAllowed="1" showAll="0">
      <items count="16">
        <item m="1" x="14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13">
        <item x="6"/>
        <item x="8"/>
        <item x="5"/>
        <item x="7"/>
        <item x="1"/>
        <item x="4"/>
        <item x="3"/>
        <item x="10"/>
        <item x="11"/>
        <item x="9"/>
        <item x="2"/>
        <item x="0"/>
        <item t="default"/>
      </items>
    </pivotField>
    <pivotField showAll="0"/>
    <pivotField axis="axisCol" showAll="0">
      <items count="13">
        <item x="3"/>
        <item m="1" x="10"/>
        <item m="1" x="11"/>
        <item x="4"/>
        <item x="0"/>
        <item m="1" x="7"/>
        <item m="1" x="8"/>
        <item x="5"/>
        <item x="6"/>
        <item m="1" x="9"/>
        <item x="1"/>
        <item x="2"/>
        <item t="default"/>
      </items>
    </pivotField>
    <pivotField showAll="0"/>
    <pivotField axis="axisRow" showAll="0">
      <items count="32">
        <item x="15"/>
        <item x="10"/>
        <item x="1"/>
        <item x="2"/>
        <item x="21"/>
        <item x="3"/>
        <item x="5"/>
        <item x="4"/>
        <item x="7"/>
        <item x="19"/>
        <item x="27"/>
        <item x="25"/>
        <item x="22"/>
        <item x="18"/>
        <item x="16"/>
        <item x="9"/>
        <item x="17"/>
        <item x="20"/>
        <item x="14"/>
        <item x="8"/>
        <item x="6"/>
        <item x="23"/>
        <item x="29"/>
        <item x="24"/>
        <item x="13"/>
        <item x="28"/>
        <item x="11"/>
        <item x="12"/>
        <item h="1" x="0"/>
        <item h="1" x="26"/>
        <item h="1" x="30"/>
        <item t="default"/>
      </items>
    </pivotField>
    <pivotField showAll="0"/>
    <pivotField showAll="0"/>
    <pivotField dataField="1" showAll="0"/>
  </pivotFields>
  <rowFields count="1">
    <field x="17"/>
  </rowFields>
  <rowItems count="4">
    <i>
      <x v="2"/>
    </i>
    <i>
      <x v="3"/>
    </i>
    <i>
      <x v="7"/>
    </i>
    <i t="grand">
      <x/>
    </i>
  </rowItems>
  <colFields count="2">
    <field x="15"/>
    <field x="-2"/>
  </colFields>
  <colItems count="4">
    <i>
      <x v="10"/>
      <x/>
    </i>
    <i r="1" i="1">
      <x v="1"/>
    </i>
    <i t="grand">
      <x/>
    </i>
    <i t="grand" i="1">
      <x/>
    </i>
  </colItems>
  <pageFields count="2">
    <pageField fld="0" hier="-1"/>
    <pageField fld="13" hier="-1"/>
  </pageFields>
  <dataFields count="2">
    <dataField name="Sum of Total Weight _x000a_(Kg)" fld="12" baseField="0" baseItem="0"/>
    <dataField name="Sum of Gross Wt _x000a_(kg)" fld="20" baseField="0" baseItem="0"/>
  </dataFields>
  <formats count="46">
    <format dxfId="630">
      <pivotArea type="all" dataOnly="0" outline="0" fieldPosition="0"/>
    </format>
    <format dxfId="629">
      <pivotArea outline="0" collapsedLevelsAreSubtotals="1" fieldPosition="0"/>
    </format>
    <format dxfId="628">
      <pivotArea type="origin" dataOnly="0" labelOnly="1" outline="0" fieldPosition="0"/>
    </format>
    <format dxfId="627">
      <pivotArea field="15" type="button" dataOnly="0" labelOnly="1" outline="0" axis="axisCol" fieldPosition="0"/>
    </format>
    <format dxfId="626">
      <pivotArea field="-2" type="button" dataOnly="0" labelOnly="1" outline="0" axis="axisCol" fieldPosition="1"/>
    </format>
    <format dxfId="625">
      <pivotArea type="topRight" dataOnly="0" labelOnly="1" outline="0" fieldPosition="0"/>
    </format>
    <format dxfId="624">
      <pivotArea field="17" type="button" dataOnly="0" labelOnly="1" outline="0" axis="axisRow" fieldPosition="0"/>
    </format>
    <format dxfId="623">
      <pivotArea dataOnly="0" labelOnly="1" fieldPosition="0">
        <references count="1">
          <reference field="17" count="0"/>
        </references>
      </pivotArea>
    </format>
    <format dxfId="622">
      <pivotArea dataOnly="0" labelOnly="1" grandRow="1" outline="0" fieldPosition="0"/>
    </format>
    <format dxfId="621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620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19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1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61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61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61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61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61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61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61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610">
      <pivotArea type="all" dataOnly="0" outline="0" fieldPosition="0"/>
    </format>
    <format dxfId="609">
      <pivotArea outline="0" collapsedLevelsAreSubtotals="1" fieldPosition="0"/>
    </format>
    <format dxfId="608">
      <pivotArea type="origin" dataOnly="0" labelOnly="1" outline="0" fieldPosition="0"/>
    </format>
    <format dxfId="607">
      <pivotArea field="15" type="button" dataOnly="0" labelOnly="1" outline="0" axis="axisCol" fieldPosition="0"/>
    </format>
    <format dxfId="606">
      <pivotArea field="-2" type="button" dataOnly="0" labelOnly="1" outline="0" axis="axisCol" fieldPosition="1"/>
    </format>
    <format dxfId="605">
      <pivotArea type="topRight" dataOnly="0" labelOnly="1" outline="0" fieldPosition="0"/>
    </format>
    <format dxfId="604">
      <pivotArea field="17" type="button" dataOnly="0" labelOnly="1" outline="0" axis="axisRow" fieldPosition="0"/>
    </format>
    <format dxfId="603">
      <pivotArea dataOnly="0" labelOnly="1" fieldPosition="0">
        <references count="1">
          <reference field="17" count="0"/>
        </references>
      </pivotArea>
    </format>
    <format dxfId="602">
      <pivotArea dataOnly="0" labelOnly="1" grandRow="1" outline="0" fieldPosition="0"/>
    </format>
    <format dxfId="601">
      <pivotArea dataOnly="0" labelOnly="1" fieldPosition="0">
        <references count="1">
          <reference field="15" count="8">
            <x v="0"/>
            <x v="1"/>
            <x v="2"/>
            <x v="3"/>
            <x v="5"/>
            <x v="6"/>
            <x v="7"/>
            <x v="8"/>
          </reference>
        </references>
      </pivotArea>
    </format>
    <format dxfId="600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99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98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0"/>
          </reference>
        </references>
      </pivotArea>
    </format>
    <format dxfId="597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1"/>
          </reference>
        </references>
      </pivotArea>
    </format>
    <format dxfId="596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2"/>
          </reference>
        </references>
      </pivotArea>
    </format>
    <format dxfId="595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3"/>
          </reference>
        </references>
      </pivotArea>
    </format>
    <format dxfId="594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5"/>
          </reference>
        </references>
      </pivotArea>
    </format>
    <format dxfId="593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6"/>
          </reference>
        </references>
      </pivotArea>
    </format>
    <format dxfId="592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7"/>
          </reference>
        </references>
      </pivotArea>
    </format>
    <format dxfId="591">
      <pivotArea dataOnly="0" labelOnly="1" outline="0" fieldPosition="0">
        <references count="2">
          <reference field="4294967294" count="2">
            <x v="0"/>
            <x v="1"/>
          </reference>
          <reference field="15" count="1" selected="0">
            <x v="8"/>
          </reference>
        </references>
      </pivotArea>
    </format>
    <format dxfId="590">
      <pivotArea outline="0" collapsedLevelsAreSubtotals="1" fieldPosition="0"/>
    </format>
    <format dxfId="589">
      <pivotArea outline="0" collapsedLevelsAreSubtotals="1" fieldPosition="0"/>
    </format>
    <format dxfId="588">
      <pivotArea outline="0" collapsedLevelsAreSubtotals="1" fieldPosition="0"/>
    </format>
    <format dxfId="587">
      <pivotArea dataOnly="0" fieldPosition="0">
        <references count="1">
          <reference field="17" count="1">
            <x v="26"/>
          </reference>
        </references>
      </pivotArea>
    </format>
    <format dxfId="586">
      <pivotArea dataOnly="0" fieldPosition="0">
        <references count="1">
          <reference field="17" count="1">
            <x v="26"/>
          </reference>
        </references>
      </pivotArea>
    </format>
    <format dxfId="585">
      <pivotArea dataOnly="0" labelOnly="1" fieldPosition="0">
        <references count="1">
          <reference field="17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1ABD9-87C4-4310-9809-AEF71CA307C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W38" firstHeaderRow="1" firstDataRow="2" firstDataCol="1" rowPageCount="1" colPageCount="1"/>
  <pivotFields count="21">
    <pivotField axis="axisPage" showAll="0">
      <items count="16">
        <item x="1"/>
        <item x="2"/>
        <item x="3"/>
        <item x="4"/>
        <item x="5"/>
        <item x="6"/>
        <item x="7"/>
        <item x="14"/>
        <item x="8"/>
        <item x="9"/>
        <item x="10"/>
        <item x="11"/>
        <item x="12"/>
        <item x="1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4">
        <item x="6"/>
        <item x="3"/>
        <item x="5"/>
        <item m="1" x="8"/>
        <item m="1" x="7"/>
        <item m="1" x="12"/>
        <item m="1" x="10"/>
        <item m="1" x="11"/>
        <item m="1" x="9"/>
        <item x="4"/>
        <item x="0"/>
        <item x="1"/>
        <item x="2"/>
        <item t="default"/>
      </items>
    </pivotField>
    <pivotField showAll="0"/>
    <pivotField axis="axisRow" showAll="0">
      <items count="36">
        <item x="15"/>
        <item x="10"/>
        <item x="1"/>
        <item x="2"/>
        <item x="21"/>
        <item x="3"/>
        <item x="5"/>
        <item x="4"/>
        <item x="7"/>
        <item x="19"/>
        <item x="27"/>
        <item x="26"/>
        <item x="32"/>
        <item x="25"/>
        <item x="30"/>
        <item x="22"/>
        <item x="18"/>
        <item x="16"/>
        <item x="9"/>
        <item x="17"/>
        <item x="20"/>
        <item x="14"/>
        <item x="8"/>
        <item x="34"/>
        <item x="6"/>
        <item x="23"/>
        <item x="29"/>
        <item x="24"/>
        <item x="13"/>
        <item x="28"/>
        <item x="11"/>
        <item x="31"/>
        <item x="12"/>
        <item h="1" x="0"/>
        <item h="1" x="33"/>
        <item t="default"/>
      </items>
    </pivotField>
    <pivotField showAll="0"/>
    <pivotField showAll="0"/>
    <pivotField dataField="1" showAll="0"/>
  </pivotFields>
  <rowFields count="1">
    <field x="17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15"/>
  </colFields>
  <colItems count="7">
    <i>
      <x/>
    </i>
    <i>
      <x v="1"/>
    </i>
    <i>
      <x v="2"/>
    </i>
    <i>
      <x v="9"/>
    </i>
    <i>
      <x v="11"/>
    </i>
    <i>
      <x v="12"/>
    </i>
    <i t="grand">
      <x/>
    </i>
  </colItems>
  <pageFields count="1">
    <pageField fld="0" hier="-1"/>
  </pageFields>
  <dataFields count="1">
    <dataField name="Sum of Gross Wt _x000a_(kg)" fld="20" baseField="0" baseItem="0"/>
  </dataFields>
  <formats count="9">
    <format dxfId="23">
      <pivotArea collapsedLevelsAreSubtotals="1" fieldPosition="0">
        <references count="1">
          <reference field="17" count="0"/>
        </references>
      </pivotArea>
    </format>
    <format dxfId="22">
      <pivotArea grandRow="1" outline="0" collapsedLevelsAreSubtotals="1" fieldPosition="0"/>
    </format>
    <format dxfId="21">
      <pivotArea type="all" dataOnly="0" outline="0" fieldPosition="0"/>
    </format>
    <format dxfId="20">
      <pivotArea field="17" type="button" dataOnly="0" labelOnly="1" outline="0" axis="axisRow" fieldPosition="0"/>
    </format>
    <format dxfId="19">
      <pivotArea dataOnly="0" labelOnly="1" fieldPosition="0">
        <references count="1">
          <reference field="15" count="6">
            <x v="0"/>
            <x v="1"/>
            <x v="2"/>
            <x v="9"/>
            <x v="11"/>
            <x v="12"/>
          </reference>
        </references>
      </pivotArea>
    </format>
    <format dxfId="18">
      <pivotArea dataOnly="0" labelOnly="1" grandCol="1" outline="0" fieldPosition="0"/>
    </format>
    <format dxfId="17">
      <pivotArea field="17" type="button" dataOnly="0" labelOnly="1" outline="0" axis="axisRow" fieldPosition="0"/>
    </format>
    <format dxfId="16">
      <pivotArea dataOnly="0" labelOnly="1" fieldPosition="0">
        <references count="1">
          <reference field="15" count="6">
            <x v="0"/>
            <x v="1"/>
            <x v="2"/>
            <x v="9"/>
            <x v="11"/>
            <x v="12"/>
          </reference>
        </references>
      </pivotArea>
    </format>
    <format dxfId="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97-0F1D-4DBB-BAF8-4AC8E582331E}">
  <dimension ref="A1:D16"/>
  <sheetViews>
    <sheetView zoomScaleNormal="100" workbookViewId="0">
      <selection activeCell="D4" sqref="D4:D5"/>
    </sheetView>
  </sheetViews>
  <sheetFormatPr defaultRowHeight="15" x14ac:dyDescent="0.25"/>
  <cols>
    <col min="1" max="1" width="5.5703125" bestFit="1" customWidth="1"/>
    <col min="2" max="2" width="15.28515625" customWidth="1"/>
    <col min="3" max="3" width="46.28515625" customWidth="1"/>
    <col min="4" max="4" width="13.85546875" customWidth="1"/>
  </cols>
  <sheetData>
    <row r="1" spans="1:4" x14ac:dyDescent="0.25">
      <c r="A1" s="478" t="s">
        <v>801</v>
      </c>
      <c r="B1" s="298" t="s">
        <v>479</v>
      </c>
      <c r="C1" s="298" t="s">
        <v>164</v>
      </c>
      <c r="D1" s="298" t="s">
        <v>165</v>
      </c>
    </row>
    <row r="2" spans="1:4" x14ac:dyDescent="0.25">
      <c r="A2" s="477">
        <v>1</v>
      </c>
      <c r="B2" s="297" t="s">
        <v>166</v>
      </c>
      <c r="C2" s="297" t="s">
        <v>167</v>
      </c>
      <c r="D2" s="297">
        <v>1</v>
      </c>
    </row>
    <row r="3" spans="1:4" x14ac:dyDescent="0.25">
      <c r="A3" s="477">
        <v>2</v>
      </c>
      <c r="B3" s="297" t="s">
        <v>168</v>
      </c>
      <c r="C3" s="297" t="s">
        <v>169</v>
      </c>
      <c r="D3" s="297">
        <v>2</v>
      </c>
    </row>
    <row r="4" spans="1:4" x14ac:dyDescent="0.25">
      <c r="A4" s="477">
        <v>3</v>
      </c>
      <c r="B4" s="297" t="s">
        <v>170</v>
      </c>
      <c r="C4" s="297" t="s">
        <v>171</v>
      </c>
      <c r="D4" s="297">
        <v>1</v>
      </c>
    </row>
    <row r="5" spans="1:4" x14ac:dyDescent="0.25">
      <c r="A5" s="477">
        <v>4</v>
      </c>
      <c r="B5" s="297" t="s">
        <v>172</v>
      </c>
      <c r="C5" s="297" t="s">
        <v>171</v>
      </c>
      <c r="D5" s="297">
        <v>23</v>
      </c>
    </row>
    <row r="6" spans="1:4" x14ac:dyDescent="0.25">
      <c r="A6" s="477">
        <v>5</v>
      </c>
      <c r="B6" s="297" t="s">
        <v>173</v>
      </c>
      <c r="C6" s="297" t="s">
        <v>174</v>
      </c>
      <c r="D6" s="297">
        <v>1</v>
      </c>
    </row>
    <row r="7" spans="1:4" x14ac:dyDescent="0.25">
      <c r="A7" s="477">
        <v>6</v>
      </c>
      <c r="B7" s="297" t="s">
        <v>175</v>
      </c>
      <c r="C7" s="297" t="s">
        <v>176</v>
      </c>
      <c r="D7" s="297">
        <v>4</v>
      </c>
    </row>
    <row r="8" spans="1:4" x14ac:dyDescent="0.25">
      <c r="A8" s="477">
        <v>7</v>
      </c>
      <c r="B8" s="297" t="s">
        <v>177</v>
      </c>
      <c r="C8" s="297" t="s">
        <v>178</v>
      </c>
      <c r="D8" s="297">
        <v>1</v>
      </c>
    </row>
    <row r="9" spans="1:4" x14ac:dyDescent="0.25">
      <c r="A9" s="477">
        <v>8</v>
      </c>
      <c r="B9" s="297" t="s">
        <v>181</v>
      </c>
      <c r="C9" s="297" t="s">
        <v>182</v>
      </c>
      <c r="D9" s="297">
        <v>1</v>
      </c>
    </row>
    <row r="10" spans="1:4" x14ac:dyDescent="0.25">
      <c r="A10" s="477">
        <v>9</v>
      </c>
      <c r="B10" s="297" t="s">
        <v>183</v>
      </c>
      <c r="C10" s="297" t="s">
        <v>184</v>
      </c>
      <c r="D10" s="297">
        <v>1</v>
      </c>
    </row>
    <row r="11" spans="1:4" x14ac:dyDescent="0.25">
      <c r="A11" s="477">
        <v>10</v>
      </c>
      <c r="B11" s="297" t="s">
        <v>185</v>
      </c>
      <c r="C11" s="297" t="s">
        <v>186</v>
      </c>
      <c r="D11" s="297">
        <v>1</v>
      </c>
    </row>
    <row r="12" spans="1:4" x14ac:dyDescent="0.25">
      <c r="A12" s="477">
        <v>11</v>
      </c>
      <c r="B12" s="297" t="s">
        <v>187</v>
      </c>
      <c r="C12" s="297" t="s">
        <v>188</v>
      </c>
      <c r="D12" s="297">
        <v>1</v>
      </c>
    </row>
    <row r="13" spans="1:4" x14ac:dyDescent="0.25">
      <c r="A13" s="477">
        <v>12</v>
      </c>
      <c r="B13" s="297" t="s">
        <v>189</v>
      </c>
      <c r="C13" s="297" t="s">
        <v>190</v>
      </c>
      <c r="D13" s="297">
        <v>1</v>
      </c>
    </row>
    <row r="14" spans="1:4" x14ac:dyDescent="0.25">
      <c r="A14" s="477">
        <v>13</v>
      </c>
      <c r="B14" s="297" t="s">
        <v>193</v>
      </c>
      <c r="C14" s="297" t="s">
        <v>194</v>
      </c>
      <c r="D14" s="297">
        <v>1</v>
      </c>
    </row>
    <row r="15" spans="1:4" x14ac:dyDescent="0.25">
      <c r="A15" s="477">
        <v>14</v>
      </c>
      <c r="B15" s="297" t="s">
        <v>179</v>
      </c>
      <c r="C15" s="297" t="s">
        <v>180</v>
      </c>
      <c r="D15" s="297">
        <v>0</v>
      </c>
    </row>
    <row r="16" spans="1:4" x14ac:dyDescent="0.25">
      <c r="A16" s="510">
        <v>15</v>
      </c>
      <c r="B16" s="510" t="s">
        <v>191</v>
      </c>
      <c r="C16" s="510" t="s">
        <v>192</v>
      </c>
      <c r="D16" s="5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6768-51AA-45C2-978C-DE806A295EA5}">
  <dimension ref="A1:AF58"/>
  <sheetViews>
    <sheetView tabSelected="1" zoomScale="70" zoomScaleNormal="70" workbookViewId="0">
      <pane ySplit="4" topLeftCell="A31" activePane="bottomLeft" state="frozen"/>
      <selection activeCell="H36" sqref="H36"/>
      <selection pane="bottomLeft" activeCell="F59" sqref="F59"/>
    </sheetView>
  </sheetViews>
  <sheetFormatPr defaultColWidth="7.7109375" defaultRowHeight="15.75" x14ac:dyDescent="0.25"/>
  <cols>
    <col min="1" max="1" width="5.140625" style="157" bestFit="1" customWidth="1"/>
    <col min="2" max="2" width="45.7109375" style="157" bestFit="1" customWidth="1"/>
    <col min="3" max="3" width="17.140625" style="597" bestFit="1" customWidth="1"/>
    <col min="4" max="4" width="13.5703125" style="258" bestFit="1" customWidth="1"/>
    <col min="5" max="5" width="15" style="258" bestFit="1" customWidth="1"/>
    <col min="6" max="6" width="13.5703125" style="258" bestFit="1" customWidth="1"/>
    <col min="7" max="7" width="12.140625" style="258" bestFit="1" customWidth="1"/>
    <col min="8" max="8" width="13.5703125" style="258" bestFit="1" customWidth="1"/>
    <col min="9" max="9" width="12.140625" style="258" bestFit="1" customWidth="1"/>
    <col min="10" max="10" width="13.5703125" style="258" bestFit="1" customWidth="1"/>
    <col min="11" max="11" width="13.85546875" style="258" bestFit="1" customWidth="1"/>
    <col min="12" max="12" width="13.5703125" style="258" bestFit="1" customWidth="1"/>
    <col min="13" max="13" width="12.140625" style="258" bestFit="1" customWidth="1"/>
    <col min="14" max="14" width="13.5703125" style="258" bestFit="1" customWidth="1"/>
    <col min="15" max="15" width="12.140625" style="258" bestFit="1" customWidth="1"/>
    <col min="16" max="16" width="13.5703125" style="258" bestFit="1" customWidth="1"/>
    <col min="17" max="17" width="12.140625" style="258" bestFit="1" customWidth="1"/>
    <col min="18" max="18" width="13.5703125" style="258" bestFit="1" customWidth="1"/>
    <col min="19" max="19" width="12.140625" style="258" bestFit="1" customWidth="1"/>
    <col min="20" max="20" width="13.5703125" style="258" bestFit="1" customWidth="1"/>
    <col min="21" max="21" width="13.85546875" style="258" bestFit="1" customWidth="1"/>
    <col min="22" max="22" width="13.5703125" style="258" bestFit="1" customWidth="1"/>
    <col min="23" max="23" width="13.85546875" style="258" bestFit="1" customWidth="1"/>
    <col min="24" max="24" width="13.5703125" style="258" bestFit="1" customWidth="1"/>
    <col min="25" max="25" width="12.140625" style="258" bestFit="1" customWidth="1"/>
    <col min="26" max="26" width="13.5703125" style="258" bestFit="1" customWidth="1"/>
    <col min="27" max="27" width="13.85546875" style="258" bestFit="1" customWidth="1"/>
    <col min="28" max="28" width="13.5703125" style="258" bestFit="1" customWidth="1"/>
    <col min="29" max="29" width="12.140625" style="258" bestFit="1" customWidth="1"/>
    <col min="30" max="30" width="13.5703125" style="258" bestFit="1" customWidth="1"/>
    <col min="31" max="31" width="15" style="258" bestFit="1" customWidth="1"/>
    <col min="32" max="32" width="15" style="157" bestFit="1" customWidth="1"/>
    <col min="33" max="16384" width="7.7109375" style="157"/>
  </cols>
  <sheetData>
    <row r="1" spans="1:31" ht="18.75" customHeight="1" thickBot="1" x14ac:dyDescent="0.35">
      <c r="A1" s="651"/>
      <c r="B1" s="652"/>
      <c r="C1" s="653"/>
      <c r="D1" s="650" t="s">
        <v>136</v>
      </c>
      <c r="E1" s="641"/>
      <c r="F1" s="640" t="s">
        <v>696</v>
      </c>
      <c r="G1" s="641"/>
      <c r="H1" s="650" t="s">
        <v>697</v>
      </c>
      <c r="I1" s="641"/>
      <c r="J1" s="650" t="s">
        <v>698</v>
      </c>
      <c r="K1" s="641"/>
      <c r="L1" s="650" t="s">
        <v>699</v>
      </c>
      <c r="M1" s="641"/>
      <c r="N1" s="640" t="s">
        <v>701</v>
      </c>
      <c r="O1" s="641"/>
      <c r="P1" s="640" t="s">
        <v>702</v>
      </c>
      <c r="Q1" s="641"/>
      <c r="R1" s="640" t="s">
        <v>703</v>
      </c>
      <c r="S1" s="641"/>
      <c r="T1" s="640" t="s">
        <v>704</v>
      </c>
      <c r="U1" s="641"/>
      <c r="V1" s="640" t="s">
        <v>705</v>
      </c>
      <c r="W1" s="641"/>
      <c r="X1" s="640" t="s">
        <v>706</v>
      </c>
      <c r="Y1" s="641"/>
      <c r="Z1" s="640" t="s">
        <v>707</v>
      </c>
      <c r="AA1" s="641"/>
      <c r="AB1" s="640" t="s">
        <v>708</v>
      </c>
      <c r="AC1" s="641"/>
      <c r="AD1" s="640" t="s">
        <v>800</v>
      </c>
      <c r="AE1" s="641"/>
    </row>
    <row r="2" spans="1:31" x14ac:dyDescent="0.25">
      <c r="A2" s="644" t="s">
        <v>86</v>
      </c>
      <c r="B2" s="645"/>
      <c r="C2" s="645"/>
      <c r="D2" s="158" t="s">
        <v>137</v>
      </c>
      <c r="E2" s="159" t="s">
        <v>8</v>
      </c>
      <c r="F2" s="158" t="s">
        <v>137</v>
      </c>
      <c r="G2" s="159" t="s">
        <v>8</v>
      </c>
      <c r="H2" s="158" t="s">
        <v>137</v>
      </c>
      <c r="I2" s="159" t="s">
        <v>8</v>
      </c>
      <c r="J2" s="402" t="s">
        <v>137</v>
      </c>
      <c r="K2" s="403" t="s">
        <v>8</v>
      </c>
      <c r="L2" s="403" t="s">
        <v>137</v>
      </c>
      <c r="M2" s="403" t="s">
        <v>8</v>
      </c>
      <c r="N2" s="158" t="s">
        <v>137</v>
      </c>
      <c r="O2" s="159" t="s">
        <v>8</v>
      </c>
      <c r="P2" s="158" t="s">
        <v>137</v>
      </c>
      <c r="Q2" s="159" t="s">
        <v>8</v>
      </c>
      <c r="R2" s="158" t="s">
        <v>137</v>
      </c>
      <c r="S2" s="159" t="s">
        <v>8</v>
      </c>
      <c r="T2" s="158" t="s">
        <v>137</v>
      </c>
      <c r="U2" s="159" t="s">
        <v>8</v>
      </c>
      <c r="V2" s="158" t="s">
        <v>137</v>
      </c>
      <c r="W2" s="159" t="s">
        <v>8</v>
      </c>
      <c r="X2" s="158" t="s">
        <v>137</v>
      </c>
      <c r="Y2" s="159" t="s">
        <v>8</v>
      </c>
      <c r="Z2" s="158" t="s">
        <v>137</v>
      </c>
      <c r="AA2" s="159" t="s">
        <v>8</v>
      </c>
      <c r="AB2" s="158" t="s">
        <v>137</v>
      </c>
      <c r="AC2" s="159" t="s">
        <v>8</v>
      </c>
      <c r="AD2" s="158" t="s">
        <v>137</v>
      </c>
      <c r="AE2" s="159" t="s">
        <v>8</v>
      </c>
    </row>
    <row r="3" spans="1:31" ht="18" customHeight="1" x14ac:dyDescent="0.25">
      <c r="A3" s="646"/>
      <c r="B3" s="647"/>
      <c r="C3" s="647"/>
      <c r="D3" s="160" t="str">
        <f>'BOM R2D CatWalk'!G4</f>
        <v>AY30013</v>
      </c>
      <c r="E3" s="161">
        <f>'BOM R2D CatWalk'!K4</f>
        <v>1</v>
      </c>
      <c r="F3" s="160" t="str">
        <f>'BOM R2D CatWalk'!G93</f>
        <v>AY30017</v>
      </c>
      <c r="G3" s="161">
        <f>'BOM R2D CatWalk'!K93</f>
        <v>2</v>
      </c>
      <c r="H3" s="160" t="str">
        <f>'BOM R2D CatWalk'!G97</f>
        <v>AY30018</v>
      </c>
      <c r="I3" s="161">
        <f>'BOM R2D CatWalk'!K97</f>
        <v>1</v>
      </c>
      <c r="J3" s="402" t="str">
        <f>'BOM R2D CatWalk'!G100</f>
        <v>AY30027</v>
      </c>
      <c r="K3" s="161">
        <f>'BOM R2D CatWalk'!K100</f>
        <v>23</v>
      </c>
      <c r="L3" s="403" t="str">
        <f>'BOM R2D CatWalk'!G105</f>
        <v>AY30062</v>
      </c>
      <c r="M3" s="161">
        <f>'BOM R2D CatWalk'!K105</f>
        <v>1</v>
      </c>
      <c r="N3" s="160" t="str">
        <f>'BOM R2D CatWalk'!G109</f>
        <v>AY30084</v>
      </c>
      <c r="O3" s="161">
        <f>'BOM R2D CatWalk'!K109</f>
        <v>4</v>
      </c>
      <c r="P3" s="160" t="str">
        <f>'BOM R2D CatWalk'!G114</f>
        <v>AY30107</v>
      </c>
      <c r="Q3" s="161">
        <f>'BOM R2D CatWalk'!K114</f>
        <v>1</v>
      </c>
      <c r="R3" s="160" t="str">
        <f>'BOM R2D CatWalk'!G119</f>
        <v>AY30133</v>
      </c>
      <c r="S3" s="161">
        <f>'BOM R2D CatWalk'!K119</f>
        <v>1</v>
      </c>
      <c r="T3" s="160" t="str">
        <f>'BOM R2D CatWalk'!G128</f>
        <v>AY30134</v>
      </c>
      <c r="U3" s="161">
        <f>'BOM R2D CatWalk'!K128</f>
        <v>1</v>
      </c>
      <c r="V3" s="160" t="str">
        <f>'BOM R2D CatWalk'!G145</f>
        <v>AY30144</v>
      </c>
      <c r="W3" s="161">
        <f>'BOM R2D CatWalk'!K145</f>
        <v>1</v>
      </c>
      <c r="X3" s="160" t="str">
        <f>'BOM R2D CatWalk'!G162</f>
        <v>AY30150</v>
      </c>
      <c r="Y3" s="161">
        <f>'BOM R2D CatWalk'!K162</f>
        <v>1</v>
      </c>
      <c r="Z3" s="160" t="str">
        <f>'BOM R2D CatWalk'!G171</f>
        <v>AY30160</v>
      </c>
      <c r="AA3" s="161">
        <f>'BOM R2D CatWalk'!K171</f>
        <v>1</v>
      </c>
      <c r="AB3" s="160" t="str">
        <f>'BOM R2D CatWalk'!G187</f>
        <v>AY51606</v>
      </c>
      <c r="AC3" s="161">
        <f>'BOM R2D CatWalk'!K187</f>
        <v>1</v>
      </c>
      <c r="AD3" s="160" t="str">
        <f>'BOM R2D CatWalk'!G201</f>
        <v>AY30130</v>
      </c>
      <c r="AE3" s="161">
        <f>'BOM R2D CatWalk'!K201</f>
        <v>1</v>
      </c>
    </row>
    <row r="4" spans="1:31" x14ac:dyDescent="0.25">
      <c r="A4" s="162" t="s">
        <v>87</v>
      </c>
      <c r="B4" s="163" t="s">
        <v>88</v>
      </c>
      <c r="C4" s="569"/>
      <c r="D4" s="162" t="s">
        <v>89</v>
      </c>
      <c r="E4" s="164" t="s">
        <v>90</v>
      </c>
      <c r="F4" s="404" t="s">
        <v>89</v>
      </c>
      <c r="G4" s="164" t="s">
        <v>90</v>
      </c>
      <c r="H4" s="405" t="s">
        <v>89</v>
      </c>
      <c r="I4" s="164" t="s">
        <v>90</v>
      </c>
      <c r="J4" s="404" t="s">
        <v>89</v>
      </c>
      <c r="K4" s="164" t="s">
        <v>90</v>
      </c>
      <c r="L4" s="405" t="s">
        <v>89</v>
      </c>
      <c r="M4" s="164" t="s">
        <v>90</v>
      </c>
      <c r="N4" s="404" t="s">
        <v>89</v>
      </c>
      <c r="O4" s="164" t="s">
        <v>90</v>
      </c>
      <c r="P4" s="404" t="s">
        <v>89</v>
      </c>
      <c r="Q4" s="164" t="s">
        <v>90</v>
      </c>
      <c r="R4" s="404" t="s">
        <v>89</v>
      </c>
      <c r="S4" s="164" t="s">
        <v>90</v>
      </c>
      <c r="T4" s="404" t="s">
        <v>89</v>
      </c>
      <c r="U4" s="164" t="s">
        <v>90</v>
      </c>
      <c r="V4" s="404" t="s">
        <v>89</v>
      </c>
      <c r="W4" s="164" t="s">
        <v>90</v>
      </c>
      <c r="X4" s="404" t="s">
        <v>89</v>
      </c>
      <c r="Y4" s="164" t="s">
        <v>90</v>
      </c>
      <c r="Z4" s="404" t="s">
        <v>89</v>
      </c>
      <c r="AA4" s="164" t="s">
        <v>90</v>
      </c>
      <c r="AB4" s="404" t="s">
        <v>89</v>
      </c>
      <c r="AC4" s="164" t="s">
        <v>90</v>
      </c>
      <c r="AD4" s="404" t="s">
        <v>89</v>
      </c>
      <c r="AE4" s="164" t="s">
        <v>90</v>
      </c>
    </row>
    <row r="5" spans="1:31" x14ac:dyDescent="0.25">
      <c r="A5" s="165" t="s">
        <v>91</v>
      </c>
      <c r="B5" s="166" t="s">
        <v>92</v>
      </c>
      <c r="C5" s="570"/>
      <c r="D5" s="167">
        <f>'Item-1_AY30013'!H8</f>
        <v>5297.8014224060398</v>
      </c>
      <c r="E5" s="168"/>
      <c r="F5" s="167">
        <f>'Item-2_AY30017'!F8</f>
        <v>159.73138856</v>
      </c>
      <c r="G5" s="168"/>
      <c r="H5" s="167">
        <f>'Item-3_AY30018'!F8</f>
        <v>29.666871520000001</v>
      </c>
      <c r="I5" s="168"/>
      <c r="J5" s="406">
        <f>'Item-4_AY30027'!F8</f>
        <v>490.53806438999999</v>
      </c>
      <c r="K5" s="168"/>
      <c r="L5" s="407">
        <f>'Item-5_AY30062'!F8</f>
        <v>61.974920000000004</v>
      </c>
      <c r="M5" s="168"/>
      <c r="N5" s="167">
        <f>'Item-6_AY30084'!F8</f>
        <v>97.840599999999995</v>
      </c>
      <c r="O5" s="168"/>
      <c r="P5" s="167">
        <f>'Item-7_AT30107'!F8</f>
        <v>137.44273372499998</v>
      </c>
      <c r="Q5" s="168"/>
      <c r="R5" s="167">
        <f>'Item-8_AT30133'!F8</f>
        <v>137.03074000000001</v>
      </c>
      <c r="S5" s="168"/>
      <c r="T5" s="167">
        <f>'Item-9_AT30134'!F8</f>
        <v>900.30677925999998</v>
      </c>
      <c r="U5" s="168"/>
      <c r="V5" s="167">
        <f>'Item-10_AT30144'!G8</f>
        <v>1231.9456283999998</v>
      </c>
      <c r="W5" s="168"/>
      <c r="X5" s="167">
        <f>'Item-11_AT30150'!G8</f>
        <v>100.98498207999999</v>
      </c>
      <c r="Y5" s="168"/>
      <c r="Z5" s="167">
        <f>'Item-12_AY30160'!G8</f>
        <v>1032.2846515000001</v>
      </c>
      <c r="AA5" s="168"/>
      <c r="AB5" s="167">
        <f>'Item-13_AY51606'!G8</f>
        <v>250.32865000000001</v>
      </c>
      <c r="AC5" s="168"/>
      <c r="AD5" s="167">
        <f>'Item-14_AY30130'!G8</f>
        <v>4814.29779039</v>
      </c>
      <c r="AE5" s="168"/>
    </row>
    <row r="6" spans="1:31" x14ac:dyDescent="0.25">
      <c r="A6" s="165" t="s">
        <v>93</v>
      </c>
      <c r="B6" s="166" t="s">
        <v>94</v>
      </c>
      <c r="C6" s="571"/>
      <c r="D6" s="167">
        <f>'Item-1_AY30013'!H9</f>
        <v>4052.0663636999998</v>
      </c>
      <c r="E6" s="168"/>
      <c r="F6" s="167">
        <f>'Item-2_AY30017'!F9</f>
        <v>130.33199999999999</v>
      </c>
      <c r="G6" s="168"/>
      <c r="H6" s="167">
        <f>'Item-3_AY30018'!F9</f>
        <v>26.8</v>
      </c>
      <c r="I6" s="168"/>
      <c r="J6" s="406">
        <f>'Item-4_AY30027'!F9</f>
        <v>443.058131</v>
      </c>
      <c r="K6" s="168"/>
      <c r="L6" s="407">
        <f>'Item-5_AY30062'!F9</f>
        <v>20.6876</v>
      </c>
      <c r="M6" s="168"/>
      <c r="N6" s="167">
        <f>'Item-6_AY30084'!F9</f>
        <v>88.945999999999998</v>
      </c>
      <c r="O6" s="168"/>
      <c r="P6" s="167">
        <f>'Item-7_AT30107'!F9</f>
        <v>80.5</v>
      </c>
      <c r="Q6" s="168"/>
      <c r="R6" s="167">
        <f>'Item-8_AT30133'!F9</f>
        <v>124.57339999999999</v>
      </c>
      <c r="S6" s="168"/>
      <c r="T6" s="167">
        <f>'Item-9_AT30134'!F9</f>
        <v>370.42610598000005</v>
      </c>
      <c r="U6" s="168"/>
      <c r="V6" s="167">
        <f>'Item-10_AT30144'!G9</f>
        <v>1044.4723200000001</v>
      </c>
      <c r="W6" s="168"/>
      <c r="X6" s="167">
        <f>'Item-11_AT30150'!G9</f>
        <v>65.530000000000015</v>
      </c>
      <c r="Y6" s="168"/>
      <c r="Z6" s="167">
        <f>'Item-12_AY30160'!G9</f>
        <v>579.6</v>
      </c>
      <c r="AA6" s="168"/>
      <c r="AB6" s="167">
        <f>'Item-13_AY51606'!G9</f>
        <v>177.87297729999997</v>
      </c>
      <c r="AC6" s="168"/>
      <c r="AD6" s="167">
        <f>'Item-14_AY30130'!G9</f>
        <v>4086.1093599999999</v>
      </c>
      <c r="AE6" s="168"/>
    </row>
    <row r="7" spans="1:31" x14ac:dyDescent="0.25">
      <c r="A7" s="169" t="s">
        <v>95</v>
      </c>
      <c r="B7" s="170" t="s">
        <v>138</v>
      </c>
      <c r="C7" s="572"/>
      <c r="D7" s="171"/>
      <c r="E7" s="172">
        <f>'Item-1_AY30013'!H13</f>
        <v>545874.97936556849</v>
      </c>
      <c r="F7" s="171"/>
      <c r="G7" s="172">
        <f>'Item-2_AY30017'!F13</f>
        <v>16346.239644960002</v>
      </c>
      <c r="H7" s="171"/>
      <c r="I7" s="172">
        <f>'Item-3_AY30018'!F13</f>
        <v>2601.21352032</v>
      </c>
      <c r="J7" s="408"/>
      <c r="K7" s="172">
        <f>'Item-4_AY30027'!F13</f>
        <v>43008.907393739995</v>
      </c>
      <c r="L7" s="171"/>
      <c r="M7" s="172">
        <f>'Item-5_AY30062'!F13</f>
        <v>5758.6471199999996</v>
      </c>
      <c r="N7" s="171"/>
      <c r="O7" s="172">
        <f>'Item-6_AY30084'!F13</f>
        <v>19354.649600000001</v>
      </c>
      <c r="P7" s="171"/>
      <c r="Q7" s="172">
        <f>'Item-7_AT30107'!F13</f>
        <v>11003.220425850001</v>
      </c>
      <c r="R7" s="171"/>
      <c r="S7" s="172">
        <f>'Item-8_AT30133'!F13</f>
        <v>27107.171839999999</v>
      </c>
      <c r="T7" s="171"/>
      <c r="U7" s="172">
        <f>'Item-9_AT30134'!F13</f>
        <v>74070.473974680004</v>
      </c>
      <c r="V7" s="171"/>
      <c r="W7" s="172">
        <f>'Item-10_AT30144'!G13</f>
        <v>228672.7211356</v>
      </c>
      <c r="X7" s="171"/>
      <c r="Y7" s="172">
        <f>'Item-11_AT30150'!G13</f>
        <v>16765.528817279999</v>
      </c>
      <c r="Z7" s="171"/>
      <c r="AA7" s="172">
        <f>'Item-12_AY30160'!G13</f>
        <v>156415.21865732002</v>
      </c>
      <c r="AB7" s="171"/>
      <c r="AC7" s="172">
        <f>'Item-13_AY51606'!G13</f>
        <v>20790.642355199998</v>
      </c>
      <c r="AD7" s="171"/>
      <c r="AE7" s="172">
        <f>'Item-14_AY30130'!G13</f>
        <v>580640.7300857401</v>
      </c>
    </row>
    <row r="8" spans="1:31" ht="16.5" thickBot="1" x14ac:dyDescent="0.3">
      <c r="A8" s="169" t="s">
        <v>96</v>
      </c>
      <c r="B8" s="170" t="s">
        <v>700</v>
      </c>
      <c r="C8" s="572"/>
      <c r="D8" s="173"/>
      <c r="E8" s="174">
        <f>'Item-1_AY30013'!G17</f>
        <v>8000</v>
      </c>
      <c r="F8" s="173"/>
      <c r="G8" s="174">
        <v>0</v>
      </c>
      <c r="H8" s="173"/>
      <c r="I8" s="174">
        <v>0</v>
      </c>
      <c r="J8" s="409"/>
      <c r="K8" s="174">
        <v>0</v>
      </c>
      <c r="L8" s="409"/>
      <c r="M8" s="174">
        <v>0</v>
      </c>
      <c r="N8" s="173"/>
      <c r="O8" s="174">
        <v>0</v>
      </c>
      <c r="P8" s="173"/>
      <c r="Q8" s="174">
        <v>0</v>
      </c>
      <c r="R8" s="173"/>
      <c r="S8" s="174">
        <v>0</v>
      </c>
      <c r="T8" s="173"/>
      <c r="U8" s="174">
        <v>0</v>
      </c>
      <c r="V8" s="173"/>
      <c r="W8" s="174">
        <v>0</v>
      </c>
      <c r="X8" s="173"/>
      <c r="Y8" s="174">
        <v>0</v>
      </c>
      <c r="Z8" s="173"/>
      <c r="AA8" s="174">
        <v>0</v>
      </c>
      <c r="AB8" s="173"/>
      <c r="AC8" s="174">
        <v>0</v>
      </c>
      <c r="AD8" s="173"/>
      <c r="AE8" s="174">
        <v>0</v>
      </c>
    </row>
    <row r="9" spans="1:31" ht="16.5" thickBot="1" x14ac:dyDescent="0.3">
      <c r="A9" s="175"/>
      <c r="B9" s="176" t="s">
        <v>97</v>
      </c>
      <c r="C9" s="573"/>
      <c r="D9" s="177"/>
      <c r="E9" s="178">
        <f>SUM(E7:E8)</f>
        <v>553874.97936556849</v>
      </c>
      <c r="F9" s="177"/>
      <c r="G9" s="178">
        <f>SUM(G7:G8)</f>
        <v>16346.239644960002</v>
      </c>
      <c r="H9" s="177"/>
      <c r="I9" s="178">
        <f>SUM(I7:I8)</f>
        <v>2601.21352032</v>
      </c>
      <c r="J9" s="410"/>
      <c r="K9" s="178">
        <f>SUM(K7:K8)</f>
        <v>43008.907393739995</v>
      </c>
      <c r="L9" s="411"/>
      <c r="M9" s="178">
        <f>SUM(M7:M8)</f>
        <v>5758.6471199999996</v>
      </c>
      <c r="N9" s="177"/>
      <c r="O9" s="178">
        <f>SUM(O7:O8)</f>
        <v>19354.649600000001</v>
      </c>
      <c r="P9" s="177"/>
      <c r="Q9" s="178">
        <f>SUM(Q7:Q8)</f>
        <v>11003.220425850001</v>
      </c>
      <c r="R9" s="177"/>
      <c r="S9" s="178">
        <f>SUM(S7:S8)</f>
        <v>27107.171839999999</v>
      </c>
      <c r="T9" s="177"/>
      <c r="U9" s="178">
        <f>SUM(U7:U8)</f>
        <v>74070.473974680004</v>
      </c>
      <c r="V9" s="177"/>
      <c r="W9" s="178">
        <f>SUM(W7:W8)</f>
        <v>228672.7211356</v>
      </c>
      <c r="X9" s="177"/>
      <c r="Y9" s="178">
        <f>SUM(Y7:Y8)</f>
        <v>16765.528817279999</v>
      </c>
      <c r="Z9" s="177"/>
      <c r="AA9" s="178">
        <f>SUM(AA7:AA8)</f>
        <v>156415.21865732002</v>
      </c>
      <c r="AB9" s="177"/>
      <c r="AC9" s="178">
        <f>SUM(AC7:AC8)</f>
        <v>20790.642355199998</v>
      </c>
      <c r="AD9" s="177"/>
      <c r="AE9" s="178">
        <f>SUM(AE7:AE8)</f>
        <v>580640.7300857401</v>
      </c>
    </row>
    <row r="10" spans="1:31" ht="16.5" thickBot="1" x14ac:dyDescent="0.3">
      <c r="A10" s="179"/>
      <c r="B10" s="180"/>
      <c r="C10" s="574"/>
      <c r="D10" s="181">
        <f>(D5-D6)/D6</f>
        <v>0.30743204747726333</v>
      </c>
      <c r="E10" s="182"/>
      <c r="F10" s="181">
        <f>(F5-F6)/F6</f>
        <v>0.2255730638676611</v>
      </c>
      <c r="G10" s="182"/>
      <c r="H10" s="181">
        <f>(H5-H6)/H6</f>
        <v>0.10697281791044776</v>
      </c>
      <c r="I10" s="182"/>
      <c r="J10" s="412">
        <f>(J5-J6)/J6</f>
        <v>0.10716411700387005</v>
      </c>
      <c r="K10" s="182"/>
      <c r="L10" s="181">
        <f>(L5-L6)/L6</f>
        <v>1.9957520447031076</v>
      </c>
      <c r="M10" s="182"/>
      <c r="N10" s="181">
        <f>(N5-N6)/N6</f>
        <v>9.9999999999999964E-2</v>
      </c>
      <c r="O10" s="182"/>
      <c r="P10" s="181">
        <f>(P5-P6)/P6</f>
        <v>0.70736315186335386</v>
      </c>
      <c r="Q10" s="182"/>
      <c r="R10" s="181">
        <f>(R5-R6)/R6</f>
        <v>0.10000000000000013</v>
      </c>
      <c r="S10" s="182"/>
      <c r="T10" s="181">
        <f>(T5-T6)/T6</f>
        <v>1.4304625530593922</v>
      </c>
      <c r="U10" s="182"/>
      <c r="V10" s="181">
        <f>(V5-V6)/V6</f>
        <v>0.17949093031014907</v>
      </c>
      <c r="W10" s="182"/>
      <c r="X10" s="181">
        <f>(X5-X6)/X6</f>
        <v>0.54104962734625317</v>
      </c>
      <c r="Y10" s="182"/>
      <c r="Z10" s="181">
        <f>(Z5-Z6)/Z6</f>
        <v>0.78102941942719128</v>
      </c>
      <c r="AA10" s="182"/>
      <c r="AB10" s="181">
        <f>(AB5-AB6)/AB6</f>
        <v>0.40734502677040446</v>
      </c>
      <c r="AC10" s="182"/>
      <c r="AD10" s="181">
        <f>(AD5-AD6)/AD6</f>
        <v>0.17821070515596776</v>
      </c>
      <c r="AE10" s="182"/>
    </row>
    <row r="11" spans="1:31" x14ac:dyDescent="0.25">
      <c r="A11" s="183" t="s">
        <v>98</v>
      </c>
      <c r="B11" s="184" t="s">
        <v>99</v>
      </c>
      <c r="C11" s="575"/>
      <c r="D11" s="185"/>
      <c r="E11" s="186"/>
      <c r="F11" s="185"/>
      <c r="G11" s="186"/>
      <c r="H11" s="185"/>
      <c r="I11" s="186"/>
      <c r="J11" s="413"/>
      <c r="K11" s="186"/>
      <c r="L11" s="185"/>
      <c r="M11" s="186"/>
      <c r="N11" s="185"/>
      <c r="O11" s="186"/>
      <c r="P11" s="185"/>
      <c r="Q11" s="186"/>
      <c r="R11" s="185"/>
      <c r="S11" s="186"/>
      <c r="T11" s="185"/>
      <c r="U11" s="186"/>
      <c r="V11" s="185"/>
      <c r="W11" s="186"/>
      <c r="X11" s="185"/>
      <c r="Y11" s="186"/>
      <c r="Z11" s="185"/>
      <c r="AA11" s="186"/>
      <c r="AB11" s="185"/>
      <c r="AC11" s="186"/>
      <c r="AD11" s="185"/>
      <c r="AE11" s="186"/>
    </row>
    <row r="12" spans="1:31" x14ac:dyDescent="0.25">
      <c r="A12" s="165" t="s">
        <v>91</v>
      </c>
      <c r="B12" s="187" t="s">
        <v>100</v>
      </c>
      <c r="C12" s="576">
        <v>0</v>
      </c>
      <c r="D12" s="165"/>
      <c r="E12" s="174">
        <v>0</v>
      </c>
      <c r="F12" s="165"/>
      <c r="G12" s="174">
        <v>0</v>
      </c>
      <c r="H12" s="165"/>
      <c r="I12" s="174">
        <v>0</v>
      </c>
      <c r="J12" s="414"/>
      <c r="K12" s="174">
        <v>0</v>
      </c>
      <c r="L12" s="165"/>
      <c r="M12" s="174">
        <v>0</v>
      </c>
      <c r="N12" s="165"/>
      <c r="O12" s="174">
        <v>0</v>
      </c>
      <c r="P12" s="165"/>
      <c r="Q12" s="174">
        <v>0</v>
      </c>
      <c r="R12" s="165"/>
      <c r="S12" s="174">
        <v>0</v>
      </c>
      <c r="T12" s="165"/>
      <c r="U12" s="174">
        <v>0</v>
      </c>
      <c r="V12" s="165"/>
      <c r="W12" s="174">
        <v>0</v>
      </c>
      <c r="X12" s="165"/>
      <c r="Y12" s="174">
        <v>0</v>
      </c>
      <c r="Z12" s="165"/>
      <c r="AA12" s="174">
        <v>0</v>
      </c>
      <c r="AB12" s="165"/>
      <c r="AC12" s="174">
        <v>0</v>
      </c>
      <c r="AD12" s="165"/>
      <c r="AE12" s="174">
        <v>0</v>
      </c>
    </row>
    <row r="13" spans="1:31" x14ac:dyDescent="0.25">
      <c r="A13" s="165" t="s">
        <v>93</v>
      </c>
      <c r="B13" s="187" t="s">
        <v>101</v>
      </c>
      <c r="C13" s="576">
        <v>0</v>
      </c>
      <c r="D13" s="165"/>
      <c r="E13" s="188">
        <f>'Item-1_AY30013'!G33</f>
        <v>336234.83452275745</v>
      </c>
      <c r="F13" s="165"/>
      <c r="G13" s="188">
        <f>'Item-2_AY30017'!E33</f>
        <v>10766.813689792663</v>
      </c>
      <c r="H13" s="165"/>
      <c r="I13" s="188">
        <f>'Item-3_AY30018'!E33</f>
        <v>2807.9474462017615</v>
      </c>
      <c r="J13" s="414"/>
      <c r="K13" s="188">
        <f>'Item-4_AY30027'!E33</f>
        <v>55898.463278907118</v>
      </c>
      <c r="L13" s="165"/>
      <c r="M13" s="188">
        <f>'Item-5_AY30062'!E33</f>
        <v>1667.0182708133971</v>
      </c>
      <c r="N13" s="165"/>
      <c r="O13" s="188">
        <f>'Item-6_AY30084'!E33</f>
        <v>8215.6490877192973</v>
      </c>
      <c r="P13" s="165"/>
      <c r="Q13" s="188">
        <f>'Item-7_AT30107'!E33</f>
        <v>9116.1528070696841</v>
      </c>
      <c r="R13" s="165"/>
      <c r="S13" s="188">
        <f>'Item-8_AT30133'!E33</f>
        <v>12697.733120175437</v>
      </c>
      <c r="T13" s="165"/>
      <c r="U13" s="188">
        <f>'Item-9_AT30134'!E33</f>
        <v>42971.149125970325</v>
      </c>
      <c r="V13" s="165"/>
      <c r="W13" s="188">
        <f>'Item-10_AT30144'!F33</f>
        <v>93760.099340292247</v>
      </c>
      <c r="X13" s="165"/>
      <c r="Y13" s="188">
        <f>'Item-11_AT30150'!F33</f>
        <v>7281.4489232695387</v>
      </c>
      <c r="Z13" s="165"/>
      <c r="AA13" s="188">
        <f>'Item-12_AY30160'!F33</f>
        <v>50850.185566688029</v>
      </c>
      <c r="AB13" s="165"/>
      <c r="AC13" s="188">
        <f>'Item-13_AY51606'!F33</f>
        <v>13325.95770984829</v>
      </c>
      <c r="AD13" s="165"/>
      <c r="AE13" s="188">
        <f>'Item-14_AY30130'!F33</f>
        <v>443934.29765044467</v>
      </c>
    </row>
    <row r="14" spans="1:31" x14ac:dyDescent="0.25">
      <c r="A14" s="165" t="s">
        <v>95</v>
      </c>
      <c r="B14" s="187" t="s">
        <v>102</v>
      </c>
      <c r="C14" s="576">
        <v>20</v>
      </c>
      <c r="D14" s="165"/>
      <c r="E14" s="174">
        <f>D6*$C$14</f>
        <v>81041.327273999996</v>
      </c>
      <c r="F14" s="165"/>
      <c r="G14" s="174">
        <f>F6*$C$14</f>
        <v>2606.64</v>
      </c>
      <c r="H14" s="165"/>
      <c r="I14" s="174">
        <f>H6*$C$14</f>
        <v>536</v>
      </c>
      <c r="J14" s="414"/>
      <c r="K14" s="174">
        <f>J6*$C$14</f>
        <v>8861.1626199999992</v>
      </c>
      <c r="L14" s="165"/>
      <c r="M14" s="174">
        <f>L6*$C$14</f>
        <v>413.75200000000001</v>
      </c>
      <c r="N14" s="165"/>
      <c r="O14" s="174">
        <f>N6*$C$14</f>
        <v>1778.92</v>
      </c>
      <c r="P14" s="165"/>
      <c r="Q14" s="174">
        <f>P6*$C$14</f>
        <v>1610</v>
      </c>
      <c r="R14" s="165"/>
      <c r="S14" s="174">
        <f>R6*$C$14</f>
        <v>2491.4679999999998</v>
      </c>
      <c r="T14" s="165"/>
      <c r="U14" s="174">
        <f>T6*$C$14</f>
        <v>7408.5221196000011</v>
      </c>
      <c r="V14" s="165"/>
      <c r="W14" s="174">
        <f>V6*$C$14</f>
        <v>20889.446400000001</v>
      </c>
      <c r="X14" s="165"/>
      <c r="Y14" s="174">
        <f>X6*$C$14</f>
        <v>1310.6000000000004</v>
      </c>
      <c r="Z14" s="165"/>
      <c r="AA14" s="174">
        <f>Z6*$C$14</f>
        <v>11592</v>
      </c>
      <c r="AB14" s="165"/>
      <c r="AC14" s="174">
        <f>AB6*$C$14</f>
        <v>3557.4595459999996</v>
      </c>
      <c r="AD14" s="165"/>
      <c r="AE14" s="174">
        <f>AD6*$C$14</f>
        <v>81722.1872</v>
      </c>
    </row>
    <row r="15" spans="1:31" x14ac:dyDescent="0.25">
      <c r="A15" s="165" t="s">
        <v>96</v>
      </c>
      <c r="B15" s="187" t="s">
        <v>103</v>
      </c>
      <c r="C15" s="576">
        <v>12</v>
      </c>
      <c r="D15" s="165"/>
      <c r="E15" s="174">
        <f>D6*$C$15</f>
        <v>48624.796364399997</v>
      </c>
      <c r="F15" s="165"/>
      <c r="G15" s="174">
        <f>F6*$C$15</f>
        <v>1563.9839999999999</v>
      </c>
      <c r="H15" s="165"/>
      <c r="I15" s="174">
        <f>H6*$C$15</f>
        <v>321.60000000000002</v>
      </c>
      <c r="J15" s="414"/>
      <c r="K15" s="174">
        <f>J6*$C$15</f>
        <v>5316.697572</v>
      </c>
      <c r="L15" s="165"/>
      <c r="M15" s="174">
        <f>L6*$C$15</f>
        <v>248.25119999999998</v>
      </c>
      <c r="N15" s="165"/>
      <c r="O15" s="174">
        <f>N6*$C$15</f>
        <v>1067.3519999999999</v>
      </c>
      <c r="P15" s="165"/>
      <c r="Q15" s="174">
        <f>P6*$C$15</f>
        <v>966</v>
      </c>
      <c r="R15" s="165"/>
      <c r="S15" s="174">
        <f>R6*$C$15</f>
        <v>1494.8807999999999</v>
      </c>
      <c r="T15" s="165"/>
      <c r="U15" s="174">
        <f>T6*$C$15</f>
        <v>4445.1132717600003</v>
      </c>
      <c r="V15" s="165"/>
      <c r="W15" s="174">
        <f>V6*$C$15</f>
        <v>12533.667840000002</v>
      </c>
      <c r="X15" s="165"/>
      <c r="Y15" s="174">
        <f>X6*$C$15</f>
        <v>786.36000000000013</v>
      </c>
      <c r="Z15" s="165"/>
      <c r="AA15" s="174">
        <f>Z6*$C$15</f>
        <v>6955.2000000000007</v>
      </c>
      <c r="AB15" s="165"/>
      <c r="AC15" s="174">
        <f>AB6*$C$15</f>
        <v>2134.4757275999996</v>
      </c>
      <c r="AD15" s="165"/>
      <c r="AE15" s="174">
        <f>AD6*$C$15</f>
        <v>49033.312319999997</v>
      </c>
    </row>
    <row r="16" spans="1:31" x14ac:dyDescent="0.25">
      <c r="A16" s="189" t="s">
        <v>104</v>
      </c>
      <c r="B16" s="187" t="s">
        <v>139</v>
      </c>
      <c r="C16" s="576" t="s">
        <v>151</v>
      </c>
      <c r="D16" s="165"/>
      <c r="E16" s="174">
        <v>0</v>
      </c>
      <c r="F16" s="165"/>
      <c r="G16" s="174">
        <v>0</v>
      </c>
      <c r="H16" s="165"/>
      <c r="I16" s="174">
        <v>0</v>
      </c>
      <c r="J16" s="414"/>
      <c r="K16" s="174">
        <v>0</v>
      </c>
      <c r="L16" s="165"/>
      <c r="M16" s="174">
        <v>0</v>
      </c>
      <c r="N16" s="165"/>
      <c r="O16" s="174">
        <v>0</v>
      </c>
      <c r="P16" s="165"/>
      <c r="Q16" s="174">
        <v>0</v>
      </c>
      <c r="R16" s="165"/>
      <c r="S16" s="174">
        <v>0</v>
      </c>
      <c r="T16" s="165"/>
      <c r="U16" s="174">
        <v>0</v>
      </c>
      <c r="V16" s="165"/>
      <c r="W16" s="174">
        <v>0</v>
      </c>
      <c r="X16" s="165"/>
      <c r="Y16" s="174">
        <v>0</v>
      </c>
      <c r="Z16" s="165"/>
      <c r="AA16" s="174">
        <v>0</v>
      </c>
      <c r="AB16" s="165"/>
      <c r="AC16" s="174">
        <v>0</v>
      </c>
      <c r="AD16" s="165"/>
      <c r="AE16" s="174">
        <v>0</v>
      </c>
    </row>
    <row r="17" spans="1:32" ht="16.5" thickBot="1" x14ac:dyDescent="0.3">
      <c r="A17" s="190"/>
      <c r="B17" s="191" t="s">
        <v>105</v>
      </c>
      <c r="C17" s="577"/>
      <c r="D17" s="192"/>
      <c r="E17" s="193">
        <f>SUM(E9:E16)</f>
        <v>1019775.9375267259</v>
      </c>
      <c r="F17" s="192"/>
      <c r="G17" s="193">
        <f>SUM(G9:G16)</f>
        <v>31283.677334752665</v>
      </c>
      <c r="H17" s="192"/>
      <c r="I17" s="193">
        <f>SUM(I9:I16)</f>
        <v>6266.7609665217624</v>
      </c>
      <c r="J17" s="415"/>
      <c r="K17" s="193">
        <f>SUM(K9:K16)</f>
        <v>113085.23086464712</v>
      </c>
      <c r="L17" s="192"/>
      <c r="M17" s="193">
        <f>SUM(M9:M16)</f>
        <v>8087.6685908133968</v>
      </c>
      <c r="N17" s="192"/>
      <c r="O17" s="193">
        <f>SUM(O9:O16)</f>
        <v>30416.570687719293</v>
      </c>
      <c r="P17" s="192"/>
      <c r="Q17" s="193">
        <f>SUM(Q9:Q16)</f>
        <v>22695.373232919686</v>
      </c>
      <c r="R17" s="192"/>
      <c r="S17" s="193">
        <f>SUM(S9:S16)</f>
        <v>43791.253760175437</v>
      </c>
      <c r="T17" s="192"/>
      <c r="U17" s="193">
        <f>SUM(U9:U16)</f>
        <v>128895.25849201033</v>
      </c>
      <c r="V17" s="192"/>
      <c r="W17" s="193">
        <f>SUM(W9:W16)</f>
        <v>355855.9347158923</v>
      </c>
      <c r="X17" s="192"/>
      <c r="Y17" s="193">
        <f>SUM(Y9:Y16)</f>
        <v>26143.93774054954</v>
      </c>
      <c r="Z17" s="192"/>
      <c r="AA17" s="193">
        <f>SUM(AA9:AA16)</f>
        <v>225812.60422400804</v>
      </c>
      <c r="AB17" s="192"/>
      <c r="AC17" s="193">
        <f>SUM(AC9:AC16)</f>
        <v>39808.535338648289</v>
      </c>
      <c r="AD17" s="192"/>
      <c r="AE17" s="193">
        <f>SUM(AE9:AE16)</f>
        <v>1155330.5272561847</v>
      </c>
    </row>
    <row r="18" spans="1:32" ht="16.5" thickBot="1" x14ac:dyDescent="0.3">
      <c r="A18" s="194"/>
      <c r="B18" s="180"/>
      <c r="C18" s="574"/>
      <c r="D18" s="195"/>
      <c r="E18" s="182"/>
      <c r="F18" s="416"/>
      <c r="G18" s="417"/>
      <c r="H18" s="416"/>
      <c r="I18" s="417"/>
      <c r="J18" s="418"/>
      <c r="K18" s="182"/>
      <c r="L18" s="419"/>
      <c r="M18" s="182"/>
      <c r="N18" s="416"/>
      <c r="O18" s="417"/>
      <c r="P18" s="416"/>
      <c r="Q18" s="417"/>
      <c r="R18" s="416"/>
      <c r="S18" s="417"/>
      <c r="T18" s="416"/>
      <c r="U18" s="417"/>
      <c r="V18" s="416"/>
      <c r="W18" s="417"/>
      <c r="X18" s="416"/>
      <c r="Y18" s="417"/>
      <c r="Z18" s="416"/>
      <c r="AA18" s="417"/>
      <c r="AB18" s="416"/>
      <c r="AC18" s="417"/>
      <c r="AD18" s="416"/>
      <c r="AE18" s="417"/>
    </row>
    <row r="19" spans="1:32" x14ac:dyDescent="0.25">
      <c r="A19" s="196" t="s">
        <v>106</v>
      </c>
      <c r="B19" s="197" t="s">
        <v>107</v>
      </c>
      <c r="C19" s="578"/>
      <c r="D19" s="198"/>
      <c r="E19" s="199"/>
      <c r="F19" s="420"/>
      <c r="G19" s="421"/>
      <c r="H19" s="420"/>
      <c r="I19" s="421"/>
      <c r="J19" s="422"/>
      <c r="K19" s="199"/>
      <c r="L19" s="423"/>
      <c r="M19" s="199"/>
      <c r="N19" s="420"/>
      <c r="O19" s="421"/>
      <c r="P19" s="420"/>
      <c r="Q19" s="421"/>
      <c r="R19" s="420"/>
      <c r="S19" s="421"/>
      <c r="T19" s="420"/>
      <c r="U19" s="421"/>
      <c r="V19" s="420"/>
      <c r="W19" s="421"/>
      <c r="X19" s="420"/>
      <c r="Y19" s="421"/>
      <c r="Z19" s="420"/>
      <c r="AA19" s="421"/>
      <c r="AB19" s="420"/>
      <c r="AC19" s="421"/>
      <c r="AD19" s="420"/>
      <c r="AE19" s="421"/>
    </row>
    <row r="20" spans="1:32" x14ac:dyDescent="0.25">
      <c r="A20" s="189" t="s">
        <v>108</v>
      </c>
      <c r="B20" s="166" t="s">
        <v>109</v>
      </c>
      <c r="C20" s="579">
        <v>1.4999999999999999E-2</v>
      </c>
      <c r="D20" s="200"/>
      <c r="E20" s="201">
        <f ca="1">E22*$C$20</f>
        <v>15769.730992681329</v>
      </c>
      <c r="F20" s="424"/>
      <c r="G20" s="201">
        <f ca="1">G22*$C$20</f>
        <v>483.76820620751539</v>
      </c>
      <c r="H20" s="424"/>
      <c r="I20" s="201">
        <f ca="1">I22*$C$20</f>
        <v>96.908674740027251</v>
      </c>
      <c r="J20" s="425"/>
      <c r="K20" s="201">
        <f ca="1">K22*$C$20</f>
        <v>1748.7406834739245</v>
      </c>
      <c r="L20" s="426"/>
      <c r="M20" s="201">
        <f ca="1">M22*$C$20</f>
        <v>125.06704006412468</v>
      </c>
      <c r="N20" s="424"/>
      <c r="O20" s="201">
        <f ca="1">O22*$C$20</f>
        <v>470.35934053174168</v>
      </c>
      <c r="P20" s="424"/>
      <c r="Q20" s="201">
        <f ca="1">Q22*$C$20</f>
        <v>350.9593798905106</v>
      </c>
      <c r="R20" s="424"/>
      <c r="S20" s="201">
        <f ca="1">S22*$C$20</f>
        <v>677.18433649755821</v>
      </c>
      <c r="T20" s="424"/>
      <c r="U20" s="201">
        <f ca="1">U22*$C$20</f>
        <v>1993.2256467836648</v>
      </c>
      <c r="V20" s="424"/>
      <c r="W20" s="201">
        <f ca="1">W22*$C$20</f>
        <v>5502.9268255034895</v>
      </c>
      <c r="X20" s="424"/>
      <c r="Y20" s="201">
        <f ca="1">Y22*$C$20</f>
        <v>404.28769701880731</v>
      </c>
      <c r="Z20" s="424"/>
      <c r="AA20" s="201">
        <f ca="1">AA22*$C$20</f>
        <v>3491.9474880001239</v>
      </c>
      <c r="AB20" s="424"/>
      <c r="AC20" s="201">
        <f ca="1">AC22*$C$20</f>
        <v>615.59590729868489</v>
      </c>
      <c r="AD20" s="424"/>
      <c r="AE20" s="201">
        <f ca="1">AE22*$C$20</f>
        <v>17865.935988497702</v>
      </c>
    </row>
    <row r="21" spans="1:32" ht="16.5" thickBot="1" x14ac:dyDescent="0.3">
      <c r="A21" s="189" t="s">
        <v>110</v>
      </c>
      <c r="B21" s="166" t="s">
        <v>111</v>
      </c>
      <c r="C21" s="579">
        <v>1.4999999999999999E-2</v>
      </c>
      <c r="D21" s="200"/>
      <c r="E21" s="201">
        <f ca="1">E22*$C$21</f>
        <v>15769.730992681329</v>
      </c>
      <c r="F21" s="424"/>
      <c r="G21" s="201">
        <f ca="1">G22*$C$21</f>
        <v>483.76820620751539</v>
      </c>
      <c r="H21" s="424"/>
      <c r="I21" s="201">
        <f ca="1">I22*$C$21</f>
        <v>96.908674740027251</v>
      </c>
      <c r="J21" s="425"/>
      <c r="K21" s="201">
        <f ca="1">K22*$C$21</f>
        <v>1748.7406834739245</v>
      </c>
      <c r="L21" s="407"/>
      <c r="M21" s="201">
        <f ca="1">M22*$C$21</f>
        <v>125.06704006412468</v>
      </c>
      <c r="N21" s="424"/>
      <c r="O21" s="201">
        <f ca="1">O22*$C$21</f>
        <v>470.35934053174168</v>
      </c>
      <c r="P21" s="424"/>
      <c r="Q21" s="201">
        <f ca="1">Q22*$C$21</f>
        <v>350.9593798905106</v>
      </c>
      <c r="R21" s="424"/>
      <c r="S21" s="201">
        <f ca="1">S22*$C$21</f>
        <v>677.18433649755821</v>
      </c>
      <c r="T21" s="424"/>
      <c r="U21" s="201">
        <f ca="1">U22*$C$21</f>
        <v>1993.2256467836648</v>
      </c>
      <c r="V21" s="424"/>
      <c r="W21" s="201">
        <f ca="1">W22*$C$21</f>
        <v>5502.9268255034895</v>
      </c>
      <c r="X21" s="424"/>
      <c r="Y21" s="201">
        <f ca="1">Y22*$C$21</f>
        <v>404.28769701880731</v>
      </c>
      <c r="Z21" s="424"/>
      <c r="AA21" s="201">
        <f ca="1">AA22*$C$21</f>
        <v>3491.9474880001239</v>
      </c>
      <c r="AB21" s="424"/>
      <c r="AC21" s="201">
        <f ca="1">AC22*$C$21</f>
        <v>615.59590729868489</v>
      </c>
      <c r="AD21" s="424"/>
      <c r="AE21" s="201">
        <f ca="1">AE22*$C$21</f>
        <v>17865.935988497702</v>
      </c>
    </row>
    <row r="22" spans="1:32" ht="16.5" thickBot="1" x14ac:dyDescent="0.3">
      <c r="A22" s="177"/>
      <c r="B22" s="202" t="s">
        <v>112</v>
      </c>
      <c r="C22" s="580"/>
      <c r="D22" s="203"/>
      <c r="E22" s="204">
        <f ca="1">SUM(E20:E21)+E17</f>
        <v>1051315.3995120886</v>
      </c>
      <c r="F22" s="427"/>
      <c r="G22" s="204">
        <f ca="1">SUM(G20:G21)+G17</f>
        <v>32251.213747167694</v>
      </c>
      <c r="H22" s="427"/>
      <c r="I22" s="204">
        <f ca="1">SUM(I20:I21)+I17</f>
        <v>6460.5783160018173</v>
      </c>
      <c r="J22" s="428"/>
      <c r="K22" s="204">
        <f ca="1">SUM(K20:K21)+K17</f>
        <v>116582.71223159497</v>
      </c>
      <c r="L22" s="429"/>
      <c r="M22" s="204">
        <f ca="1">SUM(M20:M21)+M17</f>
        <v>8337.8026709416463</v>
      </c>
      <c r="N22" s="427"/>
      <c r="O22" s="204">
        <f ca="1">SUM(O20:O21)+O17</f>
        <v>31357.289368782778</v>
      </c>
      <c r="P22" s="427"/>
      <c r="Q22" s="204">
        <f ca="1">SUM(Q20:Q21)+Q17</f>
        <v>23397.291992700706</v>
      </c>
      <c r="R22" s="427"/>
      <c r="S22" s="204">
        <f ca="1">SUM(S20:S21)+S17</f>
        <v>45145.622433170553</v>
      </c>
      <c r="T22" s="427"/>
      <c r="U22" s="204">
        <f ca="1">SUM(U20:U21)+U17</f>
        <v>132881.70978557767</v>
      </c>
      <c r="V22" s="427"/>
      <c r="W22" s="204">
        <f ca="1">SUM(W20:W21)+W17</f>
        <v>366861.7883668993</v>
      </c>
      <c r="X22" s="427"/>
      <c r="Y22" s="204">
        <f ca="1">SUM(Y20:Y21)+Y17</f>
        <v>26952.513134587156</v>
      </c>
      <c r="Z22" s="427"/>
      <c r="AA22" s="204">
        <f ca="1">SUM(AA20:AA21)+AA17</f>
        <v>232796.49920000829</v>
      </c>
      <c r="AB22" s="427"/>
      <c r="AC22" s="204">
        <f ca="1">SUM(AC20:AC21)+AC17</f>
        <v>41039.727153245658</v>
      </c>
      <c r="AD22" s="427"/>
      <c r="AE22" s="204">
        <f ca="1">SUM(AE20:AE21)+AE17</f>
        <v>1191062.3992331801</v>
      </c>
    </row>
    <row r="23" spans="1:32" ht="16.5" thickBot="1" x14ac:dyDescent="0.3">
      <c r="A23" s="205"/>
      <c r="B23" s="180"/>
      <c r="C23" s="581"/>
      <c r="D23" s="194"/>
      <c r="E23" s="206"/>
      <c r="F23" s="430"/>
      <c r="G23" s="206"/>
      <c r="H23" s="430"/>
      <c r="I23" s="206"/>
      <c r="J23" s="431"/>
      <c r="K23" s="206"/>
      <c r="L23" s="432"/>
      <c r="M23" s="206"/>
      <c r="N23" s="430"/>
      <c r="O23" s="206"/>
      <c r="P23" s="430"/>
      <c r="Q23" s="206"/>
      <c r="R23" s="430"/>
      <c r="S23" s="206"/>
      <c r="T23" s="430"/>
      <c r="U23" s="206"/>
      <c r="V23" s="430"/>
      <c r="W23" s="206"/>
      <c r="X23" s="430"/>
      <c r="Y23" s="206"/>
      <c r="Z23" s="430"/>
      <c r="AA23" s="206"/>
      <c r="AB23" s="430"/>
      <c r="AC23" s="206"/>
      <c r="AD23" s="430"/>
      <c r="AE23" s="206"/>
    </row>
    <row r="24" spans="1:32" x14ac:dyDescent="0.25">
      <c r="A24" s="207" t="s">
        <v>113</v>
      </c>
      <c r="B24" s="208" t="s">
        <v>114</v>
      </c>
      <c r="C24" s="582"/>
      <c r="D24" s="209"/>
      <c r="E24" s="210"/>
      <c r="F24" s="209"/>
      <c r="G24" s="210"/>
      <c r="H24" s="209"/>
      <c r="I24" s="210"/>
      <c r="J24" s="433"/>
      <c r="K24" s="210"/>
      <c r="L24" s="433"/>
      <c r="M24" s="210"/>
      <c r="N24" s="209"/>
      <c r="O24" s="210"/>
      <c r="P24" s="209"/>
      <c r="Q24" s="210"/>
      <c r="R24" s="209"/>
      <c r="S24" s="210"/>
      <c r="T24" s="209"/>
      <c r="U24" s="210"/>
      <c r="V24" s="209"/>
      <c r="W24" s="210"/>
      <c r="X24" s="209"/>
      <c r="Y24" s="210"/>
      <c r="Z24" s="209"/>
      <c r="AA24" s="210"/>
      <c r="AB24" s="209"/>
      <c r="AC24" s="210"/>
      <c r="AD24" s="209"/>
      <c r="AE24" s="210"/>
    </row>
    <row r="25" spans="1:32" x14ac:dyDescent="0.25">
      <c r="A25" s="165" t="s">
        <v>91</v>
      </c>
      <c r="B25" s="187" t="s">
        <v>115</v>
      </c>
      <c r="C25" s="583">
        <v>0.01</v>
      </c>
      <c r="D25" s="211"/>
      <c r="E25" s="188">
        <f ca="1">E28*$C$25</f>
        <v>14017.538660161181</v>
      </c>
      <c r="F25" s="434"/>
      <c r="G25" s="188">
        <f ca="1">G28*$C$25</f>
        <v>430.01618329556931</v>
      </c>
      <c r="H25" s="434"/>
      <c r="I25" s="188">
        <f ca="1">I28*$C$25</f>
        <v>86.14104421335756</v>
      </c>
      <c r="J25" s="435"/>
      <c r="K25" s="188">
        <f ca="1">K28*$C$25</f>
        <v>1554.4361630879328</v>
      </c>
      <c r="L25" s="436"/>
      <c r="M25" s="188">
        <f ca="1">M28*$C$25</f>
        <v>111.17070227922193</v>
      </c>
      <c r="N25" s="434"/>
      <c r="O25" s="188">
        <f ca="1">O28*$C$25</f>
        <v>418.09719158377032</v>
      </c>
      <c r="P25" s="434"/>
      <c r="Q25" s="188">
        <f ca="1">Q28*$C$25</f>
        <v>311.96389323600943</v>
      </c>
      <c r="R25" s="434"/>
      <c r="S25" s="188">
        <f ca="1">S28*$C$25</f>
        <v>601.941632442274</v>
      </c>
      <c r="T25" s="434"/>
      <c r="U25" s="188">
        <f ca="1">U28*$C$25</f>
        <v>1771.7561304743685</v>
      </c>
      <c r="V25" s="434"/>
      <c r="W25" s="188">
        <f ca="1">W28*$C$25</f>
        <v>4891.490511558658</v>
      </c>
      <c r="X25" s="434"/>
      <c r="Y25" s="188">
        <f ca="1">Y28*$C$25</f>
        <v>359.36684179449543</v>
      </c>
      <c r="Z25" s="434"/>
      <c r="AA25" s="188">
        <f ca="1">AA28*$C$25</f>
        <v>3103.9533226667772</v>
      </c>
      <c r="AB25" s="434"/>
      <c r="AC25" s="188">
        <f ca="1">AC28*$C$25</f>
        <v>547.19636204327526</v>
      </c>
      <c r="AD25" s="434"/>
      <c r="AE25" s="188">
        <f ca="1">AE28*$C$25</f>
        <v>15880.831989775732</v>
      </c>
    </row>
    <row r="26" spans="1:32" x14ac:dyDescent="0.25">
      <c r="A26" s="165" t="s">
        <v>93</v>
      </c>
      <c r="B26" s="187" t="s">
        <v>116</v>
      </c>
      <c r="C26" s="583">
        <v>0.12</v>
      </c>
      <c r="D26" s="211"/>
      <c r="E26" s="188">
        <f ca="1">E28*$C$26</f>
        <v>168210.46392193416</v>
      </c>
      <c r="F26" s="434"/>
      <c r="G26" s="188">
        <f ca="1">G28*$C$26</f>
        <v>5160.1941995468314</v>
      </c>
      <c r="H26" s="434"/>
      <c r="I26" s="188">
        <f ca="1">I28*$C$26</f>
        <v>1033.6925305602908</v>
      </c>
      <c r="J26" s="435"/>
      <c r="K26" s="188">
        <f ca="1">K28*$C$26</f>
        <v>18653.233957055192</v>
      </c>
      <c r="L26" s="436"/>
      <c r="M26" s="188">
        <f ca="1">M28*$C$26</f>
        <v>1334.0484273506631</v>
      </c>
      <c r="N26" s="434"/>
      <c r="O26" s="188">
        <f ca="1">O28*$C$26</f>
        <v>5017.1662990052437</v>
      </c>
      <c r="P26" s="434"/>
      <c r="Q26" s="188">
        <f ca="1">Q28*$C$26</f>
        <v>3743.5667188321131</v>
      </c>
      <c r="R26" s="434"/>
      <c r="S26" s="188">
        <f ca="1">S28*$C$26</f>
        <v>7223.2995893072875</v>
      </c>
      <c r="T26" s="434"/>
      <c r="U26" s="188">
        <f ca="1">U28*$C$26</f>
        <v>21261.073565692419</v>
      </c>
      <c r="V26" s="434"/>
      <c r="W26" s="188">
        <f ca="1">W28*$C$26</f>
        <v>58697.886138703892</v>
      </c>
      <c r="X26" s="434"/>
      <c r="Y26" s="188">
        <f ca="1">Y28*$C$26</f>
        <v>4312.4021015339449</v>
      </c>
      <c r="Z26" s="434"/>
      <c r="AA26" s="188">
        <f ca="1">AA28*$C$26</f>
        <v>37247.43987200132</v>
      </c>
      <c r="AB26" s="434"/>
      <c r="AC26" s="188">
        <f ca="1">AC28*$C$26</f>
        <v>6566.3563445193031</v>
      </c>
      <c r="AD26" s="434"/>
      <c r="AE26" s="188">
        <f ca="1">AE28*$C$26</f>
        <v>190569.98387730875</v>
      </c>
    </row>
    <row r="27" spans="1:32" ht="16.5" thickBot="1" x14ac:dyDescent="0.3">
      <c r="A27" s="165" t="s">
        <v>95</v>
      </c>
      <c r="B27" s="212" t="s">
        <v>117</v>
      </c>
      <c r="C27" s="584">
        <v>0.12</v>
      </c>
      <c r="D27" s="213"/>
      <c r="E27" s="188">
        <f ca="1">E28*$C$27</f>
        <v>168210.46392193416</v>
      </c>
      <c r="F27" s="437"/>
      <c r="G27" s="188">
        <f ca="1">G28*$C$27</f>
        <v>5160.1941995468314</v>
      </c>
      <c r="H27" s="437"/>
      <c r="I27" s="188">
        <f ca="1">I28*$C$27</f>
        <v>1033.6925305602908</v>
      </c>
      <c r="J27" s="438"/>
      <c r="K27" s="188">
        <f ca="1">K28*$C$27</f>
        <v>18653.233957055192</v>
      </c>
      <c r="L27" s="439"/>
      <c r="M27" s="188">
        <f ca="1">M28*$C$27</f>
        <v>1334.0484273506631</v>
      </c>
      <c r="N27" s="437"/>
      <c r="O27" s="188">
        <f ca="1">O28*$C$27</f>
        <v>5017.1662990052437</v>
      </c>
      <c r="P27" s="437"/>
      <c r="Q27" s="188">
        <f ca="1">Q28*$C$27</f>
        <v>3743.5667188321131</v>
      </c>
      <c r="R27" s="437"/>
      <c r="S27" s="188">
        <f ca="1">S28*$C$27</f>
        <v>7223.2995893072875</v>
      </c>
      <c r="T27" s="437"/>
      <c r="U27" s="188">
        <f ca="1">U28*$C$27</f>
        <v>21261.073565692419</v>
      </c>
      <c r="V27" s="437"/>
      <c r="W27" s="188">
        <f ca="1">W28*$C$27</f>
        <v>58697.886138703892</v>
      </c>
      <c r="X27" s="437"/>
      <c r="Y27" s="188">
        <f ca="1">Y28*$C$27</f>
        <v>4312.4021015339449</v>
      </c>
      <c r="Z27" s="437"/>
      <c r="AA27" s="188">
        <f ca="1">AA28*$C$27</f>
        <v>37247.43987200132</v>
      </c>
      <c r="AB27" s="437"/>
      <c r="AC27" s="188">
        <f ca="1">AC28*$C$27</f>
        <v>6566.3563445193031</v>
      </c>
      <c r="AD27" s="437"/>
      <c r="AE27" s="188">
        <f ca="1">AE28*$C$27</f>
        <v>190569.98387730875</v>
      </c>
    </row>
    <row r="28" spans="1:32" ht="16.5" thickBot="1" x14ac:dyDescent="0.3">
      <c r="A28" s="214"/>
      <c r="B28" s="176" t="s">
        <v>118</v>
      </c>
      <c r="C28" s="585"/>
      <c r="D28" s="177"/>
      <c r="E28" s="178">
        <f ca="1">SUM(E22:E27)</f>
        <v>1401753.8660161181</v>
      </c>
      <c r="F28" s="440"/>
      <c r="G28" s="178">
        <f ca="1">SUM(G22:G27)</f>
        <v>43001.618329556928</v>
      </c>
      <c r="H28" s="440"/>
      <c r="I28" s="178">
        <f ca="1">SUM(I22:I27)</f>
        <v>8614.1044213357563</v>
      </c>
      <c r="J28" s="410"/>
      <c r="K28" s="178">
        <f ca="1">SUM(K22:K27)</f>
        <v>155443.61630879328</v>
      </c>
      <c r="L28" s="411"/>
      <c r="M28" s="178">
        <f ca="1">SUM(M22:M27)</f>
        <v>11117.070227922193</v>
      </c>
      <c r="N28" s="440"/>
      <c r="O28" s="178">
        <f ca="1">SUM(O22:O27)</f>
        <v>41809.719158377033</v>
      </c>
      <c r="P28" s="440"/>
      <c r="Q28" s="178">
        <f ca="1">SUM(Q22:Q27)</f>
        <v>31196.389323600943</v>
      </c>
      <c r="R28" s="440"/>
      <c r="S28" s="178">
        <f ca="1">SUM(S22:S27)</f>
        <v>60194.163244227399</v>
      </c>
      <c r="T28" s="440"/>
      <c r="U28" s="178">
        <f ca="1">SUM(U22:U27)</f>
        <v>177175.61304743684</v>
      </c>
      <c r="V28" s="440"/>
      <c r="W28" s="178">
        <f ca="1">SUM(W22:W27)</f>
        <v>489149.05115586577</v>
      </c>
      <c r="X28" s="440"/>
      <c r="Y28" s="178">
        <f ca="1">SUM(Y22:Y27)</f>
        <v>35936.684179449541</v>
      </c>
      <c r="Z28" s="440"/>
      <c r="AA28" s="178">
        <f ca="1">SUM(AA22:AA27)</f>
        <v>310395.33226667769</v>
      </c>
      <c r="AB28" s="440"/>
      <c r="AC28" s="178">
        <f ca="1">SUM(AC22:AC27)</f>
        <v>54719.636204327529</v>
      </c>
      <c r="AD28" s="440"/>
      <c r="AE28" s="178">
        <f ca="1">SUM(AE22:AE27)</f>
        <v>1588083.1989775731</v>
      </c>
    </row>
    <row r="29" spans="1:32" x14ac:dyDescent="0.25">
      <c r="A29" s="215"/>
      <c r="B29" s="216"/>
      <c r="C29" s="586"/>
      <c r="D29" s="217"/>
      <c r="E29" s="218"/>
      <c r="F29" s="441"/>
      <c r="G29" s="442"/>
      <c r="H29" s="441"/>
      <c r="I29" s="442"/>
      <c r="J29" s="443"/>
      <c r="K29" s="442"/>
      <c r="L29" s="444"/>
      <c r="M29" s="442"/>
      <c r="N29" s="441"/>
      <c r="O29" s="442"/>
      <c r="P29" s="441"/>
      <c r="Q29" s="442"/>
      <c r="R29" s="441"/>
      <c r="S29" s="442"/>
      <c r="T29" s="441"/>
      <c r="U29" s="442"/>
      <c r="V29" s="441"/>
      <c r="W29" s="442"/>
      <c r="X29" s="441"/>
      <c r="Y29" s="442"/>
      <c r="Z29" s="441"/>
      <c r="AA29" s="442"/>
      <c r="AB29" s="441"/>
      <c r="AC29" s="442"/>
      <c r="AD29" s="441"/>
      <c r="AE29" s="442"/>
    </row>
    <row r="30" spans="1:32" ht="16.5" thickBot="1" x14ac:dyDescent="0.3">
      <c r="A30" s="219" t="s">
        <v>140</v>
      </c>
      <c r="B30" s="220" t="s">
        <v>141</v>
      </c>
      <c r="C30" s="587" t="s">
        <v>142</v>
      </c>
      <c r="D30" s="221"/>
      <c r="E30" s="222">
        <v>0</v>
      </c>
      <c r="F30" s="445"/>
      <c r="G30" s="446">
        <v>0</v>
      </c>
      <c r="H30" s="445"/>
      <c r="I30" s="446">
        <v>0</v>
      </c>
      <c r="J30" s="447"/>
      <c r="K30" s="446">
        <v>0</v>
      </c>
      <c r="L30" s="448"/>
      <c r="M30" s="446">
        <v>0</v>
      </c>
      <c r="N30" s="445"/>
      <c r="O30" s="446">
        <v>0</v>
      </c>
      <c r="P30" s="445"/>
      <c r="Q30" s="446">
        <v>0</v>
      </c>
      <c r="R30" s="445"/>
      <c r="S30" s="446">
        <v>0</v>
      </c>
      <c r="T30" s="445"/>
      <c r="U30" s="446">
        <v>0</v>
      </c>
      <c r="V30" s="445"/>
      <c r="W30" s="446">
        <v>0</v>
      </c>
      <c r="X30" s="445"/>
      <c r="Y30" s="446">
        <v>0</v>
      </c>
      <c r="Z30" s="445"/>
      <c r="AA30" s="446">
        <v>0</v>
      </c>
      <c r="AB30" s="445"/>
      <c r="AC30" s="446">
        <v>0</v>
      </c>
      <c r="AD30" s="445"/>
      <c r="AE30" s="446">
        <v>0</v>
      </c>
    </row>
    <row r="31" spans="1:32" ht="27" customHeight="1" thickBot="1" x14ac:dyDescent="0.3">
      <c r="A31" s="223"/>
      <c r="B31" s="224" t="s">
        <v>143</v>
      </c>
      <c r="C31" s="588"/>
      <c r="D31" s="225">
        <f>E3</f>
        <v>1</v>
      </c>
      <c r="E31" s="226">
        <f ca="1">SUM(E28:E30)</f>
        <v>1401753.8660161181</v>
      </c>
      <c r="F31" s="225">
        <f>G3</f>
        <v>2</v>
      </c>
      <c r="G31" s="226">
        <f ca="1">SUM(G28:G30)</f>
        <v>43001.618329556928</v>
      </c>
      <c r="H31" s="225">
        <f>I3</f>
        <v>1</v>
      </c>
      <c r="I31" s="226">
        <f ca="1">SUM(I28:I30)</f>
        <v>8614.1044213357563</v>
      </c>
      <c r="J31" s="449">
        <f>K3</f>
        <v>23</v>
      </c>
      <c r="K31" s="226">
        <f ca="1">SUM(K28:K30)</f>
        <v>155443.61630879328</v>
      </c>
      <c r="L31" s="450">
        <f>M3</f>
        <v>1</v>
      </c>
      <c r="M31" s="226">
        <f ca="1">SUM(M28:M30)</f>
        <v>11117.070227922193</v>
      </c>
      <c r="N31" s="225">
        <f>O3</f>
        <v>4</v>
      </c>
      <c r="O31" s="226">
        <f ca="1">SUM(O28:O30)</f>
        <v>41809.719158377033</v>
      </c>
      <c r="P31" s="225">
        <f>Q3</f>
        <v>1</v>
      </c>
      <c r="Q31" s="226">
        <f ca="1">SUM(Q28:Q30)</f>
        <v>31196.389323600943</v>
      </c>
      <c r="R31" s="225">
        <f>S3</f>
        <v>1</v>
      </c>
      <c r="S31" s="226">
        <f ca="1">SUM(S28:S30)</f>
        <v>60194.163244227399</v>
      </c>
      <c r="T31" s="225">
        <f>U3</f>
        <v>1</v>
      </c>
      <c r="U31" s="226">
        <f ca="1">SUM(U28:U30)</f>
        <v>177175.61304743684</v>
      </c>
      <c r="V31" s="225">
        <f>W3</f>
        <v>1</v>
      </c>
      <c r="W31" s="226">
        <f ca="1">SUM(W28:W30)</f>
        <v>489149.05115586577</v>
      </c>
      <c r="X31" s="225">
        <f>Y3</f>
        <v>1</v>
      </c>
      <c r="Y31" s="226">
        <f ca="1">SUM(Y28:Y30)</f>
        <v>35936.684179449541</v>
      </c>
      <c r="Z31" s="225">
        <f>AA3</f>
        <v>1</v>
      </c>
      <c r="AA31" s="226">
        <f ca="1">SUM(AA28:AA30)</f>
        <v>310395.33226667769</v>
      </c>
      <c r="AB31" s="225">
        <f>AC3</f>
        <v>1</v>
      </c>
      <c r="AC31" s="226">
        <f ca="1">SUM(AC28:AC30)</f>
        <v>54719.636204327529</v>
      </c>
      <c r="AD31" s="225">
        <f>AE3</f>
        <v>1</v>
      </c>
      <c r="AE31" s="226">
        <f ca="1">SUM(AE28:AE30)</f>
        <v>1588083.1989775731</v>
      </c>
      <c r="AF31" s="157">
        <f ca="1">SUM(E31:AE31)</f>
        <v>4408629.0628612619</v>
      </c>
    </row>
    <row r="32" spans="1:32" ht="27" customHeight="1" thickBot="1" x14ac:dyDescent="0.3">
      <c r="A32" s="227"/>
      <c r="B32" s="228" t="s">
        <v>144</v>
      </c>
      <c r="C32" s="589"/>
      <c r="D32" s="229"/>
      <c r="E32" s="230">
        <f ca="1">E31/E3</f>
        <v>1401753.8660161181</v>
      </c>
      <c r="F32" s="229"/>
      <c r="G32" s="230">
        <f ca="1">G31/G3</f>
        <v>21500.809164778464</v>
      </c>
      <c r="H32" s="229"/>
      <c r="I32" s="230">
        <f ca="1">I31/I3</f>
        <v>8614.1044213357563</v>
      </c>
      <c r="J32" s="451"/>
      <c r="K32" s="452">
        <f ca="1">K31/K3</f>
        <v>6758.4181003823169</v>
      </c>
      <c r="L32" s="453"/>
      <c r="M32" s="452">
        <f ca="1">M31/M3</f>
        <v>11117.070227922193</v>
      </c>
      <c r="N32" s="229"/>
      <c r="O32" s="230">
        <f ca="1">O31/O3</f>
        <v>10452.429789594258</v>
      </c>
      <c r="P32" s="229"/>
      <c r="Q32" s="230">
        <f ca="1">Q31/Q3</f>
        <v>31196.389323600943</v>
      </c>
      <c r="R32" s="229"/>
      <c r="S32" s="230">
        <f ca="1">S31/S3</f>
        <v>60194.163244227399</v>
      </c>
      <c r="T32" s="229"/>
      <c r="U32" s="230">
        <f ca="1">U31/U3</f>
        <v>177175.61304743684</v>
      </c>
      <c r="V32" s="229"/>
      <c r="W32" s="230">
        <f ca="1">W31/W3</f>
        <v>489149.05115586577</v>
      </c>
      <c r="X32" s="229"/>
      <c r="Y32" s="230">
        <f ca="1">Y31/Y3</f>
        <v>35936.684179449541</v>
      </c>
      <c r="Z32" s="229"/>
      <c r="AA32" s="230">
        <f ca="1">AA31/AA3</f>
        <v>310395.33226667769</v>
      </c>
      <c r="AB32" s="229"/>
      <c r="AC32" s="230">
        <f ca="1">AC31/AC3</f>
        <v>54719.636204327529</v>
      </c>
      <c r="AD32" s="229"/>
      <c r="AE32" s="230">
        <f ca="1">AE31/AE3</f>
        <v>1588083.1989775731</v>
      </c>
    </row>
    <row r="33" spans="1:32" x14ac:dyDescent="0.25">
      <c r="A33" s="231"/>
      <c r="B33" s="232"/>
      <c r="C33" s="590"/>
      <c r="D33" s="233"/>
      <c r="E33" s="234"/>
      <c r="F33" s="234"/>
      <c r="G33" s="234"/>
      <c r="H33" s="234"/>
      <c r="I33" s="234"/>
      <c r="J33" s="233"/>
      <c r="K33" s="234"/>
      <c r="L33" s="233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</row>
    <row r="34" spans="1:32" hidden="1" x14ac:dyDescent="0.25">
      <c r="A34" s="235"/>
      <c r="B34" s="236" t="s">
        <v>145</v>
      </c>
      <c r="C34" s="591"/>
      <c r="D34" s="237"/>
      <c r="E34" s="238">
        <f ca="1">E31/D5</f>
        <v>264.59162098595613</v>
      </c>
      <c r="F34" s="238"/>
      <c r="G34" s="238">
        <f ca="1">G31/F5</f>
        <v>269.21207357691128</v>
      </c>
      <c r="H34" s="238"/>
      <c r="I34" s="238">
        <f ca="1">I31/H5</f>
        <v>290.36106539001037</v>
      </c>
      <c r="J34" s="237"/>
      <c r="K34" s="238">
        <f ca="1">K31/J5</f>
        <v>316.88390278559211</v>
      </c>
      <c r="L34" s="237"/>
      <c r="M34" s="454">
        <f ca="1">M31/L5</f>
        <v>179.38014648380656</v>
      </c>
      <c r="N34" s="238"/>
      <c r="O34" s="238">
        <f ca="1">O31/N5</f>
        <v>427.32484427095739</v>
      </c>
      <c r="P34" s="238"/>
      <c r="Q34" s="238">
        <f ca="1">Q31/P5</f>
        <v>226.97736343064685</v>
      </c>
      <c r="R34" s="238"/>
      <c r="S34" s="238">
        <f ca="1">S31/R5</f>
        <v>439.27489002998448</v>
      </c>
      <c r="T34" s="238"/>
      <c r="U34" s="238">
        <f ca="1">U31/T5</f>
        <v>196.79471167935105</v>
      </c>
      <c r="V34" s="238"/>
      <c r="W34" s="238">
        <f ca="1">W31/V5</f>
        <v>397.05409060232017</v>
      </c>
      <c r="X34" s="238"/>
      <c r="Y34" s="238">
        <f ca="1">Y31/X5</f>
        <v>355.86166813378856</v>
      </c>
      <c r="Z34" s="238"/>
      <c r="AA34" s="238">
        <f ca="1">AA31/Z5</f>
        <v>300.68773357779372</v>
      </c>
      <c r="AB34" s="238"/>
      <c r="AC34" s="238">
        <f ca="1">AC31/AB5</f>
        <v>218.59118484571192</v>
      </c>
      <c r="AD34" s="238"/>
      <c r="AE34" s="238">
        <f ca="1">AE31/AD5</f>
        <v>329.86808629653223</v>
      </c>
    </row>
    <row r="35" spans="1:32" ht="16.5" thickBot="1" x14ac:dyDescent="0.3">
      <c r="A35" s="239"/>
      <c r="B35" s="240" t="s">
        <v>146</v>
      </c>
      <c r="C35" s="592"/>
      <c r="D35" s="241"/>
      <c r="E35" s="242">
        <f ca="1">E31/D6</f>
        <v>345.93556477099662</v>
      </c>
      <c r="F35" s="242"/>
      <c r="G35" s="242">
        <f ca="1">G31/F6</f>
        <v>329.93906584382137</v>
      </c>
      <c r="H35" s="242"/>
      <c r="I35" s="242">
        <f ca="1">I31/H6</f>
        <v>321.42180676625958</v>
      </c>
      <c r="J35" s="241"/>
      <c r="K35" s="242">
        <f ca="1">K31/J6</f>
        <v>350.84248642035027</v>
      </c>
      <c r="L35" s="241"/>
      <c r="M35" s="455">
        <f ca="1">M31/L6</f>
        <v>537.37844060800637</v>
      </c>
      <c r="N35" s="242"/>
      <c r="O35" s="242">
        <f ca="1">O31/N6</f>
        <v>470.05732869805314</v>
      </c>
      <c r="P35" s="242"/>
      <c r="Q35" s="242">
        <f ca="1">Q31/P6</f>
        <v>387.53278662858315</v>
      </c>
      <c r="R35" s="242"/>
      <c r="S35" s="242">
        <f ca="1">S31/R6</f>
        <v>483.202379032983</v>
      </c>
      <c r="T35" s="242"/>
      <c r="U35" s="242">
        <f ca="1">U31/T6</f>
        <v>478.30217737678259</v>
      </c>
      <c r="V35" s="242"/>
      <c r="W35" s="242">
        <f ca="1">W31/V6</f>
        <v>468.32169870798083</v>
      </c>
      <c r="X35" s="242"/>
      <c r="Y35" s="242">
        <f ca="1">Y31/X6</f>
        <v>548.40049106439085</v>
      </c>
      <c r="Z35" s="242"/>
      <c r="AA35" s="242">
        <f ca="1">AA31/Z6</f>
        <v>535.53369956293591</v>
      </c>
      <c r="AB35" s="242"/>
      <c r="AC35" s="242">
        <f ca="1">AC31/AB6</f>
        <v>307.63321688846287</v>
      </c>
      <c r="AD35" s="242"/>
      <c r="AE35" s="242">
        <f ca="1">AE31/AD6</f>
        <v>388.65411056388689</v>
      </c>
    </row>
    <row r="36" spans="1:32" x14ac:dyDescent="0.25">
      <c r="A36" s="235"/>
      <c r="B36" s="243" t="s">
        <v>147</v>
      </c>
      <c r="C36" s="593"/>
      <c r="D36" s="237">
        <f>E3</f>
        <v>1</v>
      </c>
      <c r="E36" s="238">
        <f>'Item-1_AY30013'!G36</f>
        <v>979120.7952771585</v>
      </c>
      <c r="F36" s="237">
        <f>G3</f>
        <v>2</v>
      </c>
      <c r="G36" s="238">
        <f>'Item-2_AY30017'!E36</f>
        <v>29824.358668227931</v>
      </c>
      <c r="H36" s="237">
        <f>I3</f>
        <v>1</v>
      </c>
      <c r="I36" s="238">
        <f>'Item-3_AY30018'!E36</f>
        <v>5950.0770631739379</v>
      </c>
      <c r="J36" s="237">
        <f>K3</f>
        <v>23</v>
      </c>
      <c r="K36" s="238">
        <f>'Item-4_AY30027'!E36</f>
        <v>108798.10773991182</v>
      </c>
      <c r="L36" s="237">
        <f>M3</f>
        <v>1</v>
      </c>
      <c r="M36" s="454">
        <f>'Item-5_AY30062'!E36</f>
        <v>8168.2319298947368</v>
      </c>
      <c r="N36" s="237">
        <f>O3</f>
        <v>4</v>
      </c>
      <c r="O36" s="238">
        <f>'Item-6_AY30084'!E36</f>
        <v>30327.328556491226</v>
      </c>
      <c r="P36" s="237">
        <f>Q3</f>
        <v>1</v>
      </c>
      <c r="Q36" s="238">
        <f>'Item-7_AT30107'!E36</f>
        <v>22131.310556211654</v>
      </c>
      <c r="R36" s="237">
        <f>S3</f>
        <v>1</v>
      </c>
      <c r="S36" s="238">
        <f>'Item-8_AT30133'!E36</f>
        <v>43785.395456192979</v>
      </c>
      <c r="T36" s="237">
        <f>U3</f>
        <v>1</v>
      </c>
      <c r="U36" s="238">
        <f>'Item-9_AT30134'!E36</f>
        <v>128745.78541071535</v>
      </c>
      <c r="V36" s="237">
        <f>W3</f>
        <v>1</v>
      </c>
      <c r="W36" s="238">
        <f>'Item-10_AT30144'!F36</f>
        <v>354676.10252348153</v>
      </c>
      <c r="X36" s="237">
        <f>Y3</f>
        <v>1</v>
      </c>
      <c r="Y36" s="238">
        <f>'Item-11_AT30150'!F36</f>
        <v>26451.675514604489</v>
      </c>
      <c r="Z36" s="237">
        <f>AA3</f>
        <v>1</v>
      </c>
      <c r="AA36" s="238">
        <f>'Item-12_AY30160'!F36</f>
        <v>227991.94464640884</v>
      </c>
      <c r="AB36" s="237">
        <f>AC3</f>
        <v>1</v>
      </c>
      <c r="AC36" s="238">
        <f>'Item-13_AY51606'!F36</f>
        <v>37528.260071553115</v>
      </c>
      <c r="AD36" s="237">
        <f>AE3</f>
        <v>1</v>
      </c>
      <c r="AE36" s="238">
        <f>'Item-14_AY30130'!F36</f>
        <v>1127032.5305098032</v>
      </c>
    </row>
    <row r="37" spans="1:32" x14ac:dyDescent="0.25">
      <c r="A37" s="165"/>
      <c r="B37" s="244" t="s">
        <v>148</v>
      </c>
      <c r="C37" s="594"/>
      <c r="D37" s="246"/>
      <c r="E37" s="245">
        <f ca="1">E31-E36</f>
        <v>422633.07073895959</v>
      </c>
      <c r="F37" s="245"/>
      <c r="G37" s="245">
        <f ca="1">G31-G36</f>
        <v>13177.259661328997</v>
      </c>
      <c r="H37" s="245"/>
      <c r="I37" s="245">
        <f ca="1">I31-I36</f>
        <v>2664.0273581618185</v>
      </c>
      <c r="J37" s="246"/>
      <c r="K37" s="245">
        <f ca="1">K31-K36</f>
        <v>46645.508568881458</v>
      </c>
      <c r="L37" s="246"/>
      <c r="M37" s="174">
        <f>'Item-5_AY30062'!E36</f>
        <v>8168.2319298947368</v>
      </c>
      <c r="N37" s="245"/>
      <c r="O37" s="245">
        <f ca="1">O31-O36</f>
        <v>11482.390601885807</v>
      </c>
      <c r="P37" s="245"/>
      <c r="Q37" s="245">
        <f ca="1">Q31-Q36</f>
        <v>9065.0787673892883</v>
      </c>
      <c r="R37" s="245"/>
      <c r="S37" s="245">
        <f ca="1">S31-S36</f>
        <v>16408.76778803442</v>
      </c>
      <c r="T37" s="245"/>
      <c r="U37" s="245">
        <f ca="1">U31-U36</f>
        <v>48429.827636721486</v>
      </c>
      <c r="V37" s="245"/>
      <c r="W37" s="245">
        <f ca="1">W31-W36</f>
        <v>134472.94863238424</v>
      </c>
      <c r="X37" s="245"/>
      <c r="Y37" s="245">
        <f ca="1">Y31-Y36</f>
        <v>9485.0086648450524</v>
      </c>
      <c r="Z37" s="245"/>
      <c r="AA37" s="245">
        <f ca="1">AA31-AA36</f>
        <v>82403.387620268855</v>
      </c>
      <c r="AB37" s="245"/>
      <c r="AC37" s="245">
        <f ca="1">AC31-AC36</f>
        <v>17191.376132774414</v>
      </c>
      <c r="AD37" s="245"/>
      <c r="AE37" s="245">
        <f ca="1">AE31-AE36</f>
        <v>461050.66846776986</v>
      </c>
    </row>
    <row r="38" spans="1:32" ht="16.5" thickBot="1" x14ac:dyDescent="0.3">
      <c r="A38" s="247"/>
      <c r="B38" s="248" t="s">
        <v>149</v>
      </c>
      <c r="C38" s="595"/>
      <c r="D38" s="249"/>
      <c r="E38" s="250">
        <f ca="1">(E31-E36)/E31</f>
        <v>0.30150305341415762</v>
      </c>
      <c r="F38" s="250"/>
      <c r="G38" s="250">
        <f ca="1">(G31-G36)/G31</f>
        <v>0.3064363661930295</v>
      </c>
      <c r="H38" s="250"/>
      <c r="I38" s="250">
        <f ca="1">(I31-I36)/I31</f>
        <v>0.30926341588841777</v>
      </c>
      <c r="J38" s="249"/>
      <c r="K38" s="250">
        <f ca="1">(K31-K36)/K31</f>
        <v>0.3000799240042048</v>
      </c>
      <c r="L38" s="249"/>
      <c r="M38" s="456">
        <f ca="1">(M31-M36)/M31</f>
        <v>0.26525318609762899</v>
      </c>
      <c r="N38" s="250"/>
      <c r="O38" s="250">
        <f ca="1">(O31-O36)/O31</f>
        <v>0.27463448291508519</v>
      </c>
      <c r="P38" s="250"/>
      <c r="Q38" s="250">
        <f ca="1">(Q31-Q36)/Q31</f>
        <v>0.29058102440500388</v>
      </c>
      <c r="R38" s="250"/>
      <c r="S38" s="250">
        <f ca="1">(S31-S36)/S31</f>
        <v>0.27259732345574245</v>
      </c>
      <c r="T38" s="250"/>
      <c r="U38" s="250">
        <f ca="1">(U31-U36)/U31</f>
        <v>0.27334364365232888</v>
      </c>
      <c r="V38" s="250"/>
      <c r="W38" s="250">
        <f ca="1">(W31-W36)/W31</f>
        <v>0.274912009569727</v>
      </c>
      <c r="X38" s="250"/>
      <c r="Y38" s="250">
        <f ca="1">(Y31-Y36)/Y31</f>
        <v>0.26393666754232914</v>
      </c>
      <c r="Z38" s="250"/>
      <c r="AA38" s="250">
        <f ca="1">(AA31-AA36)/AA31</f>
        <v>0.26547882346849072</v>
      </c>
      <c r="AB38" s="250"/>
      <c r="AC38" s="250">
        <f ca="1">(AC31-AC36)/AC31</f>
        <v>0.31417197418090337</v>
      </c>
      <c r="AD38" s="250"/>
      <c r="AE38" s="250">
        <f ca="1">(AE31-AE36)/AE31</f>
        <v>0.29031896361890852</v>
      </c>
    </row>
    <row r="39" spans="1:32" x14ac:dyDescent="0.25">
      <c r="A39" s="231"/>
      <c r="B39" s="232"/>
      <c r="C39" s="590"/>
      <c r="D39" s="233"/>
      <c r="E39" s="234"/>
      <c r="F39" s="234"/>
      <c r="G39" s="234"/>
      <c r="H39" s="234"/>
      <c r="I39" s="234"/>
      <c r="J39" s="233"/>
      <c r="K39" s="234"/>
      <c r="L39" s="233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</row>
    <row r="40" spans="1:32" x14ac:dyDescent="0.25">
      <c r="A40" s="231"/>
      <c r="B40" s="642" t="s">
        <v>803</v>
      </c>
      <c r="C40" s="603"/>
      <c r="D40" s="604"/>
      <c r="E40" s="605">
        <f ca="1">E32*(100%-75%)/100%</f>
        <v>350438.46650402952</v>
      </c>
      <c r="F40" s="605"/>
      <c r="G40" s="605">
        <f ca="1">G32*(100%-75%)/100%</f>
        <v>5375.202291194616</v>
      </c>
      <c r="H40" s="605"/>
      <c r="I40" s="605">
        <f ca="1">I32*(100%-75%)/100%</f>
        <v>2153.5261053339391</v>
      </c>
      <c r="J40" s="604"/>
      <c r="K40" s="605">
        <f ca="1">K32*(100%-75%)/100%</f>
        <v>1689.6045250955792</v>
      </c>
      <c r="L40" s="604"/>
      <c r="M40" s="605">
        <f ca="1">M32*(100%-75%)/100%</f>
        <v>2779.2675569805483</v>
      </c>
      <c r="N40" s="605"/>
      <c r="O40" s="605">
        <f ca="1">O32*(100%-75%)/100%</f>
        <v>2613.1074473985645</v>
      </c>
      <c r="P40" s="605"/>
      <c r="Q40" s="605">
        <f ca="1">Q32*(100%-75%)/100%</f>
        <v>7799.0973309002356</v>
      </c>
      <c r="R40" s="605"/>
      <c r="S40" s="605">
        <f ca="1">S32*(100%-75%)/100%</f>
        <v>15048.54081105685</v>
      </c>
      <c r="T40" s="605"/>
      <c r="U40" s="605">
        <f ca="1">U32*(100%-75%)/100%</f>
        <v>44293.90326185921</v>
      </c>
      <c r="V40" s="605"/>
      <c r="W40" s="605">
        <f ca="1">W32*(100%-75%)/100%</f>
        <v>122287.26278896644</v>
      </c>
      <c r="X40" s="605"/>
      <c r="Y40" s="605">
        <f ca="1">Y32*(100%-75%)/100%</f>
        <v>8984.1710448623853</v>
      </c>
      <c r="Z40" s="605"/>
      <c r="AA40" s="605">
        <f ca="1">AA32*(100%-75%)/100%</f>
        <v>77598.833066669424</v>
      </c>
      <c r="AB40" s="605"/>
      <c r="AC40" s="605">
        <f ca="1">AC32*(100%-75%)/100%</f>
        <v>13679.909051081882</v>
      </c>
      <c r="AD40" s="605"/>
      <c r="AE40" s="605">
        <f ca="1">AE32*(100%-75%)/100%</f>
        <v>397020.79974439327</v>
      </c>
    </row>
    <row r="41" spans="1:32" x14ac:dyDescent="0.25">
      <c r="A41" s="231"/>
      <c r="B41" s="643"/>
      <c r="C41" s="603" t="s">
        <v>802</v>
      </c>
      <c r="D41" s="604"/>
      <c r="E41" s="605">
        <f ca="1">E32-E40</f>
        <v>1051315.3995120886</v>
      </c>
      <c r="F41" s="605"/>
      <c r="G41" s="605">
        <f ca="1">G32-G40</f>
        <v>16125.606873583849</v>
      </c>
      <c r="H41" s="605"/>
      <c r="I41" s="605">
        <f ca="1">I32-I40</f>
        <v>6460.5783160018173</v>
      </c>
      <c r="J41" s="604"/>
      <c r="K41" s="605">
        <f ca="1">K32-K40</f>
        <v>5068.8135752867374</v>
      </c>
      <c r="L41" s="604"/>
      <c r="M41" s="605">
        <f ca="1">M32-M40</f>
        <v>8337.8026709416445</v>
      </c>
      <c r="N41" s="605"/>
      <c r="O41" s="605">
        <f ca="1">O32-O40</f>
        <v>7839.3223421956936</v>
      </c>
      <c r="P41" s="605"/>
      <c r="Q41" s="605">
        <f ca="1">Q32-Q40</f>
        <v>23397.291992700706</v>
      </c>
      <c r="R41" s="605"/>
      <c r="S41" s="605">
        <f ca="1">S32-S40</f>
        <v>45145.622433170545</v>
      </c>
      <c r="T41" s="605"/>
      <c r="U41" s="605">
        <f ca="1">U32-U40</f>
        <v>132881.70978557764</v>
      </c>
      <c r="V41" s="605"/>
      <c r="W41" s="605">
        <f ca="1">W32-W40</f>
        <v>366861.78836689936</v>
      </c>
      <c r="X41" s="605"/>
      <c r="Y41" s="605">
        <f ca="1">Y32-Y40</f>
        <v>26952.513134587156</v>
      </c>
      <c r="Z41" s="605"/>
      <c r="AA41" s="605">
        <f ca="1">AA32-AA40</f>
        <v>232796.49920000829</v>
      </c>
      <c r="AB41" s="605"/>
      <c r="AC41" s="605">
        <f ca="1">AC32-AC40</f>
        <v>41039.727153245651</v>
      </c>
      <c r="AD41" s="605"/>
      <c r="AE41" s="605">
        <f ca="1">AE32-AE40</f>
        <v>1191062.3992331799</v>
      </c>
      <c r="AF41" s="157">
        <f ca="1">SUM(E41:AE41)</f>
        <v>3155285.0745894676</v>
      </c>
    </row>
    <row r="42" spans="1:32" x14ac:dyDescent="0.25">
      <c r="A42" s="231"/>
      <c r="B42" s="231"/>
      <c r="C42" s="590"/>
      <c r="D42" s="233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  <c r="AA42" s="251"/>
      <c r="AB42" s="251"/>
      <c r="AC42" s="251"/>
      <c r="AD42" s="251"/>
      <c r="AE42" s="251"/>
    </row>
    <row r="43" spans="1:32" ht="16.5" thickBot="1" x14ac:dyDescent="0.3">
      <c r="A43" s="231"/>
      <c r="B43" s="232"/>
      <c r="C43" s="590"/>
      <c r="D43" s="233"/>
      <c r="E43" s="234"/>
      <c r="F43" s="234"/>
      <c r="G43" s="234"/>
      <c r="H43" s="234"/>
      <c r="I43" s="234"/>
      <c r="J43" s="233"/>
      <c r="K43" s="234"/>
      <c r="L43" s="233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  <c r="AC43" s="234"/>
      <c r="AD43" s="234"/>
      <c r="AE43" s="234"/>
    </row>
    <row r="44" spans="1:32" ht="23.25" customHeight="1" thickBot="1" x14ac:dyDescent="0.3">
      <c r="A44" s="648" t="s">
        <v>119</v>
      </c>
      <c r="B44" s="649"/>
      <c r="C44" s="649"/>
      <c r="D44" s="650" t="s">
        <v>136</v>
      </c>
      <c r="E44" s="641"/>
      <c r="F44" s="640" t="s">
        <v>696</v>
      </c>
      <c r="G44" s="641"/>
      <c r="H44" s="650" t="s">
        <v>697</v>
      </c>
      <c r="I44" s="641"/>
      <c r="J44" s="650" t="s">
        <v>698</v>
      </c>
      <c r="K44" s="641"/>
      <c r="L44" s="650" t="s">
        <v>699</v>
      </c>
      <c r="M44" s="641"/>
      <c r="N44" s="640" t="s">
        <v>701</v>
      </c>
      <c r="O44" s="641"/>
      <c r="P44" s="640" t="s">
        <v>702</v>
      </c>
      <c r="Q44" s="641"/>
      <c r="R44" s="640" t="s">
        <v>703</v>
      </c>
      <c r="S44" s="641"/>
      <c r="T44" s="640" t="s">
        <v>704</v>
      </c>
      <c r="U44" s="641"/>
      <c r="V44" s="640" t="s">
        <v>705</v>
      </c>
      <c r="W44" s="641"/>
      <c r="X44" s="640" t="s">
        <v>706</v>
      </c>
      <c r="Y44" s="641"/>
      <c r="Z44" s="640" t="s">
        <v>707</v>
      </c>
      <c r="AA44" s="641"/>
      <c r="AB44" s="640" t="s">
        <v>708</v>
      </c>
      <c r="AC44" s="641"/>
      <c r="AD44" s="640" t="s">
        <v>800</v>
      </c>
      <c r="AE44" s="641"/>
    </row>
    <row r="45" spans="1:32" ht="25.5" hidden="1" customHeight="1" x14ac:dyDescent="0.25">
      <c r="A45" s="271">
        <v>1</v>
      </c>
      <c r="B45" s="606" t="s">
        <v>120</v>
      </c>
      <c r="C45" s="607"/>
      <c r="D45" s="271"/>
      <c r="E45" s="272">
        <f>'Item-1_AY30013'!D51</f>
        <v>37500</v>
      </c>
      <c r="F45" s="271"/>
      <c r="G45" s="272">
        <f>'Item-2_AY30017'!D51</f>
        <v>5000</v>
      </c>
      <c r="H45" s="271"/>
      <c r="I45" s="272">
        <f>'Item-3_AY30018'!D51</f>
        <v>0</v>
      </c>
      <c r="J45" s="271"/>
      <c r="K45" s="272">
        <f>'Item-4_AY30027'!D51</f>
        <v>0</v>
      </c>
      <c r="L45" s="271"/>
      <c r="M45" s="272">
        <f>'Item-5_AY30062'!D51</f>
        <v>0</v>
      </c>
      <c r="N45" s="271"/>
      <c r="O45" s="272">
        <f>'Item-6_AY30084'!D51</f>
        <v>0</v>
      </c>
      <c r="P45" s="271"/>
      <c r="Q45" s="272">
        <f>'Item-7_AT30107'!D51</f>
        <v>5000</v>
      </c>
      <c r="R45" s="271"/>
      <c r="S45" s="272">
        <f>'Item-8_AT30133'!D51</f>
        <v>0</v>
      </c>
      <c r="T45" s="271"/>
      <c r="U45" s="272">
        <f>'Item-9_AT30134'!D51</f>
        <v>10000</v>
      </c>
      <c r="V45" s="271"/>
      <c r="W45" s="272">
        <f>'Item-10_AT30144'!D51</f>
        <v>20000</v>
      </c>
      <c r="X45" s="271"/>
      <c r="Y45" s="272">
        <f>'Item-11_AT30150'!D51</f>
        <v>5000</v>
      </c>
      <c r="Z45" s="271"/>
      <c r="AA45" s="272">
        <f>'Item-12_AY30160'!D51</f>
        <v>12500</v>
      </c>
      <c r="AB45" s="271"/>
      <c r="AC45" s="272">
        <f>'Item-13_AY51606'!D51</f>
        <v>0</v>
      </c>
      <c r="AD45" s="271"/>
      <c r="AE45" s="272">
        <f>'Item-14_AY30130'!D51</f>
        <v>17500</v>
      </c>
    </row>
    <row r="46" spans="1:32" hidden="1" x14ac:dyDescent="0.25">
      <c r="A46" s="608">
        <v>2</v>
      </c>
      <c r="B46" s="254" t="s">
        <v>121</v>
      </c>
      <c r="C46" s="609"/>
      <c r="D46" s="252"/>
      <c r="E46" s="253">
        <f>'Item-1_AY30013'!D50</f>
        <v>421553</v>
      </c>
      <c r="F46" s="252"/>
      <c r="G46" s="253">
        <f>'Item-2_AY30017'!D50</f>
        <v>13585</v>
      </c>
      <c r="H46" s="252"/>
      <c r="I46" s="253">
        <f>'Item-3_AY30018'!D50</f>
        <v>0</v>
      </c>
      <c r="J46" s="252"/>
      <c r="K46" s="253">
        <f>'Item-4_AY30027'!D50</f>
        <v>0</v>
      </c>
      <c r="L46" s="252"/>
      <c r="M46" s="253">
        <f>'Item-5_AY30062'!D50</f>
        <v>0</v>
      </c>
      <c r="N46" s="252"/>
      <c r="O46" s="253">
        <f>'Item-6_AY30084'!D50</f>
        <v>0</v>
      </c>
      <c r="P46" s="252"/>
      <c r="Q46" s="253">
        <f>'Item-7_AT30107'!D50</f>
        <v>14212</v>
      </c>
      <c r="R46" s="252"/>
      <c r="S46" s="253">
        <f>'Item-8_AT30133'!D50</f>
        <v>0</v>
      </c>
      <c r="T46" s="252"/>
      <c r="U46" s="253">
        <f>'Item-9_AT30134'!D50</f>
        <v>56491.875</v>
      </c>
      <c r="V46" s="252"/>
      <c r="W46" s="253">
        <f>'Item-10_AT30144'!D50</f>
        <v>239065.875</v>
      </c>
      <c r="X46" s="252"/>
      <c r="Y46" s="253">
        <f>'Item-11_AT30150'!D50</f>
        <v>7132.875</v>
      </c>
      <c r="Z46" s="252"/>
      <c r="AA46" s="253">
        <f>'Item-12_AY30160'!D50</f>
        <v>153574.04999999999</v>
      </c>
      <c r="AB46" s="252"/>
      <c r="AC46" s="253">
        <f>'Item-13_AY51606'!D50</f>
        <v>0</v>
      </c>
      <c r="AD46" s="252"/>
      <c r="AE46" s="253">
        <f>'Item-14_AY30130'!D50</f>
        <v>542906.87499999988</v>
      </c>
    </row>
    <row r="47" spans="1:32" hidden="1" x14ac:dyDescent="0.25">
      <c r="A47" s="610"/>
      <c r="B47" s="268" t="s">
        <v>112</v>
      </c>
      <c r="C47" s="611"/>
      <c r="D47" s="266"/>
      <c r="E47" s="267">
        <f>SUM(E45:E46)</f>
        <v>459053</v>
      </c>
      <c r="F47" s="266"/>
      <c r="G47" s="267">
        <f>SUM(G45:G46)</f>
        <v>18585</v>
      </c>
      <c r="H47" s="266"/>
      <c r="I47" s="267">
        <f>SUM(I45:I46)</f>
        <v>0</v>
      </c>
      <c r="J47" s="266"/>
      <c r="K47" s="267">
        <f>SUM(K45:K46)</f>
        <v>0</v>
      </c>
      <c r="L47" s="266"/>
      <c r="M47" s="267">
        <f>SUM(M45:M46)</f>
        <v>0</v>
      </c>
      <c r="N47" s="266"/>
      <c r="O47" s="267">
        <f>SUM(O45:O46)</f>
        <v>0</v>
      </c>
      <c r="P47" s="266"/>
      <c r="Q47" s="267">
        <f>SUM(Q45:Q46)</f>
        <v>19212</v>
      </c>
      <c r="R47" s="266"/>
      <c r="S47" s="267">
        <f>SUM(S45:S46)</f>
        <v>0</v>
      </c>
      <c r="T47" s="266"/>
      <c r="U47" s="267">
        <f>SUM(U45:U46)</f>
        <v>66491.875</v>
      </c>
      <c r="V47" s="266"/>
      <c r="W47" s="267">
        <f>SUM(W45:W46)</f>
        <v>259065.875</v>
      </c>
      <c r="X47" s="266"/>
      <c r="Y47" s="267">
        <f>SUM(Y45:Y46)</f>
        <v>12132.875</v>
      </c>
      <c r="Z47" s="266"/>
      <c r="AA47" s="267">
        <f>SUM(AA45:AA46)</f>
        <v>166074.04999999999</v>
      </c>
      <c r="AB47" s="266"/>
      <c r="AC47" s="267">
        <f>SUM(AC45:AC46)</f>
        <v>0</v>
      </c>
      <c r="AD47" s="266"/>
      <c r="AE47" s="267">
        <f>SUM(AE45:AE46)</f>
        <v>560406.87499999988</v>
      </c>
    </row>
    <row r="48" spans="1:32" hidden="1" x14ac:dyDescent="0.25">
      <c r="A48" s="610"/>
      <c r="B48" s="187" t="s">
        <v>116</v>
      </c>
      <c r="C48" s="612">
        <v>0.1</v>
      </c>
      <c r="D48" s="457"/>
      <c r="E48" s="188">
        <f ca="1">E50*$C$48</f>
        <v>58852.948717948726</v>
      </c>
      <c r="F48" s="457"/>
      <c r="G48" s="188">
        <f ca="1">G50*$C$48</f>
        <v>2382.6923076923081</v>
      </c>
      <c r="H48" s="457"/>
      <c r="I48" s="188">
        <f ca="1">I50*$C$48</f>
        <v>0</v>
      </c>
      <c r="J48" s="457"/>
      <c r="K48" s="188">
        <f ca="1">K50*$C$48</f>
        <v>0</v>
      </c>
      <c r="L48" s="457"/>
      <c r="M48" s="188">
        <f ca="1">M50*$C$48</f>
        <v>0</v>
      </c>
      <c r="N48" s="457"/>
      <c r="O48" s="188">
        <f ca="1">O50*$C$48</f>
        <v>0</v>
      </c>
      <c r="P48" s="457"/>
      <c r="Q48" s="188">
        <f ca="1">Q50*$C$48</f>
        <v>2463.0769230769233</v>
      </c>
      <c r="R48" s="457"/>
      <c r="S48" s="188">
        <f ca="1">S50*$C$48</f>
        <v>0</v>
      </c>
      <c r="T48" s="457"/>
      <c r="U48" s="188">
        <f ca="1">U50*$C$48</f>
        <v>8524.5993589743593</v>
      </c>
      <c r="V48" s="457"/>
      <c r="W48" s="188">
        <f ca="1">W50*$C$48</f>
        <v>33213.573717948726</v>
      </c>
      <c r="X48" s="457"/>
      <c r="Y48" s="188">
        <f ca="1">Y50*$C$48</f>
        <v>1555.4967948717949</v>
      </c>
      <c r="Z48" s="457"/>
      <c r="AA48" s="188">
        <f ca="1">AA50*$C$48</f>
        <v>21291.544871794875</v>
      </c>
      <c r="AB48" s="457"/>
      <c r="AC48" s="188">
        <f ca="1">AC50*$C$48</f>
        <v>0</v>
      </c>
      <c r="AD48" s="457"/>
      <c r="AE48" s="188">
        <f ca="1">AE50*$C$48</f>
        <v>71847.035256410236</v>
      </c>
    </row>
    <row r="49" spans="1:32" hidden="1" x14ac:dyDescent="0.25">
      <c r="A49" s="610"/>
      <c r="B49" s="187" t="s">
        <v>117</v>
      </c>
      <c r="C49" s="612">
        <v>0.12</v>
      </c>
      <c r="D49" s="457"/>
      <c r="E49" s="188">
        <f ca="1">E50*$C$49</f>
        <v>70623.538461538468</v>
      </c>
      <c r="F49" s="457"/>
      <c r="G49" s="188">
        <f ca="1">G50*$C$49</f>
        <v>2859.2307692307691</v>
      </c>
      <c r="H49" s="457"/>
      <c r="I49" s="188">
        <f ca="1">I50*$C$49</f>
        <v>0</v>
      </c>
      <c r="J49" s="457"/>
      <c r="K49" s="188">
        <f ca="1">K50*$C$49</f>
        <v>0</v>
      </c>
      <c r="L49" s="457"/>
      <c r="M49" s="188">
        <f ca="1">M50*$C$49</f>
        <v>0</v>
      </c>
      <c r="N49" s="457"/>
      <c r="O49" s="188">
        <f ca="1">O50*$C$49</f>
        <v>0</v>
      </c>
      <c r="P49" s="457"/>
      <c r="Q49" s="188">
        <f ca="1">Q50*$C$49</f>
        <v>2955.6923076923076</v>
      </c>
      <c r="R49" s="457"/>
      <c r="S49" s="188">
        <f ca="1">S50*$C$49</f>
        <v>0</v>
      </c>
      <c r="T49" s="457"/>
      <c r="U49" s="188">
        <f ca="1">U50*$C$49</f>
        <v>10229.51923076923</v>
      </c>
      <c r="V49" s="457"/>
      <c r="W49" s="188">
        <f ca="1">W50*$C$49</f>
        <v>39856.288461538468</v>
      </c>
      <c r="X49" s="457"/>
      <c r="Y49" s="188">
        <f ca="1">Y50*$C$49</f>
        <v>1866.5961538461538</v>
      </c>
      <c r="Z49" s="457"/>
      <c r="AA49" s="188">
        <f ca="1">AA50*$C$49</f>
        <v>25549.853846153845</v>
      </c>
      <c r="AB49" s="457"/>
      <c r="AC49" s="188">
        <f ca="1">AC50*$C$49</f>
        <v>0</v>
      </c>
      <c r="AD49" s="457"/>
      <c r="AE49" s="188">
        <f ca="1">AE50*$C$49</f>
        <v>86216.442307692283</v>
      </c>
    </row>
    <row r="50" spans="1:32" ht="16.5" hidden="1" thickBot="1" x14ac:dyDescent="0.3">
      <c r="A50" s="255"/>
      <c r="B50" s="191" t="s">
        <v>45</v>
      </c>
      <c r="C50" s="613"/>
      <c r="D50" s="269"/>
      <c r="E50" s="270">
        <f ca="1">SUM(E47:E49)</f>
        <v>588529.48717948725</v>
      </c>
      <c r="F50" s="269"/>
      <c r="G50" s="270">
        <f ca="1">SUM(G47:G49)</f>
        <v>23826.923076923078</v>
      </c>
      <c r="H50" s="269"/>
      <c r="I50" s="270">
        <f ca="1">SUM(I47:I49)</f>
        <v>0</v>
      </c>
      <c r="J50" s="269"/>
      <c r="K50" s="270">
        <f ca="1">SUM(K47:K49)</f>
        <v>0</v>
      </c>
      <c r="L50" s="269"/>
      <c r="M50" s="270">
        <f ca="1">SUM(M47:M49)</f>
        <v>0</v>
      </c>
      <c r="N50" s="269"/>
      <c r="O50" s="270">
        <f ca="1">SUM(O47:O49)</f>
        <v>0</v>
      </c>
      <c r="P50" s="269"/>
      <c r="Q50" s="270">
        <f ca="1">SUM(Q47:Q49)</f>
        <v>24630.76923076923</v>
      </c>
      <c r="R50" s="269"/>
      <c r="S50" s="270">
        <f ca="1">SUM(S47:S49)</f>
        <v>0</v>
      </c>
      <c r="T50" s="269"/>
      <c r="U50" s="270">
        <f ca="1">SUM(U47:U49)</f>
        <v>85245.993589743593</v>
      </c>
      <c r="V50" s="269"/>
      <c r="W50" s="270">
        <f ca="1">SUM(W47:W49)</f>
        <v>332135.73717948725</v>
      </c>
      <c r="X50" s="269"/>
      <c r="Y50" s="270">
        <f ca="1">SUM(Y47:Y49)</f>
        <v>15554.967948717949</v>
      </c>
      <c r="Z50" s="269"/>
      <c r="AA50" s="270">
        <f ca="1">SUM(AA47:AA49)</f>
        <v>212915.44871794872</v>
      </c>
      <c r="AB50" s="269"/>
      <c r="AC50" s="270">
        <f ca="1">SUM(AC47:AC49)</f>
        <v>0</v>
      </c>
      <c r="AD50" s="269"/>
      <c r="AE50" s="270">
        <f ca="1">SUM(AE47:AE49)</f>
        <v>718470.35256410239</v>
      </c>
      <c r="AF50" s="618">
        <f ca="1">SUM(E50:AE50)</f>
        <v>2001309.6794871795</v>
      </c>
    </row>
    <row r="51" spans="1:32" s="619" customFormat="1" ht="24" hidden="1" customHeight="1" thickBot="1" x14ac:dyDescent="0.3"/>
    <row r="52" spans="1:32" x14ac:dyDescent="0.25">
      <c r="A52" s="620"/>
      <c r="B52" s="621" t="s">
        <v>840</v>
      </c>
      <c r="C52" s="632"/>
      <c r="D52" s="638"/>
      <c r="E52" s="624">
        <v>750000</v>
      </c>
      <c r="F52" s="635"/>
      <c r="G52" s="622">
        <v>35000</v>
      </c>
      <c r="H52" s="622"/>
      <c r="I52" s="622"/>
      <c r="J52" s="623"/>
      <c r="K52" s="622"/>
      <c r="L52" s="623"/>
      <c r="M52" s="622"/>
      <c r="N52" s="622"/>
      <c r="O52" s="622"/>
      <c r="P52" s="622"/>
      <c r="Q52" s="622">
        <v>26300</v>
      </c>
      <c r="R52" s="622"/>
      <c r="S52" s="622"/>
      <c r="T52" s="622"/>
      <c r="U52" s="622">
        <v>105000</v>
      </c>
      <c r="V52" s="622"/>
      <c r="W52" s="622">
        <v>422000</v>
      </c>
      <c r="X52" s="622"/>
      <c r="Y52" s="622">
        <v>25400</v>
      </c>
      <c r="Z52" s="622"/>
      <c r="AA52" s="622">
        <v>270000</v>
      </c>
      <c r="AB52" s="237"/>
      <c r="AC52" s="237"/>
      <c r="AD52" s="237"/>
      <c r="AE52" s="624">
        <v>890000</v>
      </c>
      <c r="AF52" s="157">
        <f>SUM(E52:AE52)</f>
        <v>2523700</v>
      </c>
    </row>
    <row r="53" spans="1:32" x14ac:dyDescent="0.25">
      <c r="A53" s="625"/>
      <c r="B53" s="615" t="s">
        <v>841</v>
      </c>
      <c r="C53" s="633"/>
      <c r="D53" s="639"/>
      <c r="E53" s="626">
        <v>80000</v>
      </c>
      <c r="F53" s="636"/>
      <c r="G53" s="616">
        <v>8000</v>
      </c>
      <c r="H53" s="616"/>
      <c r="I53" s="616"/>
      <c r="J53" s="617"/>
      <c r="K53" s="616"/>
      <c r="L53" s="617"/>
      <c r="M53" s="616"/>
      <c r="N53" s="616"/>
      <c r="O53" s="616"/>
      <c r="P53" s="616"/>
      <c r="Q53" s="616">
        <v>8000</v>
      </c>
      <c r="R53" s="616"/>
      <c r="S53" s="616"/>
      <c r="T53" s="616"/>
      <c r="U53" s="616">
        <v>12000</v>
      </c>
      <c r="V53" s="616"/>
      <c r="W53" s="616">
        <v>80000</v>
      </c>
      <c r="X53" s="616"/>
      <c r="Y53" s="616">
        <v>8000</v>
      </c>
      <c r="Z53" s="616"/>
      <c r="AA53" s="616">
        <v>80000</v>
      </c>
      <c r="AB53" s="246"/>
      <c r="AC53" s="246"/>
      <c r="AD53" s="246"/>
      <c r="AE53" s="626">
        <v>100000</v>
      </c>
      <c r="AF53" s="157">
        <f>SUM(E53:AE53)</f>
        <v>376000</v>
      </c>
    </row>
    <row r="54" spans="1:32" ht="16.5" thickBot="1" x14ac:dyDescent="0.3">
      <c r="A54" s="255"/>
      <c r="B54" s="191" t="s">
        <v>45</v>
      </c>
      <c r="C54" s="634"/>
      <c r="D54" s="269"/>
      <c r="E54" s="270">
        <f>SUM(E52:E53)</f>
        <v>830000</v>
      </c>
      <c r="F54" s="637"/>
      <c r="G54" s="270">
        <f>SUM(G52:G53)</f>
        <v>43000</v>
      </c>
      <c r="H54" s="269"/>
      <c r="I54" s="270"/>
      <c r="J54" s="269"/>
      <c r="K54" s="270"/>
      <c r="L54" s="269"/>
      <c r="M54" s="270"/>
      <c r="N54" s="269"/>
      <c r="O54" s="270"/>
      <c r="P54" s="269"/>
      <c r="Q54" s="270">
        <f>SUM(Q52:Q53)</f>
        <v>34300</v>
      </c>
      <c r="R54" s="269"/>
      <c r="S54" s="270"/>
      <c r="T54" s="269"/>
      <c r="U54" s="270">
        <f>SUM(U52:U53)</f>
        <v>117000</v>
      </c>
      <c r="V54" s="269"/>
      <c r="W54" s="270">
        <f>SUM(W52:W53)</f>
        <v>502000</v>
      </c>
      <c r="X54" s="269"/>
      <c r="Y54" s="270">
        <f>SUM(Y52:Y53)</f>
        <v>33400</v>
      </c>
      <c r="Z54" s="269"/>
      <c r="AA54" s="270">
        <f>SUM(AA52:AA53)</f>
        <v>350000</v>
      </c>
      <c r="AB54" s="269"/>
      <c r="AC54" s="270"/>
      <c r="AD54" s="269"/>
      <c r="AE54" s="270">
        <f>SUM(AE52:AE53)</f>
        <v>990000</v>
      </c>
      <c r="AF54" s="618">
        <f>SUM(E54:AE54)</f>
        <v>2899700</v>
      </c>
    </row>
    <row r="55" spans="1:32" ht="24" customHeight="1" thickBot="1" x14ac:dyDescent="0.3">
      <c r="A55" s="214"/>
      <c r="B55" s="627" t="s">
        <v>150</v>
      </c>
      <c r="C55" s="628"/>
      <c r="D55" s="629"/>
      <c r="E55" s="630">
        <f>E54*80%</f>
        <v>664000</v>
      </c>
      <c r="F55" s="630"/>
      <c r="G55" s="630">
        <f>G54*80%</f>
        <v>34400</v>
      </c>
      <c r="H55" s="630"/>
      <c r="I55" s="630"/>
      <c r="J55" s="631"/>
      <c r="K55" s="630"/>
      <c r="L55" s="631"/>
      <c r="M55" s="630"/>
      <c r="N55" s="630"/>
      <c r="O55" s="630"/>
      <c r="P55" s="630"/>
      <c r="Q55" s="630">
        <f>Q54*80%</f>
        <v>27440</v>
      </c>
      <c r="R55" s="630"/>
      <c r="S55" s="630"/>
      <c r="T55" s="630"/>
      <c r="U55" s="630">
        <f>U54*80%</f>
        <v>93600</v>
      </c>
      <c r="V55" s="630"/>
      <c r="W55" s="630">
        <f>W54*80%</f>
        <v>401600</v>
      </c>
      <c r="X55" s="630"/>
      <c r="Y55" s="630">
        <f>Y54*80%</f>
        <v>26720</v>
      </c>
      <c r="Z55" s="630"/>
      <c r="AA55" s="630">
        <f>AA54*80%</f>
        <v>280000</v>
      </c>
      <c r="AB55" s="630"/>
      <c r="AC55" s="630"/>
      <c r="AD55" s="630"/>
      <c r="AE55" s="630">
        <f>AE54*80%</f>
        <v>792000</v>
      </c>
    </row>
    <row r="56" spans="1:32" x14ac:dyDescent="0.25">
      <c r="B56" s="256"/>
      <c r="C56" s="596"/>
      <c r="D56" s="257"/>
      <c r="J56" s="257"/>
      <c r="L56" s="257"/>
    </row>
    <row r="57" spans="1:32" x14ac:dyDescent="0.25">
      <c r="B57" s="256"/>
      <c r="C57" s="596"/>
      <c r="D57" s="257"/>
      <c r="J57" s="257"/>
      <c r="L57" s="257"/>
    </row>
    <row r="58" spans="1:32" x14ac:dyDescent="0.25">
      <c r="D58" s="259"/>
      <c r="J58" s="259"/>
      <c r="L58" s="259"/>
    </row>
  </sheetData>
  <mergeCells count="32">
    <mergeCell ref="R1:S1"/>
    <mergeCell ref="R44:S44"/>
    <mergeCell ref="A2:C3"/>
    <mergeCell ref="A44:C44"/>
    <mergeCell ref="D44:E44"/>
    <mergeCell ref="F44:G44"/>
    <mergeCell ref="H44:I44"/>
    <mergeCell ref="J44:K44"/>
    <mergeCell ref="A1:C1"/>
    <mergeCell ref="D1:E1"/>
    <mergeCell ref="F1:G1"/>
    <mergeCell ref="H1:I1"/>
    <mergeCell ref="J1:K1"/>
    <mergeCell ref="L1:M1"/>
    <mergeCell ref="L44:M44"/>
    <mergeCell ref="N1:O1"/>
    <mergeCell ref="AD1:AE1"/>
    <mergeCell ref="AD44:AE44"/>
    <mergeCell ref="B40:B41"/>
    <mergeCell ref="N44:O44"/>
    <mergeCell ref="P1:Q1"/>
    <mergeCell ref="P44:Q44"/>
    <mergeCell ref="AB1:AC1"/>
    <mergeCell ref="X44:Y44"/>
    <mergeCell ref="Z44:AA44"/>
    <mergeCell ref="AB44:AC44"/>
    <mergeCell ref="T1:U1"/>
    <mergeCell ref="T44:U44"/>
    <mergeCell ref="V1:W1"/>
    <mergeCell ref="V44:W44"/>
    <mergeCell ref="X1:Y1"/>
    <mergeCell ref="Z1:AA1"/>
  </mergeCells>
  <pageMargins left="0.25" right="0.25" top="0.75" bottom="0.75" header="0.3" footer="0.3"/>
  <pageSetup paperSize="9" fitToWidth="0" orientation="portrait" r:id="rId1"/>
  <ignoredErrors>
    <ignoredError sqref="E17:E19 E21 E23:E26 H28 J28 L28 N28 P28 R28 T28 V28 Z28 AB28 X28 F29:AC30 F28 E29:E30 E28 AD29:AE30 G28 Y28 AC28:AE28 AA28 W28 U28 S28 Q28 O28 M28 K28 I28 G17:AF17" emptyCellReference="1"/>
    <ignoredError sqref="AD31:AE31 E31 F31:AC31 F32:AC35 E38:AC38 E32:E35" formula="1" emptyCellReference="1"/>
    <ignoredError sqref="E36:AE37 AD32:AE35 E39:AE41 AD38:AE3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4E4-BAD6-44EF-A014-E9A425AC018F}">
  <dimension ref="B1:M22"/>
  <sheetViews>
    <sheetView zoomScaleNormal="100" workbookViewId="0">
      <selection activeCell="J14" sqref="J14"/>
    </sheetView>
  </sheetViews>
  <sheetFormatPr defaultRowHeight="12.75" x14ac:dyDescent="0.2"/>
  <cols>
    <col min="1" max="1" width="9.140625" style="557"/>
    <col min="2" max="2" width="13.140625" style="557" customWidth="1"/>
    <col min="3" max="3" width="25" style="568" customWidth="1"/>
    <col min="4" max="4" width="16.42578125" style="557" bestFit="1" customWidth="1"/>
    <col min="5" max="5" width="9.140625" style="557"/>
    <col min="6" max="7" width="9.140625" style="557" customWidth="1"/>
    <col min="8" max="8" width="22.28515625" style="557" customWidth="1"/>
    <col min="9" max="9" width="23.7109375" style="557" customWidth="1"/>
    <col min="10" max="10" width="43" style="557" customWidth="1"/>
    <col min="11" max="13" width="9.140625" style="557" customWidth="1"/>
    <col min="14" max="16384" width="9.140625" style="557"/>
  </cols>
  <sheetData>
    <row r="1" spans="2:13" ht="13.5" thickBot="1" x14ac:dyDescent="0.25"/>
    <row r="2" spans="2:13" ht="27.75" thickBot="1" x14ac:dyDescent="0.25">
      <c r="B2" s="558" t="s">
        <v>13</v>
      </c>
      <c r="C2" s="558" t="s">
        <v>14</v>
      </c>
      <c r="D2" s="558" t="s">
        <v>15</v>
      </c>
      <c r="G2" s="614" t="s">
        <v>13</v>
      </c>
      <c r="H2" s="614" t="s">
        <v>154</v>
      </c>
      <c r="I2" s="614" t="s">
        <v>834</v>
      </c>
      <c r="J2" s="614" t="s">
        <v>34</v>
      </c>
    </row>
    <row r="3" spans="2:13" s="598" customFormat="1" ht="30" customHeight="1" x14ac:dyDescent="0.25">
      <c r="B3" s="559" t="s">
        <v>291</v>
      </c>
      <c r="C3" s="564" t="s">
        <v>262</v>
      </c>
      <c r="D3" s="560" t="s">
        <v>573</v>
      </c>
      <c r="G3" s="514" t="s">
        <v>291</v>
      </c>
      <c r="H3" s="514" t="s">
        <v>829</v>
      </c>
      <c r="I3" s="514" t="s">
        <v>830</v>
      </c>
      <c r="J3" s="600"/>
    </row>
    <row r="4" spans="2:13" s="598" customFormat="1" ht="30" customHeight="1" x14ac:dyDescent="0.25">
      <c r="B4" s="559" t="s">
        <v>287</v>
      </c>
      <c r="C4" s="565" t="s">
        <v>283</v>
      </c>
      <c r="D4" s="560" t="s">
        <v>825</v>
      </c>
      <c r="G4" s="514" t="s">
        <v>291</v>
      </c>
      <c r="H4" s="514" t="s">
        <v>831</v>
      </c>
      <c r="I4" s="514" t="s">
        <v>535</v>
      </c>
      <c r="J4" s="600"/>
    </row>
    <row r="5" spans="2:13" s="598" customFormat="1" ht="30" customHeight="1" x14ac:dyDescent="0.25">
      <c r="B5" s="559" t="s">
        <v>290</v>
      </c>
      <c r="C5" s="565" t="s">
        <v>211</v>
      </c>
      <c r="D5" s="560" t="s">
        <v>777</v>
      </c>
      <c r="G5" s="514" t="s">
        <v>290</v>
      </c>
      <c r="H5" s="514" t="s">
        <v>837</v>
      </c>
      <c r="I5" s="514" t="s">
        <v>537</v>
      </c>
      <c r="J5" s="600"/>
    </row>
    <row r="6" spans="2:13" s="598" customFormat="1" ht="30" customHeight="1" x14ac:dyDescent="0.25">
      <c r="B6" s="559" t="s">
        <v>290</v>
      </c>
      <c r="C6" s="564" t="s">
        <v>262</v>
      </c>
      <c r="D6" s="560" t="s">
        <v>573</v>
      </c>
      <c r="G6" s="514" t="s">
        <v>290</v>
      </c>
      <c r="H6" s="514" t="s">
        <v>838</v>
      </c>
      <c r="I6" s="514" t="s">
        <v>833</v>
      </c>
      <c r="J6" s="599" t="s">
        <v>839</v>
      </c>
    </row>
    <row r="7" spans="2:13" s="598" customFormat="1" ht="30" customHeight="1" x14ac:dyDescent="0.25">
      <c r="B7" s="559" t="s">
        <v>286</v>
      </c>
      <c r="C7" s="565" t="s">
        <v>271</v>
      </c>
      <c r="D7" s="560" t="s">
        <v>271</v>
      </c>
      <c r="G7" s="514" t="s">
        <v>290</v>
      </c>
      <c r="H7" s="514" t="s">
        <v>805</v>
      </c>
      <c r="I7" s="514" t="s">
        <v>832</v>
      </c>
      <c r="J7" s="599" t="s">
        <v>839</v>
      </c>
    </row>
    <row r="8" spans="2:13" s="598" customFormat="1" ht="30" customHeight="1" x14ac:dyDescent="0.25">
      <c r="B8" s="562" t="s">
        <v>286</v>
      </c>
      <c r="C8" s="565" t="s">
        <v>226</v>
      </c>
      <c r="D8" s="560" t="s">
        <v>271</v>
      </c>
      <c r="G8" s="514" t="s">
        <v>550</v>
      </c>
      <c r="H8" s="514" t="s">
        <v>503</v>
      </c>
      <c r="I8" s="514" t="s">
        <v>807</v>
      </c>
      <c r="J8" s="600"/>
    </row>
    <row r="9" spans="2:13" s="598" customFormat="1" ht="30" customHeight="1" x14ac:dyDescent="0.25">
      <c r="B9" s="563" t="s">
        <v>286</v>
      </c>
      <c r="C9" s="564" t="s">
        <v>283</v>
      </c>
      <c r="D9" s="560" t="s">
        <v>271</v>
      </c>
      <c r="G9" s="514" t="s">
        <v>550</v>
      </c>
      <c r="H9" s="514" t="s">
        <v>418</v>
      </c>
      <c r="I9" s="514" t="s">
        <v>808</v>
      </c>
      <c r="J9" s="600"/>
    </row>
    <row r="10" spans="2:13" s="598" customFormat="1" ht="30" customHeight="1" x14ac:dyDescent="0.25">
      <c r="B10" s="563" t="s">
        <v>286</v>
      </c>
      <c r="C10" s="564" t="s">
        <v>408</v>
      </c>
      <c r="D10" s="560" t="s">
        <v>271</v>
      </c>
      <c r="G10" s="514" t="s">
        <v>550</v>
      </c>
      <c r="H10" s="514" t="s">
        <v>775</v>
      </c>
      <c r="I10" s="514" t="s">
        <v>809</v>
      </c>
      <c r="J10" s="600"/>
    </row>
    <row r="11" spans="2:13" s="598" customFormat="1" ht="30" customHeight="1" x14ac:dyDescent="0.25">
      <c r="B11" s="559" t="s">
        <v>21</v>
      </c>
      <c r="C11" s="565" t="s">
        <v>821</v>
      </c>
      <c r="D11" s="560" t="s">
        <v>573</v>
      </c>
      <c r="G11" s="514" t="s">
        <v>550</v>
      </c>
      <c r="H11" s="514" t="s">
        <v>396</v>
      </c>
      <c r="I11" s="514" t="s">
        <v>810</v>
      </c>
      <c r="J11" s="600"/>
      <c r="M11" s="602"/>
    </row>
    <row r="12" spans="2:13" s="598" customFormat="1" ht="30" customHeight="1" x14ac:dyDescent="0.25">
      <c r="B12" s="559" t="s">
        <v>21</v>
      </c>
      <c r="C12" s="565" t="s">
        <v>223</v>
      </c>
      <c r="D12" s="560" t="s">
        <v>777</v>
      </c>
      <c r="G12" s="514" t="s">
        <v>550</v>
      </c>
      <c r="H12" s="514" t="s">
        <v>545</v>
      </c>
      <c r="I12" s="600"/>
      <c r="J12" s="600" t="s">
        <v>836</v>
      </c>
    </row>
    <row r="13" spans="2:13" s="598" customFormat="1" ht="30" customHeight="1" x14ac:dyDescent="0.25">
      <c r="B13" s="559" t="s">
        <v>21</v>
      </c>
      <c r="C13" s="565" t="s">
        <v>207</v>
      </c>
      <c r="D13" s="560" t="s">
        <v>573</v>
      </c>
      <c r="G13" s="514" t="s">
        <v>550</v>
      </c>
      <c r="H13" s="514" t="s">
        <v>774</v>
      </c>
      <c r="I13" s="600"/>
      <c r="J13" s="600" t="s">
        <v>836</v>
      </c>
    </row>
    <row r="14" spans="2:13" s="598" customFormat="1" ht="30" customHeight="1" x14ac:dyDescent="0.25">
      <c r="B14" s="563" t="s">
        <v>21</v>
      </c>
      <c r="C14" s="564" t="s">
        <v>395</v>
      </c>
      <c r="D14" s="560" t="s">
        <v>573</v>
      </c>
      <c r="G14" s="514" t="s">
        <v>329</v>
      </c>
      <c r="H14" s="601" t="s">
        <v>331</v>
      </c>
      <c r="I14" s="600"/>
      <c r="J14" s="600" t="s">
        <v>836</v>
      </c>
    </row>
    <row r="15" spans="2:13" s="598" customFormat="1" ht="30" customHeight="1" x14ac:dyDescent="0.25">
      <c r="B15" s="562" t="s">
        <v>44</v>
      </c>
      <c r="C15" s="565" t="s">
        <v>513</v>
      </c>
      <c r="D15" s="560" t="s">
        <v>777</v>
      </c>
      <c r="G15" s="514" t="s">
        <v>329</v>
      </c>
      <c r="H15" s="601" t="s">
        <v>500</v>
      </c>
      <c r="I15" s="600"/>
      <c r="J15" s="600" t="s">
        <v>836</v>
      </c>
    </row>
    <row r="16" spans="2:13" s="598" customFormat="1" ht="30" customHeight="1" x14ac:dyDescent="0.25">
      <c r="B16" s="563" t="s">
        <v>44</v>
      </c>
      <c r="C16" s="564" t="s">
        <v>388</v>
      </c>
      <c r="D16" s="556" t="s">
        <v>824</v>
      </c>
      <c r="G16" s="514" t="s">
        <v>329</v>
      </c>
      <c r="H16" s="514" t="s">
        <v>530</v>
      </c>
      <c r="I16" s="514" t="s">
        <v>835</v>
      </c>
      <c r="J16" s="600"/>
    </row>
    <row r="17" spans="2:10" s="598" customFormat="1" ht="30" customHeight="1" x14ac:dyDescent="0.25">
      <c r="B17" s="563" t="s">
        <v>44</v>
      </c>
      <c r="C17" s="564" t="s">
        <v>447</v>
      </c>
      <c r="D17" s="556" t="s">
        <v>824</v>
      </c>
      <c r="G17" s="514" t="s">
        <v>286</v>
      </c>
      <c r="H17" s="514" t="s">
        <v>321</v>
      </c>
      <c r="I17" s="600"/>
      <c r="J17" s="600" t="s">
        <v>836</v>
      </c>
    </row>
    <row r="18" spans="2:10" s="598" customFormat="1" ht="30" customHeight="1" x14ac:dyDescent="0.25">
      <c r="B18" s="563" t="s">
        <v>44</v>
      </c>
      <c r="C18" s="566" t="s">
        <v>763</v>
      </c>
      <c r="D18" s="560" t="s">
        <v>573</v>
      </c>
      <c r="G18" s="514" t="s">
        <v>286</v>
      </c>
      <c r="H18" s="514" t="s">
        <v>532</v>
      </c>
      <c r="I18" s="600"/>
      <c r="J18" s="600" t="s">
        <v>836</v>
      </c>
    </row>
    <row r="19" spans="2:10" s="598" customFormat="1" ht="30" customHeight="1" x14ac:dyDescent="0.25">
      <c r="B19" s="562" t="s">
        <v>828</v>
      </c>
      <c r="C19" s="565" t="s">
        <v>211</v>
      </c>
      <c r="D19" s="561" t="s">
        <v>540</v>
      </c>
      <c r="G19" s="514" t="s">
        <v>286</v>
      </c>
      <c r="H19" s="514" t="s">
        <v>299</v>
      </c>
      <c r="I19" s="600"/>
      <c r="J19" s="600" t="s">
        <v>836</v>
      </c>
    </row>
    <row r="20" spans="2:10" s="598" customFormat="1" ht="30" customHeight="1" x14ac:dyDescent="0.25">
      <c r="B20" s="562" t="s">
        <v>828</v>
      </c>
      <c r="C20" s="565" t="s">
        <v>823</v>
      </c>
      <c r="D20" s="561" t="s">
        <v>540</v>
      </c>
      <c r="G20" s="514" t="s">
        <v>286</v>
      </c>
      <c r="H20" s="514" t="s">
        <v>298</v>
      </c>
      <c r="I20" s="600"/>
      <c r="J20" s="600" t="s">
        <v>836</v>
      </c>
    </row>
    <row r="21" spans="2:10" s="598" customFormat="1" ht="30" customHeight="1" x14ac:dyDescent="0.25">
      <c r="B21" s="562" t="s">
        <v>828</v>
      </c>
      <c r="C21" s="567" t="s">
        <v>330</v>
      </c>
      <c r="D21" s="561" t="s">
        <v>540</v>
      </c>
      <c r="G21" s="514" t="s">
        <v>286</v>
      </c>
      <c r="H21" s="514" t="s">
        <v>409</v>
      </c>
      <c r="I21" s="600"/>
      <c r="J21" s="600" t="s">
        <v>836</v>
      </c>
    </row>
    <row r="22" spans="2:10" s="598" customFormat="1" ht="30" customHeight="1" x14ac:dyDescent="0.25">
      <c r="B22" s="562" t="s">
        <v>828</v>
      </c>
      <c r="C22" s="564" t="s">
        <v>822</v>
      </c>
      <c r="D22" s="561" t="s">
        <v>540</v>
      </c>
      <c r="G22" s="514" t="s">
        <v>286</v>
      </c>
      <c r="H22" s="514" t="s">
        <v>377</v>
      </c>
      <c r="I22" s="600"/>
      <c r="J22" s="600" t="s">
        <v>836</v>
      </c>
    </row>
  </sheetData>
  <autoFilter ref="B2:D21" xr:uid="{EBC7E4E4-BAD6-44EF-A014-E9A425AC018F}">
    <sortState xmlns:xlrd2="http://schemas.microsoft.com/office/spreadsheetml/2017/richdata2" ref="B3:D21">
      <sortCondition ref="B2:B21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86AA-A203-49A1-BDBA-49DB730A3434}">
  <sheetPr>
    <pageSetUpPr fitToPage="1"/>
  </sheetPr>
  <dimension ref="A1:U54"/>
  <sheetViews>
    <sheetView topLeftCell="C1" zoomScale="85" zoomScaleNormal="85" zoomScaleSheetLayoutView="100" workbookViewId="0">
      <selection activeCell="L32" sqref="L32"/>
    </sheetView>
  </sheetViews>
  <sheetFormatPr defaultRowHeight="12.75" x14ac:dyDescent="0.2"/>
  <cols>
    <col min="1" max="1" width="38.42578125" style="10" customWidth="1"/>
    <col min="2" max="2" width="31.5703125" style="10" bestFit="1" customWidth="1"/>
    <col min="3" max="3" width="16.5703125" style="10" bestFit="1" customWidth="1"/>
    <col min="4" max="4" width="17.42578125" style="10" bestFit="1" customWidth="1"/>
    <col min="5" max="5" width="20" style="10" bestFit="1" customWidth="1"/>
    <col min="6" max="6" width="18.5703125" style="70" bestFit="1" customWidth="1"/>
    <col min="7" max="7" width="21.140625" style="14" customWidth="1"/>
    <col min="8" max="9" width="10.140625" style="10" customWidth="1"/>
    <col min="10" max="10" width="6.5703125" style="498" bestFit="1" customWidth="1"/>
    <col min="11" max="11" width="10" style="498" bestFit="1" customWidth="1"/>
    <col min="12" max="12" width="20.5703125" style="498" bestFit="1" customWidth="1"/>
    <col min="13" max="13" width="11.140625" style="498" bestFit="1" customWidth="1"/>
    <col min="14" max="14" width="15.42578125" style="498" bestFit="1" customWidth="1"/>
    <col min="15" max="15" width="17.28515625" style="498" bestFit="1" customWidth="1"/>
    <col min="16" max="16" width="17" style="498" bestFit="1" customWidth="1"/>
    <col min="17" max="17" width="11.140625" style="498" bestFit="1" customWidth="1"/>
    <col min="18" max="18" width="15" style="10" bestFit="1" customWidth="1"/>
    <col min="19" max="19" width="10.42578125" style="10" bestFit="1" customWidth="1"/>
    <col min="20" max="20" width="14.85546875" style="10" bestFit="1" customWidth="1"/>
    <col min="21" max="192" width="9.140625" style="10"/>
    <col min="193" max="193" width="37.42578125" style="10" customWidth="1"/>
    <col min="194" max="194" width="13.5703125" style="10" customWidth="1"/>
    <col min="195" max="195" width="14.42578125" style="10" customWidth="1"/>
    <col min="196" max="196" width="8.42578125" style="10" bestFit="1" customWidth="1"/>
    <col min="197" max="197" width="16.85546875" style="10" customWidth="1"/>
    <col min="198" max="198" width="9.140625" style="10"/>
    <col min="199" max="199" width="11.28515625" style="10" customWidth="1"/>
    <col min="200" max="448" width="9.140625" style="10"/>
    <col min="449" max="449" width="37.42578125" style="10" customWidth="1"/>
    <col min="450" max="450" width="13.5703125" style="10" customWidth="1"/>
    <col min="451" max="451" width="14.42578125" style="10" customWidth="1"/>
    <col min="452" max="452" width="8.42578125" style="10" bestFit="1" customWidth="1"/>
    <col min="453" max="453" width="16.85546875" style="10" customWidth="1"/>
    <col min="454" max="454" width="9.140625" style="10"/>
    <col min="455" max="455" width="11.28515625" style="10" customWidth="1"/>
    <col min="456" max="704" width="9.140625" style="10"/>
    <col min="705" max="705" width="37.42578125" style="10" customWidth="1"/>
    <col min="706" max="706" width="13.5703125" style="10" customWidth="1"/>
    <col min="707" max="707" width="14.42578125" style="10" customWidth="1"/>
    <col min="708" max="708" width="8.42578125" style="10" bestFit="1" customWidth="1"/>
    <col min="709" max="709" width="16.85546875" style="10" customWidth="1"/>
    <col min="710" max="710" width="9.140625" style="10"/>
    <col min="711" max="711" width="11.28515625" style="10" customWidth="1"/>
    <col min="712" max="960" width="9.140625" style="10"/>
    <col min="961" max="961" width="37.42578125" style="10" customWidth="1"/>
    <col min="962" max="962" width="13.5703125" style="10" customWidth="1"/>
    <col min="963" max="963" width="14.42578125" style="10" customWidth="1"/>
    <col min="964" max="964" width="8.42578125" style="10" bestFit="1" customWidth="1"/>
    <col min="965" max="965" width="16.85546875" style="10" customWidth="1"/>
    <col min="966" max="966" width="9.140625" style="10"/>
    <col min="967" max="967" width="11.28515625" style="10" customWidth="1"/>
    <col min="968" max="1216" width="9.140625" style="10"/>
    <col min="1217" max="1217" width="37.42578125" style="10" customWidth="1"/>
    <col min="1218" max="1218" width="13.5703125" style="10" customWidth="1"/>
    <col min="1219" max="1219" width="14.42578125" style="10" customWidth="1"/>
    <col min="1220" max="1220" width="8.42578125" style="10" bestFit="1" customWidth="1"/>
    <col min="1221" max="1221" width="16.85546875" style="10" customWidth="1"/>
    <col min="1222" max="1222" width="9.140625" style="10"/>
    <col min="1223" max="1223" width="11.28515625" style="10" customWidth="1"/>
    <col min="1224" max="1472" width="9.140625" style="10"/>
    <col min="1473" max="1473" width="37.42578125" style="10" customWidth="1"/>
    <col min="1474" max="1474" width="13.5703125" style="10" customWidth="1"/>
    <col min="1475" max="1475" width="14.42578125" style="10" customWidth="1"/>
    <col min="1476" max="1476" width="8.42578125" style="10" bestFit="1" customWidth="1"/>
    <col min="1477" max="1477" width="16.85546875" style="10" customWidth="1"/>
    <col min="1478" max="1478" width="9.140625" style="10"/>
    <col min="1479" max="1479" width="11.28515625" style="10" customWidth="1"/>
    <col min="1480" max="1728" width="9.140625" style="10"/>
    <col min="1729" max="1729" width="37.42578125" style="10" customWidth="1"/>
    <col min="1730" max="1730" width="13.5703125" style="10" customWidth="1"/>
    <col min="1731" max="1731" width="14.42578125" style="10" customWidth="1"/>
    <col min="1732" max="1732" width="8.42578125" style="10" bestFit="1" customWidth="1"/>
    <col min="1733" max="1733" width="16.85546875" style="10" customWidth="1"/>
    <col min="1734" max="1734" width="9.140625" style="10"/>
    <col min="1735" max="1735" width="11.28515625" style="10" customWidth="1"/>
    <col min="1736" max="1984" width="9.140625" style="10"/>
    <col min="1985" max="1985" width="37.42578125" style="10" customWidth="1"/>
    <col min="1986" max="1986" width="13.5703125" style="10" customWidth="1"/>
    <col min="1987" max="1987" width="14.42578125" style="10" customWidth="1"/>
    <col min="1988" max="1988" width="8.42578125" style="10" bestFit="1" customWidth="1"/>
    <col min="1989" max="1989" width="16.85546875" style="10" customWidth="1"/>
    <col min="1990" max="1990" width="9.140625" style="10"/>
    <col min="1991" max="1991" width="11.28515625" style="10" customWidth="1"/>
    <col min="1992" max="2240" width="9.140625" style="10"/>
    <col min="2241" max="2241" width="37.42578125" style="10" customWidth="1"/>
    <col min="2242" max="2242" width="13.5703125" style="10" customWidth="1"/>
    <col min="2243" max="2243" width="14.42578125" style="10" customWidth="1"/>
    <col min="2244" max="2244" width="8.42578125" style="10" bestFit="1" customWidth="1"/>
    <col min="2245" max="2245" width="16.85546875" style="10" customWidth="1"/>
    <col min="2246" max="2246" width="9.140625" style="10"/>
    <col min="2247" max="2247" width="11.28515625" style="10" customWidth="1"/>
    <col min="2248" max="2496" width="9.140625" style="10"/>
    <col min="2497" max="2497" width="37.42578125" style="10" customWidth="1"/>
    <col min="2498" max="2498" width="13.5703125" style="10" customWidth="1"/>
    <col min="2499" max="2499" width="14.42578125" style="10" customWidth="1"/>
    <col min="2500" max="2500" width="8.42578125" style="10" bestFit="1" customWidth="1"/>
    <col min="2501" max="2501" width="16.85546875" style="10" customWidth="1"/>
    <col min="2502" max="2502" width="9.140625" style="10"/>
    <col min="2503" max="2503" width="11.28515625" style="10" customWidth="1"/>
    <col min="2504" max="2752" width="9.140625" style="10"/>
    <col min="2753" max="2753" width="37.42578125" style="10" customWidth="1"/>
    <col min="2754" max="2754" width="13.5703125" style="10" customWidth="1"/>
    <col min="2755" max="2755" width="14.42578125" style="10" customWidth="1"/>
    <col min="2756" max="2756" width="8.42578125" style="10" bestFit="1" customWidth="1"/>
    <col min="2757" max="2757" width="16.85546875" style="10" customWidth="1"/>
    <col min="2758" max="2758" width="9.140625" style="10"/>
    <col min="2759" max="2759" width="11.28515625" style="10" customWidth="1"/>
    <col min="2760" max="3008" width="9.140625" style="10"/>
    <col min="3009" max="3009" width="37.42578125" style="10" customWidth="1"/>
    <col min="3010" max="3010" width="13.5703125" style="10" customWidth="1"/>
    <col min="3011" max="3011" width="14.42578125" style="10" customWidth="1"/>
    <col min="3012" max="3012" width="8.42578125" style="10" bestFit="1" customWidth="1"/>
    <col min="3013" max="3013" width="16.85546875" style="10" customWidth="1"/>
    <col min="3014" max="3014" width="9.140625" style="10"/>
    <col min="3015" max="3015" width="11.28515625" style="10" customWidth="1"/>
    <col min="3016" max="3264" width="9.140625" style="10"/>
    <col min="3265" max="3265" width="37.42578125" style="10" customWidth="1"/>
    <col min="3266" max="3266" width="13.5703125" style="10" customWidth="1"/>
    <col min="3267" max="3267" width="14.42578125" style="10" customWidth="1"/>
    <col min="3268" max="3268" width="8.42578125" style="10" bestFit="1" customWidth="1"/>
    <col min="3269" max="3269" width="16.85546875" style="10" customWidth="1"/>
    <col min="3270" max="3270" width="9.140625" style="10"/>
    <col min="3271" max="3271" width="11.28515625" style="10" customWidth="1"/>
    <col min="3272" max="3520" width="9.140625" style="10"/>
    <col min="3521" max="3521" width="37.42578125" style="10" customWidth="1"/>
    <col min="3522" max="3522" width="13.5703125" style="10" customWidth="1"/>
    <col min="3523" max="3523" width="14.42578125" style="10" customWidth="1"/>
    <col min="3524" max="3524" width="8.42578125" style="10" bestFit="1" customWidth="1"/>
    <col min="3525" max="3525" width="16.85546875" style="10" customWidth="1"/>
    <col min="3526" max="3526" width="9.140625" style="10"/>
    <col min="3527" max="3527" width="11.28515625" style="10" customWidth="1"/>
    <col min="3528" max="3776" width="9.140625" style="10"/>
    <col min="3777" max="3777" width="37.42578125" style="10" customWidth="1"/>
    <col min="3778" max="3778" width="13.5703125" style="10" customWidth="1"/>
    <col min="3779" max="3779" width="14.42578125" style="10" customWidth="1"/>
    <col min="3780" max="3780" width="8.42578125" style="10" bestFit="1" customWidth="1"/>
    <col min="3781" max="3781" width="16.85546875" style="10" customWidth="1"/>
    <col min="3782" max="3782" width="9.140625" style="10"/>
    <col min="3783" max="3783" width="11.28515625" style="10" customWidth="1"/>
    <col min="3784" max="4032" width="9.140625" style="10"/>
    <col min="4033" max="4033" width="37.42578125" style="10" customWidth="1"/>
    <col min="4034" max="4034" width="13.5703125" style="10" customWidth="1"/>
    <col min="4035" max="4035" width="14.42578125" style="10" customWidth="1"/>
    <col min="4036" max="4036" width="8.42578125" style="10" bestFit="1" customWidth="1"/>
    <col min="4037" max="4037" width="16.85546875" style="10" customWidth="1"/>
    <col min="4038" max="4038" width="9.140625" style="10"/>
    <col min="4039" max="4039" width="11.28515625" style="10" customWidth="1"/>
    <col min="4040" max="4288" width="9.140625" style="10"/>
    <col min="4289" max="4289" width="37.42578125" style="10" customWidth="1"/>
    <col min="4290" max="4290" width="13.5703125" style="10" customWidth="1"/>
    <col min="4291" max="4291" width="14.42578125" style="10" customWidth="1"/>
    <col min="4292" max="4292" width="8.42578125" style="10" bestFit="1" customWidth="1"/>
    <col min="4293" max="4293" width="16.85546875" style="10" customWidth="1"/>
    <col min="4294" max="4294" width="9.140625" style="10"/>
    <col min="4295" max="4295" width="11.28515625" style="10" customWidth="1"/>
    <col min="4296" max="4544" width="9.140625" style="10"/>
    <col min="4545" max="4545" width="37.42578125" style="10" customWidth="1"/>
    <col min="4546" max="4546" width="13.5703125" style="10" customWidth="1"/>
    <col min="4547" max="4547" width="14.42578125" style="10" customWidth="1"/>
    <col min="4548" max="4548" width="8.42578125" style="10" bestFit="1" customWidth="1"/>
    <col min="4549" max="4549" width="16.85546875" style="10" customWidth="1"/>
    <col min="4550" max="4550" width="9.140625" style="10"/>
    <col min="4551" max="4551" width="11.28515625" style="10" customWidth="1"/>
    <col min="4552" max="4800" width="9.140625" style="10"/>
    <col min="4801" max="4801" width="37.42578125" style="10" customWidth="1"/>
    <col min="4802" max="4802" width="13.5703125" style="10" customWidth="1"/>
    <col min="4803" max="4803" width="14.42578125" style="10" customWidth="1"/>
    <col min="4804" max="4804" width="8.42578125" style="10" bestFit="1" customWidth="1"/>
    <col min="4805" max="4805" width="16.85546875" style="10" customWidth="1"/>
    <col min="4806" max="4806" width="9.140625" style="10"/>
    <col min="4807" max="4807" width="11.28515625" style="10" customWidth="1"/>
    <col min="4808" max="5056" width="9.140625" style="10"/>
    <col min="5057" max="5057" width="37.42578125" style="10" customWidth="1"/>
    <col min="5058" max="5058" width="13.5703125" style="10" customWidth="1"/>
    <col min="5059" max="5059" width="14.42578125" style="10" customWidth="1"/>
    <col min="5060" max="5060" width="8.42578125" style="10" bestFit="1" customWidth="1"/>
    <col min="5061" max="5061" width="16.85546875" style="10" customWidth="1"/>
    <col min="5062" max="5062" width="9.140625" style="10"/>
    <col min="5063" max="5063" width="11.28515625" style="10" customWidth="1"/>
    <col min="5064" max="5312" width="9.140625" style="10"/>
    <col min="5313" max="5313" width="37.42578125" style="10" customWidth="1"/>
    <col min="5314" max="5314" width="13.5703125" style="10" customWidth="1"/>
    <col min="5315" max="5315" width="14.42578125" style="10" customWidth="1"/>
    <col min="5316" max="5316" width="8.42578125" style="10" bestFit="1" customWidth="1"/>
    <col min="5317" max="5317" width="16.85546875" style="10" customWidth="1"/>
    <col min="5318" max="5318" width="9.140625" style="10"/>
    <col min="5319" max="5319" width="11.28515625" style="10" customWidth="1"/>
    <col min="5320" max="5568" width="9.140625" style="10"/>
    <col min="5569" max="5569" width="37.42578125" style="10" customWidth="1"/>
    <col min="5570" max="5570" width="13.5703125" style="10" customWidth="1"/>
    <col min="5571" max="5571" width="14.42578125" style="10" customWidth="1"/>
    <col min="5572" max="5572" width="8.42578125" style="10" bestFit="1" customWidth="1"/>
    <col min="5573" max="5573" width="16.85546875" style="10" customWidth="1"/>
    <col min="5574" max="5574" width="9.140625" style="10"/>
    <col min="5575" max="5575" width="11.28515625" style="10" customWidth="1"/>
    <col min="5576" max="5824" width="9.140625" style="10"/>
    <col min="5825" max="5825" width="37.42578125" style="10" customWidth="1"/>
    <col min="5826" max="5826" width="13.5703125" style="10" customWidth="1"/>
    <col min="5827" max="5827" width="14.42578125" style="10" customWidth="1"/>
    <col min="5828" max="5828" width="8.42578125" style="10" bestFit="1" customWidth="1"/>
    <col min="5829" max="5829" width="16.85546875" style="10" customWidth="1"/>
    <col min="5830" max="5830" width="9.140625" style="10"/>
    <col min="5831" max="5831" width="11.28515625" style="10" customWidth="1"/>
    <col min="5832" max="6080" width="9.140625" style="10"/>
    <col min="6081" max="6081" width="37.42578125" style="10" customWidth="1"/>
    <col min="6082" max="6082" width="13.5703125" style="10" customWidth="1"/>
    <col min="6083" max="6083" width="14.42578125" style="10" customWidth="1"/>
    <col min="6084" max="6084" width="8.42578125" style="10" bestFit="1" customWidth="1"/>
    <col min="6085" max="6085" width="16.85546875" style="10" customWidth="1"/>
    <col min="6086" max="6086" width="9.140625" style="10"/>
    <col min="6087" max="6087" width="11.28515625" style="10" customWidth="1"/>
    <col min="6088" max="6336" width="9.140625" style="10"/>
    <col min="6337" max="6337" width="37.42578125" style="10" customWidth="1"/>
    <col min="6338" max="6338" width="13.5703125" style="10" customWidth="1"/>
    <col min="6339" max="6339" width="14.42578125" style="10" customWidth="1"/>
    <col min="6340" max="6340" width="8.42578125" style="10" bestFit="1" customWidth="1"/>
    <col min="6341" max="6341" width="16.85546875" style="10" customWidth="1"/>
    <col min="6342" max="6342" width="9.140625" style="10"/>
    <col min="6343" max="6343" width="11.28515625" style="10" customWidth="1"/>
    <col min="6344" max="6592" width="9.140625" style="10"/>
    <col min="6593" max="6593" width="37.42578125" style="10" customWidth="1"/>
    <col min="6594" max="6594" width="13.5703125" style="10" customWidth="1"/>
    <col min="6595" max="6595" width="14.42578125" style="10" customWidth="1"/>
    <col min="6596" max="6596" width="8.42578125" style="10" bestFit="1" customWidth="1"/>
    <col min="6597" max="6597" width="16.85546875" style="10" customWidth="1"/>
    <col min="6598" max="6598" width="9.140625" style="10"/>
    <col min="6599" max="6599" width="11.28515625" style="10" customWidth="1"/>
    <col min="6600" max="6848" width="9.140625" style="10"/>
    <col min="6849" max="6849" width="37.42578125" style="10" customWidth="1"/>
    <col min="6850" max="6850" width="13.5703125" style="10" customWidth="1"/>
    <col min="6851" max="6851" width="14.42578125" style="10" customWidth="1"/>
    <col min="6852" max="6852" width="8.42578125" style="10" bestFit="1" customWidth="1"/>
    <col min="6853" max="6853" width="16.85546875" style="10" customWidth="1"/>
    <col min="6854" max="6854" width="9.140625" style="10"/>
    <col min="6855" max="6855" width="11.28515625" style="10" customWidth="1"/>
    <col min="6856" max="7104" width="9.140625" style="10"/>
    <col min="7105" max="7105" width="37.42578125" style="10" customWidth="1"/>
    <col min="7106" max="7106" width="13.5703125" style="10" customWidth="1"/>
    <col min="7107" max="7107" width="14.42578125" style="10" customWidth="1"/>
    <col min="7108" max="7108" width="8.42578125" style="10" bestFit="1" customWidth="1"/>
    <col min="7109" max="7109" width="16.85546875" style="10" customWidth="1"/>
    <col min="7110" max="7110" width="9.140625" style="10"/>
    <col min="7111" max="7111" width="11.28515625" style="10" customWidth="1"/>
    <col min="7112" max="7360" width="9.140625" style="10"/>
    <col min="7361" max="7361" width="37.42578125" style="10" customWidth="1"/>
    <col min="7362" max="7362" width="13.5703125" style="10" customWidth="1"/>
    <col min="7363" max="7363" width="14.42578125" style="10" customWidth="1"/>
    <col min="7364" max="7364" width="8.42578125" style="10" bestFit="1" customWidth="1"/>
    <col min="7365" max="7365" width="16.85546875" style="10" customWidth="1"/>
    <col min="7366" max="7366" width="9.140625" style="10"/>
    <col min="7367" max="7367" width="11.28515625" style="10" customWidth="1"/>
    <col min="7368" max="7616" width="9.140625" style="10"/>
    <col min="7617" max="7617" width="37.42578125" style="10" customWidth="1"/>
    <col min="7618" max="7618" width="13.5703125" style="10" customWidth="1"/>
    <col min="7619" max="7619" width="14.42578125" style="10" customWidth="1"/>
    <col min="7620" max="7620" width="8.42578125" style="10" bestFit="1" customWidth="1"/>
    <col min="7621" max="7621" width="16.85546875" style="10" customWidth="1"/>
    <col min="7622" max="7622" width="9.140625" style="10"/>
    <col min="7623" max="7623" width="11.28515625" style="10" customWidth="1"/>
    <col min="7624" max="7872" width="9.140625" style="10"/>
    <col min="7873" max="7873" width="37.42578125" style="10" customWidth="1"/>
    <col min="7874" max="7874" width="13.5703125" style="10" customWidth="1"/>
    <col min="7875" max="7875" width="14.42578125" style="10" customWidth="1"/>
    <col min="7876" max="7876" width="8.42578125" style="10" bestFit="1" customWidth="1"/>
    <col min="7877" max="7877" width="16.85546875" style="10" customWidth="1"/>
    <col min="7878" max="7878" width="9.140625" style="10"/>
    <col min="7879" max="7879" width="11.28515625" style="10" customWidth="1"/>
    <col min="7880" max="8128" width="9.140625" style="10"/>
    <col min="8129" max="8129" width="37.42578125" style="10" customWidth="1"/>
    <col min="8130" max="8130" width="13.5703125" style="10" customWidth="1"/>
    <col min="8131" max="8131" width="14.42578125" style="10" customWidth="1"/>
    <col min="8132" max="8132" width="8.42578125" style="10" bestFit="1" customWidth="1"/>
    <col min="8133" max="8133" width="16.85546875" style="10" customWidth="1"/>
    <col min="8134" max="8134" width="9.140625" style="10"/>
    <col min="8135" max="8135" width="11.28515625" style="10" customWidth="1"/>
    <col min="8136" max="8384" width="9.140625" style="10"/>
    <col min="8385" max="8385" width="37.42578125" style="10" customWidth="1"/>
    <col min="8386" max="8386" width="13.5703125" style="10" customWidth="1"/>
    <col min="8387" max="8387" width="14.42578125" style="10" customWidth="1"/>
    <col min="8388" max="8388" width="8.42578125" style="10" bestFit="1" customWidth="1"/>
    <col min="8389" max="8389" width="16.85546875" style="10" customWidth="1"/>
    <col min="8390" max="8390" width="9.140625" style="10"/>
    <col min="8391" max="8391" width="11.28515625" style="10" customWidth="1"/>
    <col min="8392" max="8640" width="9.140625" style="10"/>
    <col min="8641" max="8641" width="37.42578125" style="10" customWidth="1"/>
    <col min="8642" max="8642" width="13.5703125" style="10" customWidth="1"/>
    <col min="8643" max="8643" width="14.42578125" style="10" customWidth="1"/>
    <col min="8644" max="8644" width="8.42578125" style="10" bestFit="1" customWidth="1"/>
    <col min="8645" max="8645" width="16.85546875" style="10" customWidth="1"/>
    <col min="8646" max="8646" width="9.140625" style="10"/>
    <col min="8647" max="8647" width="11.28515625" style="10" customWidth="1"/>
    <col min="8648" max="8896" width="9.140625" style="10"/>
    <col min="8897" max="8897" width="37.42578125" style="10" customWidth="1"/>
    <col min="8898" max="8898" width="13.5703125" style="10" customWidth="1"/>
    <col min="8899" max="8899" width="14.42578125" style="10" customWidth="1"/>
    <col min="8900" max="8900" width="8.42578125" style="10" bestFit="1" customWidth="1"/>
    <col min="8901" max="8901" width="16.85546875" style="10" customWidth="1"/>
    <col min="8902" max="8902" width="9.140625" style="10"/>
    <col min="8903" max="8903" width="11.28515625" style="10" customWidth="1"/>
    <col min="8904" max="9152" width="9.140625" style="10"/>
    <col min="9153" max="9153" width="37.42578125" style="10" customWidth="1"/>
    <col min="9154" max="9154" width="13.5703125" style="10" customWidth="1"/>
    <col min="9155" max="9155" width="14.42578125" style="10" customWidth="1"/>
    <col min="9156" max="9156" width="8.42578125" style="10" bestFit="1" customWidth="1"/>
    <col min="9157" max="9157" width="16.85546875" style="10" customWidth="1"/>
    <col min="9158" max="9158" width="9.140625" style="10"/>
    <col min="9159" max="9159" width="11.28515625" style="10" customWidth="1"/>
    <col min="9160" max="9408" width="9.140625" style="10"/>
    <col min="9409" max="9409" width="37.42578125" style="10" customWidth="1"/>
    <col min="9410" max="9410" width="13.5703125" style="10" customWidth="1"/>
    <col min="9411" max="9411" width="14.42578125" style="10" customWidth="1"/>
    <col min="9412" max="9412" width="8.42578125" style="10" bestFit="1" customWidth="1"/>
    <col min="9413" max="9413" width="16.85546875" style="10" customWidth="1"/>
    <col min="9414" max="9414" width="9.140625" style="10"/>
    <col min="9415" max="9415" width="11.28515625" style="10" customWidth="1"/>
    <col min="9416" max="9664" width="9.140625" style="10"/>
    <col min="9665" max="9665" width="37.42578125" style="10" customWidth="1"/>
    <col min="9666" max="9666" width="13.5703125" style="10" customWidth="1"/>
    <col min="9667" max="9667" width="14.42578125" style="10" customWidth="1"/>
    <col min="9668" max="9668" width="8.42578125" style="10" bestFit="1" customWidth="1"/>
    <col min="9669" max="9669" width="16.85546875" style="10" customWidth="1"/>
    <col min="9670" max="9670" width="9.140625" style="10"/>
    <col min="9671" max="9671" width="11.28515625" style="10" customWidth="1"/>
    <col min="9672" max="9920" width="9.140625" style="10"/>
    <col min="9921" max="9921" width="37.42578125" style="10" customWidth="1"/>
    <col min="9922" max="9922" width="13.5703125" style="10" customWidth="1"/>
    <col min="9923" max="9923" width="14.42578125" style="10" customWidth="1"/>
    <col min="9924" max="9924" width="8.42578125" style="10" bestFit="1" customWidth="1"/>
    <col min="9925" max="9925" width="16.85546875" style="10" customWidth="1"/>
    <col min="9926" max="9926" width="9.140625" style="10"/>
    <col min="9927" max="9927" width="11.28515625" style="10" customWidth="1"/>
    <col min="9928" max="10176" width="9.140625" style="10"/>
    <col min="10177" max="10177" width="37.42578125" style="10" customWidth="1"/>
    <col min="10178" max="10178" width="13.5703125" style="10" customWidth="1"/>
    <col min="10179" max="10179" width="14.42578125" style="10" customWidth="1"/>
    <col min="10180" max="10180" width="8.42578125" style="10" bestFit="1" customWidth="1"/>
    <col min="10181" max="10181" width="16.85546875" style="10" customWidth="1"/>
    <col min="10182" max="10182" width="9.140625" style="10"/>
    <col min="10183" max="10183" width="11.28515625" style="10" customWidth="1"/>
    <col min="10184" max="10432" width="9.140625" style="10"/>
    <col min="10433" max="10433" width="37.42578125" style="10" customWidth="1"/>
    <col min="10434" max="10434" width="13.5703125" style="10" customWidth="1"/>
    <col min="10435" max="10435" width="14.42578125" style="10" customWidth="1"/>
    <col min="10436" max="10436" width="8.42578125" style="10" bestFit="1" customWidth="1"/>
    <col min="10437" max="10437" width="16.85546875" style="10" customWidth="1"/>
    <col min="10438" max="10438" width="9.140625" style="10"/>
    <col min="10439" max="10439" width="11.28515625" style="10" customWidth="1"/>
    <col min="10440" max="10688" width="9.140625" style="10"/>
    <col min="10689" max="10689" width="37.42578125" style="10" customWidth="1"/>
    <col min="10690" max="10690" width="13.5703125" style="10" customWidth="1"/>
    <col min="10691" max="10691" width="14.42578125" style="10" customWidth="1"/>
    <col min="10692" max="10692" width="8.42578125" style="10" bestFit="1" customWidth="1"/>
    <col min="10693" max="10693" width="16.85546875" style="10" customWidth="1"/>
    <col min="10694" max="10694" width="9.140625" style="10"/>
    <col min="10695" max="10695" width="11.28515625" style="10" customWidth="1"/>
    <col min="10696" max="10944" width="9.140625" style="10"/>
    <col min="10945" max="10945" width="37.42578125" style="10" customWidth="1"/>
    <col min="10946" max="10946" width="13.5703125" style="10" customWidth="1"/>
    <col min="10947" max="10947" width="14.42578125" style="10" customWidth="1"/>
    <col min="10948" max="10948" width="8.42578125" style="10" bestFit="1" customWidth="1"/>
    <col min="10949" max="10949" width="16.85546875" style="10" customWidth="1"/>
    <col min="10950" max="10950" width="9.140625" style="10"/>
    <col min="10951" max="10951" width="11.28515625" style="10" customWidth="1"/>
    <col min="10952" max="11200" width="9.140625" style="10"/>
    <col min="11201" max="11201" width="37.42578125" style="10" customWidth="1"/>
    <col min="11202" max="11202" width="13.5703125" style="10" customWidth="1"/>
    <col min="11203" max="11203" width="14.42578125" style="10" customWidth="1"/>
    <col min="11204" max="11204" width="8.42578125" style="10" bestFit="1" customWidth="1"/>
    <col min="11205" max="11205" width="16.85546875" style="10" customWidth="1"/>
    <col min="11206" max="11206" width="9.140625" style="10"/>
    <col min="11207" max="11207" width="11.28515625" style="10" customWidth="1"/>
    <col min="11208" max="11456" width="9.140625" style="10"/>
    <col min="11457" max="11457" width="37.42578125" style="10" customWidth="1"/>
    <col min="11458" max="11458" width="13.5703125" style="10" customWidth="1"/>
    <col min="11459" max="11459" width="14.42578125" style="10" customWidth="1"/>
    <col min="11460" max="11460" width="8.42578125" style="10" bestFit="1" customWidth="1"/>
    <col min="11461" max="11461" width="16.85546875" style="10" customWidth="1"/>
    <col min="11462" max="11462" width="9.140625" style="10"/>
    <col min="11463" max="11463" width="11.28515625" style="10" customWidth="1"/>
    <col min="11464" max="11712" width="9.140625" style="10"/>
    <col min="11713" max="11713" width="37.42578125" style="10" customWidth="1"/>
    <col min="11714" max="11714" width="13.5703125" style="10" customWidth="1"/>
    <col min="11715" max="11715" width="14.42578125" style="10" customWidth="1"/>
    <col min="11716" max="11716" width="8.42578125" style="10" bestFit="1" customWidth="1"/>
    <col min="11717" max="11717" width="16.85546875" style="10" customWidth="1"/>
    <col min="11718" max="11718" width="9.140625" style="10"/>
    <col min="11719" max="11719" width="11.28515625" style="10" customWidth="1"/>
    <col min="11720" max="11968" width="9.140625" style="10"/>
    <col min="11969" max="11969" width="37.42578125" style="10" customWidth="1"/>
    <col min="11970" max="11970" width="13.5703125" style="10" customWidth="1"/>
    <col min="11971" max="11971" width="14.42578125" style="10" customWidth="1"/>
    <col min="11972" max="11972" width="8.42578125" style="10" bestFit="1" customWidth="1"/>
    <col min="11973" max="11973" width="16.85546875" style="10" customWidth="1"/>
    <col min="11974" max="11974" width="9.140625" style="10"/>
    <col min="11975" max="11975" width="11.28515625" style="10" customWidth="1"/>
    <col min="11976" max="12224" width="9.140625" style="10"/>
    <col min="12225" max="12225" width="37.42578125" style="10" customWidth="1"/>
    <col min="12226" max="12226" width="13.5703125" style="10" customWidth="1"/>
    <col min="12227" max="12227" width="14.42578125" style="10" customWidth="1"/>
    <col min="12228" max="12228" width="8.42578125" style="10" bestFit="1" customWidth="1"/>
    <col min="12229" max="12229" width="16.85546875" style="10" customWidth="1"/>
    <col min="12230" max="12230" width="9.140625" style="10"/>
    <col min="12231" max="12231" width="11.28515625" style="10" customWidth="1"/>
    <col min="12232" max="12480" width="9.140625" style="10"/>
    <col min="12481" max="12481" width="37.42578125" style="10" customWidth="1"/>
    <col min="12482" max="12482" width="13.5703125" style="10" customWidth="1"/>
    <col min="12483" max="12483" width="14.42578125" style="10" customWidth="1"/>
    <col min="12484" max="12484" width="8.42578125" style="10" bestFit="1" customWidth="1"/>
    <col min="12485" max="12485" width="16.85546875" style="10" customWidth="1"/>
    <col min="12486" max="12486" width="9.140625" style="10"/>
    <col min="12487" max="12487" width="11.28515625" style="10" customWidth="1"/>
    <col min="12488" max="12736" width="9.140625" style="10"/>
    <col min="12737" max="12737" width="37.42578125" style="10" customWidth="1"/>
    <col min="12738" max="12738" width="13.5703125" style="10" customWidth="1"/>
    <col min="12739" max="12739" width="14.42578125" style="10" customWidth="1"/>
    <col min="12740" max="12740" width="8.42578125" style="10" bestFit="1" customWidth="1"/>
    <col min="12741" max="12741" width="16.85546875" style="10" customWidth="1"/>
    <col min="12742" max="12742" width="9.140625" style="10"/>
    <col min="12743" max="12743" width="11.28515625" style="10" customWidth="1"/>
    <col min="12744" max="12992" width="9.140625" style="10"/>
    <col min="12993" max="12993" width="37.42578125" style="10" customWidth="1"/>
    <col min="12994" max="12994" width="13.5703125" style="10" customWidth="1"/>
    <col min="12995" max="12995" width="14.42578125" style="10" customWidth="1"/>
    <col min="12996" max="12996" width="8.42578125" style="10" bestFit="1" customWidth="1"/>
    <col min="12997" max="12997" width="16.85546875" style="10" customWidth="1"/>
    <col min="12998" max="12998" width="9.140625" style="10"/>
    <col min="12999" max="12999" width="11.28515625" style="10" customWidth="1"/>
    <col min="13000" max="13248" width="9.140625" style="10"/>
    <col min="13249" max="13249" width="37.42578125" style="10" customWidth="1"/>
    <col min="13250" max="13250" width="13.5703125" style="10" customWidth="1"/>
    <col min="13251" max="13251" width="14.42578125" style="10" customWidth="1"/>
    <col min="13252" max="13252" width="8.42578125" style="10" bestFit="1" customWidth="1"/>
    <col min="13253" max="13253" width="16.85546875" style="10" customWidth="1"/>
    <col min="13254" max="13254" width="9.140625" style="10"/>
    <col min="13255" max="13255" width="11.28515625" style="10" customWidth="1"/>
    <col min="13256" max="13504" width="9.140625" style="10"/>
    <col min="13505" max="13505" width="37.42578125" style="10" customWidth="1"/>
    <col min="13506" max="13506" width="13.5703125" style="10" customWidth="1"/>
    <col min="13507" max="13507" width="14.42578125" style="10" customWidth="1"/>
    <col min="13508" max="13508" width="8.42578125" style="10" bestFit="1" customWidth="1"/>
    <col min="13509" max="13509" width="16.85546875" style="10" customWidth="1"/>
    <col min="13510" max="13510" width="9.140625" style="10"/>
    <col min="13511" max="13511" width="11.28515625" style="10" customWidth="1"/>
    <col min="13512" max="13760" width="9.140625" style="10"/>
    <col min="13761" max="13761" width="37.42578125" style="10" customWidth="1"/>
    <col min="13762" max="13762" width="13.5703125" style="10" customWidth="1"/>
    <col min="13763" max="13763" width="14.42578125" style="10" customWidth="1"/>
    <col min="13764" max="13764" width="8.42578125" style="10" bestFit="1" customWidth="1"/>
    <col min="13765" max="13765" width="16.85546875" style="10" customWidth="1"/>
    <col min="13766" max="13766" width="9.140625" style="10"/>
    <col min="13767" max="13767" width="11.28515625" style="10" customWidth="1"/>
    <col min="13768" max="14016" width="9.140625" style="10"/>
    <col min="14017" max="14017" width="37.42578125" style="10" customWidth="1"/>
    <col min="14018" max="14018" width="13.5703125" style="10" customWidth="1"/>
    <col min="14019" max="14019" width="14.42578125" style="10" customWidth="1"/>
    <col min="14020" max="14020" width="8.42578125" style="10" bestFit="1" customWidth="1"/>
    <col min="14021" max="14021" width="16.85546875" style="10" customWidth="1"/>
    <col min="14022" max="14022" width="9.140625" style="10"/>
    <col min="14023" max="14023" width="11.28515625" style="10" customWidth="1"/>
    <col min="14024" max="14272" width="9.140625" style="10"/>
    <col min="14273" max="14273" width="37.42578125" style="10" customWidth="1"/>
    <col min="14274" max="14274" width="13.5703125" style="10" customWidth="1"/>
    <col min="14275" max="14275" width="14.42578125" style="10" customWidth="1"/>
    <col min="14276" max="14276" width="8.42578125" style="10" bestFit="1" customWidth="1"/>
    <col min="14277" max="14277" width="16.85546875" style="10" customWidth="1"/>
    <col min="14278" max="14278" width="9.140625" style="10"/>
    <col min="14279" max="14279" width="11.28515625" style="10" customWidth="1"/>
    <col min="14280" max="14528" width="9.140625" style="10"/>
    <col min="14529" max="14529" width="37.42578125" style="10" customWidth="1"/>
    <col min="14530" max="14530" width="13.5703125" style="10" customWidth="1"/>
    <col min="14531" max="14531" width="14.42578125" style="10" customWidth="1"/>
    <col min="14532" max="14532" width="8.42578125" style="10" bestFit="1" customWidth="1"/>
    <col min="14533" max="14533" width="16.85546875" style="10" customWidth="1"/>
    <col min="14534" max="14534" width="9.140625" style="10"/>
    <col min="14535" max="14535" width="11.28515625" style="10" customWidth="1"/>
    <col min="14536" max="14784" width="9.140625" style="10"/>
    <col min="14785" max="14785" width="37.42578125" style="10" customWidth="1"/>
    <col min="14786" max="14786" width="13.5703125" style="10" customWidth="1"/>
    <col min="14787" max="14787" width="14.42578125" style="10" customWidth="1"/>
    <col min="14788" max="14788" width="8.42578125" style="10" bestFit="1" customWidth="1"/>
    <col min="14789" max="14789" width="16.85546875" style="10" customWidth="1"/>
    <col min="14790" max="14790" width="9.140625" style="10"/>
    <col min="14791" max="14791" width="11.28515625" style="10" customWidth="1"/>
    <col min="14792" max="15040" width="9.140625" style="10"/>
    <col min="15041" max="15041" width="37.42578125" style="10" customWidth="1"/>
    <col min="15042" max="15042" width="13.5703125" style="10" customWidth="1"/>
    <col min="15043" max="15043" width="14.42578125" style="10" customWidth="1"/>
    <col min="15044" max="15044" width="8.42578125" style="10" bestFit="1" customWidth="1"/>
    <col min="15045" max="15045" width="16.85546875" style="10" customWidth="1"/>
    <col min="15046" max="15046" width="9.140625" style="10"/>
    <col min="15047" max="15047" width="11.28515625" style="10" customWidth="1"/>
    <col min="15048" max="15296" width="9.140625" style="10"/>
    <col min="15297" max="15297" width="37.42578125" style="10" customWidth="1"/>
    <col min="15298" max="15298" width="13.5703125" style="10" customWidth="1"/>
    <col min="15299" max="15299" width="14.42578125" style="10" customWidth="1"/>
    <col min="15300" max="15300" width="8.42578125" style="10" bestFit="1" customWidth="1"/>
    <col min="15301" max="15301" width="16.85546875" style="10" customWidth="1"/>
    <col min="15302" max="15302" width="9.140625" style="10"/>
    <col min="15303" max="15303" width="11.28515625" style="10" customWidth="1"/>
    <col min="15304" max="15552" width="9.140625" style="10"/>
    <col min="15553" max="15553" width="37.42578125" style="10" customWidth="1"/>
    <col min="15554" max="15554" width="13.5703125" style="10" customWidth="1"/>
    <col min="15555" max="15555" width="14.42578125" style="10" customWidth="1"/>
    <col min="15556" max="15556" width="8.42578125" style="10" bestFit="1" customWidth="1"/>
    <col min="15557" max="15557" width="16.85546875" style="10" customWidth="1"/>
    <col min="15558" max="15558" width="9.140625" style="10"/>
    <col min="15559" max="15559" width="11.28515625" style="10" customWidth="1"/>
    <col min="15560" max="15808" width="9.140625" style="10"/>
    <col min="15809" max="15809" width="37.42578125" style="10" customWidth="1"/>
    <col min="15810" max="15810" width="13.5703125" style="10" customWidth="1"/>
    <col min="15811" max="15811" width="14.42578125" style="10" customWidth="1"/>
    <col min="15812" max="15812" width="8.42578125" style="10" bestFit="1" customWidth="1"/>
    <col min="15813" max="15813" width="16.85546875" style="10" customWidth="1"/>
    <col min="15814" max="15814" width="9.140625" style="10"/>
    <col min="15815" max="15815" width="11.28515625" style="10" customWidth="1"/>
    <col min="15816" max="16064" width="9.140625" style="10"/>
    <col min="16065" max="16065" width="37.42578125" style="10" customWidth="1"/>
    <col min="16066" max="16066" width="13.5703125" style="10" customWidth="1"/>
    <col min="16067" max="16067" width="14.42578125" style="10" customWidth="1"/>
    <col min="16068" max="16068" width="8.42578125" style="10" bestFit="1" customWidth="1"/>
    <col min="16069" max="16069" width="16.85546875" style="10" customWidth="1"/>
    <col min="16070" max="16070" width="9.140625" style="10"/>
    <col min="16071" max="16071" width="11.28515625" style="10" customWidth="1"/>
    <col min="16072" max="16384" width="9.140625" style="10"/>
  </cols>
  <sheetData>
    <row r="1" spans="1:21" ht="15.75" x14ac:dyDescent="0.2">
      <c r="A1" s="685" t="s">
        <v>46</v>
      </c>
      <c r="B1" s="686"/>
      <c r="C1" s="686"/>
      <c r="D1" s="686"/>
      <c r="E1" s="687"/>
      <c r="F1" s="688"/>
      <c r="G1" s="9"/>
    </row>
    <row r="2" spans="1:21" x14ac:dyDescent="0.2">
      <c r="A2" s="12" t="s">
        <v>47</v>
      </c>
      <c r="B2" s="689" t="str">
        <f>'BOM R2D CatWalk'!I201</f>
        <v>WELDMENT, PC4100,42' CATWALK, RAMP B</v>
      </c>
      <c r="C2" s="690"/>
      <c r="D2" s="13"/>
      <c r="E2" s="13" t="s">
        <v>48</v>
      </c>
      <c r="F2" s="85"/>
    </row>
    <row r="3" spans="1:21" x14ac:dyDescent="0.2">
      <c r="A3" s="12" t="s">
        <v>49</v>
      </c>
      <c r="B3" s="689" t="str">
        <f>'BOM R2D CatWalk'!G201</f>
        <v>AY30130</v>
      </c>
      <c r="C3" s="690"/>
      <c r="D3" s="13"/>
      <c r="E3" s="13" t="s">
        <v>50</v>
      </c>
      <c r="F3" s="15">
        <f>'BOM R2D CatWalk'!K201</f>
        <v>1</v>
      </c>
      <c r="G3" s="9"/>
    </row>
    <row r="4" spans="1:21" ht="16.5" customHeight="1" thickBot="1" x14ac:dyDescent="0.25">
      <c r="A4" s="12" t="s">
        <v>51</v>
      </c>
      <c r="B4" s="86"/>
      <c r="C4" s="86">
        <f>'BOM R2D CatWalk'!N201</f>
        <v>4003</v>
      </c>
      <c r="D4" s="16"/>
      <c r="E4" s="147"/>
      <c r="F4" s="17"/>
      <c r="G4" s="9"/>
    </row>
    <row r="5" spans="1:21" ht="21.75" customHeight="1" thickBot="1" x14ac:dyDescent="0.25">
      <c r="A5" s="691" t="s">
        <v>52</v>
      </c>
      <c r="B5" s="692"/>
      <c r="C5" s="692"/>
      <c r="D5" s="692"/>
      <c r="E5" s="693"/>
      <c r="F5" s="694"/>
      <c r="G5" s="18"/>
      <c r="J5" s="661" t="s">
        <v>685</v>
      </c>
      <c r="K5" s="662"/>
      <c r="L5" s="662"/>
      <c r="M5" s="662"/>
      <c r="N5" s="662"/>
      <c r="O5" s="662"/>
      <c r="P5" s="662"/>
      <c r="Q5" s="499" t="str">
        <f>'RM Details'!H183</f>
        <v>AY30130</v>
      </c>
      <c r="R5" s="491"/>
      <c r="S5" s="491"/>
      <c r="T5" s="492"/>
    </row>
    <row r="6" spans="1:21" ht="26.25" thickBot="1" x14ac:dyDescent="0.25">
      <c r="A6" s="695" t="s">
        <v>53</v>
      </c>
      <c r="B6" s="696"/>
      <c r="C6" s="696"/>
      <c r="D6" s="696"/>
      <c r="E6" s="697"/>
      <c r="F6" s="698"/>
      <c r="G6" s="18"/>
      <c r="H6" s="19"/>
      <c r="I6" s="19"/>
      <c r="J6" s="500" t="s">
        <v>0</v>
      </c>
      <c r="K6" s="501" t="s">
        <v>13</v>
      </c>
      <c r="L6" s="501" t="s">
        <v>154</v>
      </c>
      <c r="M6" s="501" t="s">
        <v>544</v>
      </c>
      <c r="N6" s="502" t="s">
        <v>551</v>
      </c>
      <c r="O6" s="502" t="s">
        <v>552</v>
      </c>
      <c r="P6" s="501" t="s">
        <v>548</v>
      </c>
      <c r="Q6" s="501" t="s">
        <v>34</v>
      </c>
      <c r="R6" s="494" t="s">
        <v>549</v>
      </c>
      <c r="S6" s="494" t="s">
        <v>547</v>
      </c>
      <c r="T6" s="496" t="s">
        <v>156</v>
      </c>
    </row>
    <row r="7" spans="1:21" ht="26.25" thickBot="1" x14ac:dyDescent="0.25">
      <c r="A7" s="20" t="s">
        <v>54</v>
      </c>
      <c r="B7" s="21" t="s">
        <v>565</v>
      </c>
      <c r="C7" s="21" t="s">
        <v>566</v>
      </c>
      <c r="D7" s="21" t="s">
        <v>540</v>
      </c>
      <c r="E7" s="22" t="str">
        <f>M14</f>
        <v>AISI C1045</v>
      </c>
      <c r="F7" s="22" t="s">
        <v>567</v>
      </c>
      <c r="G7" s="18"/>
      <c r="H7" s="1"/>
      <c r="I7" s="1"/>
      <c r="J7" s="503">
        <v>1</v>
      </c>
      <c r="K7" s="504" t="s">
        <v>21</v>
      </c>
      <c r="L7" s="504">
        <v>6</v>
      </c>
      <c r="M7" s="504" t="s">
        <v>543</v>
      </c>
      <c r="N7" s="505">
        <f>'RM Details'!E185</f>
        <v>1.6</v>
      </c>
      <c r="O7" s="505">
        <f>'RM Details'!F185</f>
        <v>2.56671921</v>
      </c>
      <c r="P7" s="505"/>
      <c r="Q7" s="505"/>
      <c r="R7" s="145">
        <f>IF(P7&gt;O7,P7,IF(P7&lt;O7,O7))</f>
        <v>2.56671921</v>
      </c>
      <c r="S7" s="145">
        <v>90</v>
      </c>
      <c r="T7" s="370">
        <f t="shared" ref="T7" si="0">S7*R7</f>
        <v>231.0047289</v>
      </c>
    </row>
    <row r="8" spans="1:21" ht="17.25" customHeight="1" x14ac:dyDescent="0.2">
      <c r="A8" s="23" t="s">
        <v>55</v>
      </c>
      <c r="B8" s="24">
        <f>SUM(O7:O9)</f>
        <v>1607.8875492899999</v>
      </c>
      <c r="C8" s="73">
        <f>SUM(O10:O11)</f>
        <v>259.71541309999998</v>
      </c>
      <c r="D8" s="25">
        <f>SUM(O12:O13)</f>
        <v>950.36092800000006</v>
      </c>
      <c r="E8" s="148">
        <f>O14</f>
        <v>13.357740000000002</v>
      </c>
      <c r="F8" s="26">
        <f>O15+O16</f>
        <v>1982.9761600000002</v>
      </c>
      <c r="G8" s="18">
        <f>SUM(B8:F8)</f>
        <v>4814.29779039</v>
      </c>
      <c r="H8" s="1"/>
      <c r="I8" s="1"/>
      <c r="J8" s="503">
        <v>2</v>
      </c>
      <c r="K8" s="504" t="s">
        <v>21</v>
      </c>
      <c r="L8" s="504">
        <v>10</v>
      </c>
      <c r="M8" s="504" t="s">
        <v>543</v>
      </c>
      <c r="N8" s="505">
        <f>'RM Details'!E186</f>
        <v>978.4</v>
      </c>
      <c r="O8" s="505">
        <f>'RM Details'!F186</f>
        <v>1102.0318583999999</v>
      </c>
      <c r="P8" s="505"/>
      <c r="Q8" s="505"/>
      <c r="R8" s="145">
        <f>IF(P8&gt;O8,P8,IF(P8&lt;O8,O8))</f>
        <v>1102.0318583999999</v>
      </c>
      <c r="S8" s="145">
        <v>90</v>
      </c>
      <c r="T8" s="370">
        <f>S8*R8</f>
        <v>99182.867255999998</v>
      </c>
    </row>
    <row r="9" spans="1:21" ht="18" customHeight="1" x14ac:dyDescent="0.2">
      <c r="A9" s="27" t="s">
        <v>56</v>
      </c>
      <c r="B9" s="351">
        <f>SUM(N7:N9)</f>
        <v>1231.66848</v>
      </c>
      <c r="C9" s="149">
        <f>SUM(N10:N11)</f>
        <v>181.0556</v>
      </c>
      <c r="D9" s="149">
        <f>SUM(N12:N13)</f>
        <v>863.96447999999998</v>
      </c>
      <c r="E9" s="149">
        <f>N14</f>
        <v>11.2</v>
      </c>
      <c r="F9" s="74">
        <f>N15+N16</f>
        <v>1798.2208000000001</v>
      </c>
      <c r="G9" s="18">
        <f>SUM(B9:F9)</f>
        <v>4086.1093599999999</v>
      </c>
      <c r="H9" s="1"/>
      <c r="I9" s="1"/>
      <c r="J9" s="503">
        <v>3</v>
      </c>
      <c r="K9" s="504" t="s">
        <v>21</v>
      </c>
      <c r="L9" s="504">
        <v>12</v>
      </c>
      <c r="M9" s="504" t="s">
        <v>543</v>
      </c>
      <c r="N9" s="505">
        <f>'RM Details'!E187</f>
        <v>251.66847999999999</v>
      </c>
      <c r="O9" s="505">
        <f>'RM Details'!F187</f>
        <v>503.28897167999997</v>
      </c>
      <c r="P9" s="505"/>
      <c r="Q9" s="505"/>
      <c r="R9" s="145">
        <f>IF(P9&gt;O9,P9,IF(P9&lt;O9,O9))</f>
        <v>503.28897167999997</v>
      </c>
      <c r="S9" s="145">
        <v>90</v>
      </c>
      <c r="T9" s="370">
        <f t="shared" ref="T9:T16" si="1">S9*R9</f>
        <v>45296.007451199999</v>
      </c>
    </row>
    <row r="10" spans="1:21" ht="15.75" x14ac:dyDescent="0.2">
      <c r="A10" s="29" t="s">
        <v>57</v>
      </c>
      <c r="B10" s="78">
        <f t="shared" ref="B10:F10" si="2">(B8-B9)*80%</f>
        <v>300.97525543199993</v>
      </c>
      <c r="C10" s="30">
        <f t="shared" si="2"/>
        <v>62.927850479999989</v>
      </c>
      <c r="D10" s="30">
        <f t="shared" si="2"/>
        <v>69.117158400000065</v>
      </c>
      <c r="E10" s="30">
        <f t="shared" si="2"/>
        <v>1.7261920000000019</v>
      </c>
      <c r="F10" s="75">
        <f t="shared" si="2"/>
        <v>147.8042880000001</v>
      </c>
      <c r="G10" s="31">
        <f>(G8-G9)/G9</f>
        <v>0.17821070515596776</v>
      </c>
      <c r="H10" s="32"/>
      <c r="I10" s="32"/>
      <c r="J10" s="503">
        <v>4</v>
      </c>
      <c r="K10" s="504" t="s">
        <v>21</v>
      </c>
      <c r="L10" s="504">
        <v>12</v>
      </c>
      <c r="M10" s="504" t="s">
        <v>542</v>
      </c>
      <c r="N10" s="505">
        <f>'RM Details'!E188</f>
        <v>29.955599999999997</v>
      </c>
      <c r="O10" s="505">
        <f>'RM Details'!F188</f>
        <v>32.951160000000002</v>
      </c>
      <c r="P10" s="505"/>
      <c r="Q10" s="505"/>
      <c r="R10" s="145">
        <f t="shared" ref="R10:R16" si="3">IF(P10&gt;O10,P10,IF(P10&lt;O10,O10))</f>
        <v>32.951160000000002</v>
      </c>
      <c r="S10" s="145">
        <v>90</v>
      </c>
      <c r="T10" s="370">
        <f t="shared" si="1"/>
        <v>2965.6044000000002</v>
      </c>
    </row>
    <row r="11" spans="1:21" ht="15.75" x14ac:dyDescent="0.25">
      <c r="A11" s="33" t="s">
        <v>58</v>
      </c>
      <c r="B11" s="34">
        <v>90</v>
      </c>
      <c r="C11" s="35">
        <v>90</v>
      </c>
      <c r="D11" s="35">
        <v>200</v>
      </c>
      <c r="E11" s="35">
        <v>150</v>
      </c>
      <c r="F11" s="76">
        <v>120</v>
      </c>
      <c r="G11" s="18">
        <f>SUMPRODUCT(B11:F11,B8:F8)</f>
        <v>598117.25241510011</v>
      </c>
      <c r="H11"/>
      <c r="I11"/>
      <c r="J11" s="503">
        <v>5</v>
      </c>
      <c r="K11" s="504" t="s">
        <v>21</v>
      </c>
      <c r="L11" s="504">
        <v>20</v>
      </c>
      <c r="M11" s="504" t="s">
        <v>542</v>
      </c>
      <c r="N11" s="505">
        <f>'RM Details'!E189</f>
        <v>151.1</v>
      </c>
      <c r="O11" s="505">
        <f>'RM Details'!F189</f>
        <v>226.76425309999999</v>
      </c>
      <c r="P11" s="505"/>
      <c r="Q11" s="505"/>
      <c r="R11" s="145">
        <f t="shared" si="3"/>
        <v>226.76425309999999</v>
      </c>
      <c r="S11" s="145">
        <v>90</v>
      </c>
      <c r="T11" s="370">
        <f t="shared" si="1"/>
        <v>20408.782778999997</v>
      </c>
    </row>
    <row r="12" spans="1:21" ht="16.5" thickBot="1" x14ac:dyDescent="0.3">
      <c r="A12" s="29" t="s">
        <v>59</v>
      </c>
      <c r="B12" s="352">
        <v>30</v>
      </c>
      <c r="C12" s="353">
        <v>30</v>
      </c>
      <c r="D12" s="353">
        <v>30</v>
      </c>
      <c r="E12" s="353">
        <v>30</v>
      </c>
      <c r="F12" s="354">
        <v>30</v>
      </c>
      <c r="G12" s="18"/>
      <c r="H12"/>
      <c r="I12"/>
      <c r="J12" s="503">
        <v>6</v>
      </c>
      <c r="K12" s="504" t="s">
        <v>550</v>
      </c>
      <c r="L12" s="504" t="s">
        <v>774</v>
      </c>
      <c r="M12" s="504" t="s">
        <v>540</v>
      </c>
      <c r="N12" s="505">
        <f>'RM Details'!E190</f>
        <v>39.953759999999996</v>
      </c>
      <c r="O12" s="505">
        <f>'RM Details'!F190</f>
        <v>43.949135999999996</v>
      </c>
      <c r="P12" s="505">
        <f>17.71*6</f>
        <v>106.26</v>
      </c>
      <c r="Q12" s="505"/>
      <c r="R12" s="145">
        <f t="shared" si="3"/>
        <v>106.26</v>
      </c>
      <c r="S12" s="145">
        <v>200</v>
      </c>
      <c r="T12" s="370">
        <f t="shared" si="1"/>
        <v>21252</v>
      </c>
    </row>
    <row r="13" spans="1:21" ht="16.5" thickBot="1" x14ac:dyDescent="0.3">
      <c r="A13" s="36" t="s">
        <v>60</v>
      </c>
      <c r="B13" s="349">
        <f t="shared" ref="B13:F13" si="4">(B8*B11)-(B10*B12)</f>
        <v>135680.62177313998</v>
      </c>
      <c r="C13" s="349">
        <f t="shared" si="4"/>
        <v>21486.551664599996</v>
      </c>
      <c r="D13" s="349">
        <f t="shared" si="4"/>
        <v>187998.67084800004</v>
      </c>
      <c r="E13" s="349">
        <f t="shared" si="4"/>
        <v>1951.8752400000003</v>
      </c>
      <c r="F13" s="349">
        <f t="shared" si="4"/>
        <v>233523.01056000002</v>
      </c>
      <c r="G13" s="37">
        <f>SUM(B13:F13)</f>
        <v>580640.7300857401</v>
      </c>
      <c r="H13"/>
      <c r="I13"/>
      <c r="J13" s="503">
        <v>7</v>
      </c>
      <c r="K13" s="504" t="s">
        <v>550</v>
      </c>
      <c r="L13" s="504" t="s">
        <v>545</v>
      </c>
      <c r="M13" s="504" t="s">
        <v>540</v>
      </c>
      <c r="N13" s="505">
        <f>'RM Details'!E191</f>
        <v>824.01071999999999</v>
      </c>
      <c r="O13" s="505">
        <f>'RM Details'!F191</f>
        <v>906.4117920000001</v>
      </c>
      <c r="P13" s="505">
        <f>61.42*6</f>
        <v>368.52</v>
      </c>
      <c r="Q13" s="505"/>
      <c r="R13" s="145">
        <f t="shared" si="3"/>
        <v>906.4117920000001</v>
      </c>
      <c r="S13" s="145">
        <v>200</v>
      </c>
      <c r="T13" s="370">
        <f t="shared" si="1"/>
        <v>181282.35840000003</v>
      </c>
      <c r="U13" s="10">
        <f>(T12+T13)/(R12+R13)</f>
        <v>200</v>
      </c>
    </row>
    <row r="14" spans="1:21" ht="16.5" thickBot="1" x14ac:dyDescent="0.25">
      <c r="A14" s="38" t="s">
        <v>61</v>
      </c>
      <c r="B14" s="680">
        <f>SUM(B13:F13)</f>
        <v>580640.7300857401</v>
      </c>
      <c r="C14" s="681"/>
      <c r="D14" s="682"/>
      <c r="E14" s="683"/>
      <c r="F14" s="684"/>
      <c r="G14" s="39">
        <f>G13/G8</f>
        <v>120.60756425262657</v>
      </c>
      <c r="H14" s="32"/>
      <c r="I14" s="32"/>
      <c r="J14" s="503">
        <v>8</v>
      </c>
      <c r="K14" s="504" t="s">
        <v>799</v>
      </c>
      <c r="L14" s="504" t="s">
        <v>767</v>
      </c>
      <c r="M14" s="504" t="str">
        <f>'RM Details'!D192</f>
        <v>AISI C1045</v>
      </c>
      <c r="N14" s="505">
        <f>'RM Details'!E192</f>
        <v>11.2</v>
      </c>
      <c r="O14" s="505">
        <f>'RM Details'!F192</f>
        <v>13.357740000000002</v>
      </c>
      <c r="P14" s="505">
        <f>5.55*1</f>
        <v>5.55</v>
      </c>
      <c r="Q14" s="505"/>
      <c r="R14" s="145">
        <f t="shared" si="3"/>
        <v>13.357740000000002</v>
      </c>
      <c r="S14" s="145">
        <v>150</v>
      </c>
      <c r="T14" s="370">
        <f t="shared" si="1"/>
        <v>2003.6610000000003</v>
      </c>
    </row>
    <row r="15" spans="1:21" ht="15.75" x14ac:dyDescent="0.25">
      <c r="A15" s="663" t="s">
        <v>62</v>
      </c>
      <c r="B15" s="664"/>
      <c r="C15" s="664"/>
      <c r="D15" s="664"/>
      <c r="E15" s="665"/>
      <c r="F15" s="666"/>
      <c r="G15" s="18"/>
      <c r="H15"/>
      <c r="I15"/>
      <c r="J15" s="503">
        <v>9</v>
      </c>
      <c r="K15" s="504" t="s">
        <v>799</v>
      </c>
      <c r="L15" s="504" t="s">
        <v>796</v>
      </c>
      <c r="M15" s="504" t="s">
        <v>543</v>
      </c>
      <c r="N15" s="505">
        <f>'RM Details'!E193</f>
        <v>32.200000000000003</v>
      </c>
      <c r="O15" s="505">
        <f>'RM Details'!F193</f>
        <v>49.230719999999998</v>
      </c>
      <c r="P15" s="505">
        <f>124.32*1</f>
        <v>124.32</v>
      </c>
      <c r="Q15" s="505"/>
      <c r="R15" s="145">
        <f t="shared" si="3"/>
        <v>124.32</v>
      </c>
      <c r="S15" s="145">
        <v>120</v>
      </c>
      <c r="T15" s="370">
        <f t="shared" si="1"/>
        <v>14918.4</v>
      </c>
    </row>
    <row r="16" spans="1:21" ht="24.75" customHeight="1" x14ac:dyDescent="0.2">
      <c r="A16" s="474" t="s">
        <v>63</v>
      </c>
      <c r="B16" s="41"/>
      <c r="C16" s="41"/>
      <c r="D16" s="42"/>
      <c r="E16" s="150"/>
      <c r="F16" s="45"/>
      <c r="G16" s="18"/>
      <c r="H16" s="32"/>
      <c r="I16" s="32"/>
      <c r="J16" s="503">
        <v>10</v>
      </c>
      <c r="K16" s="504" t="s">
        <v>21</v>
      </c>
      <c r="L16" s="504" t="s">
        <v>738</v>
      </c>
      <c r="M16" s="504" t="s">
        <v>543</v>
      </c>
      <c r="N16" s="505">
        <f>'RM Details'!E194</f>
        <v>1766.0208</v>
      </c>
      <c r="O16" s="505">
        <f>'RM Details'!F194</f>
        <v>1933.7454400000001</v>
      </c>
      <c r="P16" s="505">
        <f>18.8*6</f>
        <v>112.80000000000001</v>
      </c>
      <c r="Q16" s="505"/>
      <c r="R16" s="145">
        <f t="shared" si="3"/>
        <v>1933.7454400000001</v>
      </c>
      <c r="S16" s="145">
        <v>120</v>
      </c>
      <c r="T16" s="370">
        <f t="shared" si="1"/>
        <v>232049.45280000003</v>
      </c>
    </row>
    <row r="17" spans="1:20" ht="20.25" customHeight="1" thickBot="1" x14ac:dyDescent="0.25">
      <c r="A17" s="667" t="s">
        <v>64</v>
      </c>
      <c r="B17" s="668"/>
      <c r="C17" s="668"/>
      <c r="D17" s="668"/>
      <c r="E17" s="151"/>
      <c r="F17" s="45">
        <f>SUM(F16:F16)</f>
        <v>0</v>
      </c>
      <c r="G17" s="84"/>
      <c r="J17" s="506"/>
      <c r="K17" s="507"/>
      <c r="L17" s="507" t="s">
        <v>45</v>
      </c>
      <c r="M17" s="507"/>
      <c r="N17" s="508">
        <f>SUM(N7:N16)</f>
        <v>4086.1093599999995</v>
      </c>
      <c r="O17" s="508">
        <f>SUM(O7:O16)</f>
        <v>4814.29779039</v>
      </c>
      <c r="P17" s="507"/>
      <c r="Q17" s="507"/>
      <c r="R17" s="373">
        <f>SUM(R7:R16)</f>
        <v>4951.6979343900002</v>
      </c>
      <c r="S17" s="375">
        <f>T17/R17</f>
        <v>125.12680438602469</v>
      </c>
      <c r="T17" s="373">
        <f>SUM(T7:T16)</f>
        <v>619590.13881510007</v>
      </c>
    </row>
    <row r="18" spans="1:20" ht="13.5" thickBot="1" x14ac:dyDescent="0.25">
      <c r="A18" s="669" t="s">
        <v>65</v>
      </c>
      <c r="B18" s="670"/>
      <c r="C18" s="670"/>
      <c r="D18" s="670"/>
      <c r="E18" s="152"/>
      <c r="F18" s="46">
        <f>B14+F17</f>
        <v>580640.7300857401</v>
      </c>
      <c r="G18" s="18"/>
    </row>
    <row r="19" spans="1:20" ht="22.5" customHeight="1" x14ac:dyDescent="0.2">
      <c r="A19" s="671" t="s">
        <v>66</v>
      </c>
      <c r="B19" s="672"/>
      <c r="C19" s="672"/>
      <c r="D19" s="672"/>
      <c r="E19" s="673"/>
      <c r="F19" s="674"/>
      <c r="G19" s="18"/>
    </row>
    <row r="20" spans="1:20" x14ac:dyDescent="0.2">
      <c r="A20" s="47" t="s">
        <v>54</v>
      </c>
      <c r="B20" s="48" t="s">
        <v>23</v>
      </c>
      <c r="C20" s="48"/>
      <c r="D20" s="49" t="s">
        <v>67</v>
      </c>
      <c r="E20" s="50"/>
      <c r="F20" s="51" t="s">
        <v>68</v>
      </c>
      <c r="G20" s="18"/>
    </row>
    <row r="21" spans="1:20" ht="18" customHeight="1" x14ac:dyDescent="0.2">
      <c r="A21" s="52" t="s">
        <v>69</v>
      </c>
      <c r="B21" s="53">
        <f>'BOM R2D CatWalk'!X201</f>
        <v>233.00992377380618</v>
      </c>
      <c r="C21" s="53"/>
      <c r="D21" s="54">
        <v>50</v>
      </c>
      <c r="E21" s="55"/>
      <c r="F21" s="45">
        <f t="shared" ref="F21:F27" si="5">B21*D21</f>
        <v>11650.496188690309</v>
      </c>
      <c r="G21" s="56"/>
      <c r="H21" s="69">
        <f>F21/$G$9</f>
        <v>2.8512443408245711</v>
      </c>
      <c r="I21" s="69"/>
    </row>
    <row r="22" spans="1:20" ht="20.25" customHeight="1" x14ac:dyDescent="0.2">
      <c r="A22" s="52" t="s">
        <v>70</v>
      </c>
      <c r="B22" s="53">
        <f>'BOM R2D CatWalk'!AB201/60+1</f>
        <v>3.3333333333333335</v>
      </c>
      <c r="C22" s="53"/>
      <c r="D22" s="54">
        <v>1000</v>
      </c>
      <c r="E22" s="55"/>
      <c r="F22" s="45">
        <f t="shared" si="5"/>
        <v>3333.3333333333335</v>
      </c>
      <c r="G22" s="56"/>
      <c r="H22" s="69">
        <f t="shared" ref="H22:H35" si="6">F22/$G$9</f>
        <v>0.81577193355719035</v>
      </c>
      <c r="I22" s="69"/>
    </row>
    <row r="23" spans="1:20" ht="18" customHeight="1" x14ac:dyDescent="0.2">
      <c r="A23" s="52" t="s">
        <v>71</v>
      </c>
      <c r="B23" s="53">
        <f>'BOM R2D CatWalk'!Z201</f>
        <v>12</v>
      </c>
      <c r="C23" s="53"/>
      <c r="D23" s="54">
        <v>100</v>
      </c>
      <c r="E23" s="55"/>
      <c r="F23" s="45">
        <f t="shared" si="5"/>
        <v>1200</v>
      </c>
      <c r="G23" s="79"/>
      <c r="H23" s="69">
        <f t="shared" si="6"/>
        <v>0.29367789608058853</v>
      </c>
      <c r="I23" s="69"/>
    </row>
    <row r="24" spans="1:20" ht="18" customHeight="1" x14ac:dyDescent="0.2">
      <c r="A24" s="52" t="s">
        <v>72</v>
      </c>
      <c r="B24" s="53">
        <v>502</v>
      </c>
      <c r="C24" s="53"/>
      <c r="D24" s="54">
        <v>300</v>
      </c>
      <c r="E24" s="55"/>
      <c r="F24" s="45">
        <f t="shared" si="5"/>
        <v>150600</v>
      </c>
      <c r="G24" s="56"/>
      <c r="H24" s="69">
        <f t="shared" si="6"/>
        <v>36.856575958113858</v>
      </c>
      <c r="I24" s="69"/>
    </row>
    <row r="25" spans="1:20" ht="18" customHeight="1" x14ac:dyDescent="0.2">
      <c r="A25" s="52" t="s">
        <v>73</v>
      </c>
      <c r="B25" s="53">
        <f>B24/12.5</f>
        <v>40.159999999999997</v>
      </c>
      <c r="C25" s="53"/>
      <c r="D25" s="54">
        <v>250</v>
      </c>
      <c r="E25" s="55"/>
      <c r="F25" s="45">
        <f t="shared" si="5"/>
        <v>10040</v>
      </c>
      <c r="G25" s="56"/>
      <c r="H25" s="69">
        <f t="shared" si="6"/>
        <v>2.4571050638742573</v>
      </c>
      <c r="I25" s="69"/>
    </row>
    <row r="26" spans="1:20" ht="18" customHeight="1" x14ac:dyDescent="0.2">
      <c r="A26" s="52" t="s">
        <v>74</v>
      </c>
      <c r="B26" s="53">
        <f>G9/95</f>
        <v>43.011677473684209</v>
      </c>
      <c r="C26" s="53"/>
      <c r="D26" s="54">
        <v>1200</v>
      </c>
      <c r="E26" s="55"/>
      <c r="F26" s="45">
        <f t="shared" si="5"/>
        <v>51614.012968421048</v>
      </c>
      <c r="G26" s="56"/>
      <c r="H26" s="69">
        <f t="shared" si="6"/>
        <v>12.631578947368419</v>
      </c>
      <c r="I26" s="69"/>
    </row>
    <row r="27" spans="1:20" x14ac:dyDescent="0.2">
      <c r="A27" s="57" t="s">
        <v>75</v>
      </c>
      <c r="B27" s="58"/>
      <c r="C27" s="58"/>
      <c r="D27" s="59">
        <v>250</v>
      </c>
      <c r="E27" s="60"/>
      <c r="F27" s="61">
        <f t="shared" si="5"/>
        <v>0</v>
      </c>
      <c r="G27" s="84" t="s">
        <v>76</v>
      </c>
      <c r="H27" s="69">
        <f t="shared" si="6"/>
        <v>0</v>
      </c>
      <c r="I27" s="69"/>
    </row>
    <row r="28" spans="1:20" ht="18" customHeight="1" x14ac:dyDescent="0.2">
      <c r="A28" s="52" t="s">
        <v>77</v>
      </c>
      <c r="B28" s="53"/>
      <c r="C28" s="53"/>
      <c r="D28" s="54">
        <v>5</v>
      </c>
      <c r="E28" s="55"/>
      <c r="F28" s="62">
        <f>D28*G9</f>
        <v>20430.5468</v>
      </c>
      <c r="G28" s="18"/>
      <c r="H28" s="69">
        <f t="shared" si="6"/>
        <v>5</v>
      </c>
      <c r="I28" s="69"/>
    </row>
    <row r="29" spans="1:20" ht="18" customHeight="1" x14ac:dyDescent="0.2">
      <c r="A29" s="52" t="s">
        <v>78</v>
      </c>
      <c r="B29" s="53">
        <v>0</v>
      </c>
      <c r="C29" s="53"/>
      <c r="D29" s="54">
        <v>50</v>
      </c>
      <c r="E29" s="55"/>
      <c r="F29" s="62">
        <f>B29*D29</f>
        <v>0</v>
      </c>
      <c r="G29" s="18"/>
      <c r="H29" s="69">
        <f t="shared" si="6"/>
        <v>0</v>
      </c>
      <c r="I29" s="69"/>
    </row>
    <row r="30" spans="1:20" ht="18" customHeight="1" x14ac:dyDescent="0.2">
      <c r="A30" s="52" t="s">
        <v>79</v>
      </c>
      <c r="B30" s="54">
        <f>'BOM R2D CatWalk'!AI201</f>
        <v>147.17993019999997</v>
      </c>
      <c r="C30" s="54"/>
      <c r="D30" s="54">
        <v>1200</v>
      </c>
      <c r="E30" s="55"/>
      <c r="F30" s="62">
        <f>B30*D30</f>
        <v>176615.91623999996</v>
      </c>
      <c r="G30" s="63" t="s">
        <v>133</v>
      </c>
      <c r="H30" s="69">
        <f t="shared" si="6"/>
        <v>43.223492246423859</v>
      </c>
      <c r="I30" s="69"/>
    </row>
    <row r="31" spans="1:20" ht="18" customHeight="1" x14ac:dyDescent="0.2">
      <c r="A31" s="52" t="s">
        <v>123</v>
      </c>
      <c r="B31" s="54">
        <f>15/60</f>
        <v>0.25</v>
      </c>
      <c r="C31" s="54"/>
      <c r="D31" s="54">
        <v>250</v>
      </c>
      <c r="E31" s="55"/>
      <c r="F31" s="45">
        <f>B31*D31</f>
        <v>62.5</v>
      </c>
      <c r="G31" s="63"/>
      <c r="H31" s="69">
        <f t="shared" si="6"/>
        <v>1.5295723754197318E-2</v>
      </c>
      <c r="I31" s="69"/>
    </row>
    <row r="32" spans="1:20" ht="18" customHeight="1" x14ac:dyDescent="0.2">
      <c r="A32" s="52" t="s">
        <v>135</v>
      </c>
      <c r="B32" s="54"/>
      <c r="C32" s="54"/>
      <c r="D32" s="54">
        <v>4.5</v>
      </c>
      <c r="E32" s="55"/>
      <c r="F32" s="45">
        <f>D32*G9</f>
        <v>18387.492119999999</v>
      </c>
      <c r="G32" s="63"/>
      <c r="H32" s="69">
        <f t="shared" si="6"/>
        <v>4.5</v>
      </c>
      <c r="I32" s="69"/>
    </row>
    <row r="33" spans="1:17" ht="19.5" customHeight="1" x14ac:dyDescent="0.2">
      <c r="A33" s="47" t="s">
        <v>152</v>
      </c>
      <c r="B33" s="64"/>
      <c r="C33" s="64"/>
      <c r="D33" s="65"/>
      <c r="E33" s="66"/>
      <c r="F33" s="67">
        <f>SUM(F21:F32)</f>
        <v>443934.29765044467</v>
      </c>
      <c r="G33" s="18"/>
      <c r="H33" s="69">
        <f t="shared" si="6"/>
        <v>108.64474210999695</v>
      </c>
      <c r="I33" s="69"/>
    </row>
    <row r="34" spans="1:17" ht="22.5" customHeight="1" x14ac:dyDescent="0.2">
      <c r="A34" s="675" t="s">
        <v>80</v>
      </c>
      <c r="B34" s="676"/>
      <c r="C34" s="676"/>
      <c r="D34" s="677"/>
      <c r="E34" s="476"/>
      <c r="F34" s="154">
        <f>F18+F33</f>
        <v>1024575.0277361848</v>
      </c>
      <c r="G34" s="68"/>
      <c r="H34" s="69"/>
      <c r="I34" s="69"/>
    </row>
    <row r="35" spans="1:17" x14ac:dyDescent="0.2">
      <c r="A35" s="83" t="s">
        <v>126</v>
      </c>
      <c r="B35" s="83"/>
      <c r="C35" s="83"/>
      <c r="D35" s="475"/>
      <c r="E35" s="156">
        <v>0.1</v>
      </c>
      <c r="F35" s="155">
        <f>F34*E35</f>
        <v>102457.50277361849</v>
      </c>
      <c r="G35" s="70"/>
      <c r="H35" s="69">
        <f t="shared" si="6"/>
        <v>25.074586543522781</v>
      </c>
      <c r="I35" s="69"/>
    </row>
    <row r="36" spans="1:17" x14ac:dyDescent="0.2">
      <c r="A36" s="83" t="s">
        <v>127</v>
      </c>
      <c r="B36" s="83"/>
      <c r="C36" s="83"/>
      <c r="D36" s="475"/>
      <c r="E36" s="475"/>
      <c r="F36" s="155">
        <f>SUM(F34:F35)</f>
        <v>1127032.5305098032</v>
      </c>
      <c r="G36" s="70"/>
      <c r="H36" s="69">
        <f>F36/G9</f>
        <v>275.82045197875055</v>
      </c>
      <c r="I36" s="69"/>
    </row>
    <row r="39" spans="1:17" ht="12.75" customHeight="1" thickBot="1" x14ac:dyDescent="0.25">
      <c r="G39" s="11" t="s">
        <v>81</v>
      </c>
      <c r="H39" s="44"/>
      <c r="I39" s="44"/>
    </row>
    <row r="40" spans="1:17" ht="12.75" customHeight="1" x14ac:dyDescent="0.2">
      <c r="A40" s="678" t="s">
        <v>82</v>
      </c>
      <c r="B40" s="679"/>
      <c r="C40" s="679"/>
      <c r="D40" s="679"/>
      <c r="E40" s="153"/>
      <c r="F40" s="71" t="s">
        <v>83</v>
      </c>
      <c r="G40" s="11" t="s">
        <v>81</v>
      </c>
      <c r="H40" s="44"/>
      <c r="I40" s="44"/>
    </row>
    <row r="41" spans="1:17" x14ac:dyDescent="0.2">
      <c r="A41" s="654" t="s">
        <v>134</v>
      </c>
      <c r="B41" s="655"/>
      <c r="C41" s="655"/>
      <c r="D41" s="655"/>
      <c r="E41" s="472"/>
      <c r="F41" s="72"/>
    </row>
    <row r="42" spans="1:17" ht="13.5" thickBot="1" x14ac:dyDescent="0.25">
      <c r="A42" s="656" t="s">
        <v>84</v>
      </c>
      <c r="B42" s="657"/>
      <c r="C42" s="657"/>
      <c r="D42" s="657"/>
      <c r="E42" s="473"/>
      <c r="F42" s="261" t="s">
        <v>85</v>
      </c>
    </row>
    <row r="43" spans="1:17" ht="20.100000000000001" customHeight="1" x14ac:dyDescent="0.2">
      <c r="H43" s="44"/>
      <c r="I43" s="44"/>
    </row>
    <row r="44" spans="1:17" s="44" customFormat="1" ht="18" customHeight="1" thickBot="1" x14ac:dyDescent="0.25">
      <c r="A44" s="10"/>
      <c r="B44" s="10"/>
      <c r="C44" s="10"/>
      <c r="D44" s="10"/>
      <c r="E44" s="10"/>
      <c r="F44" s="70"/>
      <c r="G44" s="14"/>
      <c r="H44" s="10"/>
      <c r="I44" s="10"/>
      <c r="J44" s="509"/>
      <c r="K44" s="509"/>
      <c r="L44" s="509"/>
      <c r="M44" s="509"/>
      <c r="N44" s="509"/>
      <c r="O44" s="509"/>
      <c r="P44" s="509"/>
      <c r="Q44" s="509"/>
    </row>
    <row r="45" spans="1:17" s="44" customFormat="1" ht="15.75" thickBot="1" x14ac:dyDescent="0.25">
      <c r="A45" s="658" t="s">
        <v>161</v>
      </c>
      <c r="B45" s="659"/>
      <c r="C45" s="659"/>
      <c r="D45" s="660"/>
      <c r="E45" s="10"/>
      <c r="F45" s="70"/>
      <c r="G45" s="14"/>
      <c r="H45" s="10"/>
      <c r="I45" s="10"/>
      <c r="J45" s="509"/>
      <c r="K45" s="509"/>
      <c r="L45" s="509"/>
      <c r="M45" s="509"/>
      <c r="N45" s="509"/>
      <c r="O45" s="509"/>
      <c r="P45" s="509"/>
      <c r="Q45" s="509"/>
    </row>
    <row r="46" spans="1:17" s="44" customFormat="1" ht="19.5" customHeight="1" thickBot="1" x14ac:dyDescent="0.25">
      <c r="A46" s="282" t="s">
        <v>125</v>
      </c>
      <c r="B46" s="283" t="s">
        <v>159</v>
      </c>
      <c r="C46" s="283" t="s">
        <v>155</v>
      </c>
      <c r="D46" s="284" t="s">
        <v>156</v>
      </c>
      <c r="F46" s="70"/>
      <c r="G46" s="14"/>
      <c r="H46" s="10"/>
      <c r="I46" s="10"/>
      <c r="J46" s="509"/>
      <c r="K46" s="509"/>
      <c r="L46" s="509"/>
      <c r="M46" s="509"/>
      <c r="N46" s="509"/>
      <c r="O46" s="509"/>
      <c r="P46" s="509"/>
      <c r="Q46" s="509"/>
    </row>
    <row r="47" spans="1:17" s="44" customFormat="1" ht="15.75" x14ac:dyDescent="0.2">
      <c r="A47" s="464" t="s">
        <v>124</v>
      </c>
      <c r="B47" s="464">
        <f>C4*1.2</f>
        <v>4803.5999999999995</v>
      </c>
      <c r="C47" s="465">
        <v>100</v>
      </c>
      <c r="D47" s="465">
        <f>B47*C47</f>
        <v>480359.99999999994</v>
      </c>
      <c r="F47" s="70"/>
      <c r="G47" s="14"/>
      <c r="H47" s="10"/>
      <c r="I47" s="10"/>
      <c r="J47" s="509"/>
      <c r="K47" s="509"/>
      <c r="L47" s="509"/>
      <c r="M47" s="509"/>
      <c r="N47" s="509"/>
      <c r="O47" s="509"/>
      <c r="P47" s="509"/>
      <c r="Q47" s="509"/>
    </row>
    <row r="48" spans="1:17" s="44" customFormat="1" ht="15.75" x14ac:dyDescent="0.2">
      <c r="A48" s="80" t="s">
        <v>713</v>
      </c>
      <c r="B48" s="80">
        <f>C4*0.1/2</f>
        <v>200.15</v>
      </c>
      <c r="C48" s="81">
        <v>200</v>
      </c>
      <c r="D48" s="81">
        <f>B48*C48</f>
        <v>40030</v>
      </c>
      <c r="F48" s="70"/>
      <c r="G48" s="14"/>
      <c r="H48" s="10"/>
      <c r="I48" s="10"/>
      <c r="J48" s="509"/>
      <c r="K48" s="509"/>
      <c r="L48" s="509"/>
      <c r="M48" s="509"/>
      <c r="N48" s="509"/>
      <c r="O48" s="509"/>
      <c r="P48" s="509"/>
      <c r="Q48" s="509"/>
    </row>
    <row r="49" spans="1:17" s="44" customFormat="1" ht="15.75" x14ac:dyDescent="0.2">
      <c r="A49" s="80" t="s">
        <v>162</v>
      </c>
      <c r="B49" s="80">
        <f>SUM(B47:B48)</f>
        <v>5003.7499999999991</v>
      </c>
      <c r="C49" s="81">
        <v>4.5</v>
      </c>
      <c r="D49" s="81">
        <f>B49*C49</f>
        <v>22516.874999999996</v>
      </c>
      <c r="F49" s="70"/>
      <c r="G49" s="14"/>
      <c r="H49" s="10"/>
      <c r="I49" s="10"/>
      <c r="J49" s="509"/>
      <c r="K49" s="509"/>
      <c r="L49" s="509"/>
      <c r="M49" s="509"/>
      <c r="N49" s="509"/>
      <c r="O49" s="509"/>
      <c r="P49" s="509"/>
      <c r="Q49" s="509"/>
    </row>
    <row r="50" spans="1:17" s="44" customFormat="1" ht="15.75" x14ac:dyDescent="0.2">
      <c r="A50" s="467" t="s">
        <v>163</v>
      </c>
      <c r="B50" s="286"/>
      <c r="C50" s="287"/>
      <c r="D50" s="287">
        <f>SUM(D47:D49)</f>
        <v>542906.87499999988</v>
      </c>
      <c r="F50" s="70"/>
      <c r="G50" s="14"/>
      <c r="H50" s="10"/>
      <c r="I50" s="10"/>
      <c r="J50" s="509"/>
      <c r="K50" s="509"/>
      <c r="L50" s="509"/>
      <c r="M50" s="509"/>
      <c r="N50" s="509"/>
      <c r="O50" s="509"/>
      <c r="P50" s="509"/>
      <c r="Q50" s="509"/>
    </row>
    <row r="51" spans="1:17" s="44" customFormat="1" ht="16.5" thickBot="1" x14ac:dyDescent="0.25">
      <c r="A51" s="463" t="s">
        <v>158</v>
      </c>
      <c r="B51" s="464">
        <v>7</v>
      </c>
      <c r="C51" s="465">
        <f>75000/30</f>
        <v>2500</v>
      </c>
      <c r="D51" s="466">
        <f>B51*C51</f>
        <v>17500</v>
      </c>
      <c r="E51" s="294"/>
      <c r="F51" s="70"/>
      <c r="G51" s="14"/>
      <c r="H51" s="10"/>
      <c r="I51" s="10"/>
      <c r="J51" s="509"/>
      <c r="K51" s="509"/>
      <c r="L51" s="509"/>
      <c r="M51" s="509"/>
      <c r="N51" s="509"/>
      <c r="O51" s="509"/>
      <c r="P51" s="509"/>
      <c r="Q51" s="509"/>
    </row>
    <row r="52" spans="1:17" s="44" customFormat="1" ht="16.5" thickBot="1" x14ac:dyDescent="0.25">
      <c r="A52" s="288" t="s">
        <v>126</v>
      </c>
      <c r="B52" s="276"/>
      <c r="C52" s="285">
        <v>2.5499999999999998E-2</v>
      </c>
      <c r="D52" s="277">
        <f>(D50+D51)*C52</f>
        <v>14290.375312499997</v>
      </c>
      <c r="F52" s="70"/>
      <c r="G52" s="14"/>
      <c r="H52" s="10"/>
      <c r="I52" s="10"/>
      <c r="J52" s="509"/>
      <c r="K52" s="509"/>
      <c r="L52" s="509"/>
      <c r="M52" s="509"/>
      <c r="N52" s="509"/>
      <c r="O52" s="509"/>
      <c r="P52" s="509"/>
      <c r="Q52" s="509"/>
    </row>
    <row r="53" spans="1:17" s="265" customFormat="1" ht="16.5" thickBot="1" x14ac:dyDescent="0.25">
      <c r="A53" s="278" t="s">
        <v>160</v>
      </c>
      <c r="B53" s="279"/>
      <c r="C53" s="280"/>
      <c r="D53" s="281">
        <f>SUM(D50:D52)</f>
        <v>574697.25031249993</v>
      </c>
      <c r="E53" s="295"/>
      <c r="F53" s="262"/>
      <c r="G53" s="263"/>
      <c r="H53" s="264"/>
      <c r="I53" s="264"/>
    </row>
    <row r="54" spans="1:17" s="44" customFormat="1" ht="25.5" customHeight="1" x14ac:dyDescent="0.2">
      <c r="A54" s="10"/>
      <c r="B54" s="10"/>
      <c r="C54" s="10"/>
      <c r="D54" s="10"/>
      <c r="E54" s="10"/>
      <c r="F54" s="70"/>
      <c r="G54" s="14"/>
      <c r="H54" s="10"/>
      <c r="I54" s="10"/>
      <c r="J54" s="509"/>
      <c r="K54" s="509"/>
      <c r="L54" s="509"/>
      <c r="M54" s="509"/>
      <c r="N54" s="509"/>
      <c r="O54" s="509"/>
      <c r="P54" s="509"/>
      <c r="Q54" s="509"/>
    </row>
  </sheetData>
  <sheetProtection selectLockedCells="1" selectUnlockedCells="1"/>
  <mergeCells count="16">
    <mergeCell ref="A1:F1"/>
    <mergeCell ref="B2:C2"/>
    <mergeCell ref="B3:C3"/>
    <mergeCell ref="A5:F5"/>
    <mergeCell ref="A6:F6"/>
    <mergeCell ref="A41:D41"/>
    <mergeCell ref="A42:D42"/>
    <mergeCell ref="A45:D45"/>
    <mergeCell ref="J5:P5"/>
    <mergeCell ref="A15:F15"/>
    <mergeCell ref="A17:D17"/>
    <mergeCell ref="A18:D18"/>
    <mergeCell ref="A19:F19"/>
    <mergeCell ref="A34:D34"/>
    <mergeCell ref="A40:D40"/>
    <mergeCell ref="B14:F1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R7:R11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A7C8-61B6-4456-9044-93F006BEE998}">
  <sheetPr>
    <pageSetUpPr fitToPage="1"/>
  </sheetPr>
  <dimension ref="A1:W54"/>
  <sheetViews>
    <sheetView zoomScale="85" zoomScaleNormal="85" zoomScaleSheetLayoutView="100" workbookViewId="0">
      <selection activeCell="C31" sqref="C31"/>
    </sheetView>
  </sheetViews>
  <sheetFormatPr defaultRowHeight="12.75" x14ac:dyDescent="0.2"/>
  <cols>
    <col min="1" max="1" width="44.42578125" style="10" bestFit="1" customWidth="1"/>
    <col min="2" max="2" width="27.140625" style="10" bestFit="1" customWidth="1"/>
    <col min="3" max="3" width="17.42578125" style="10" bestFit="1" customWidth="1"/>
    <col min="4" max="4" width="20" style="10" bestFit="1" customWidth="1"/>
    <col min="5" max="5" width="20" style="10" customWidth="1"/>
    <col min="6" max="6" width="18.5703125" style="70" bestFit="1" customWidth="1"/>
    <col min="7" max="7" width="20.5703125" style="14" bestFit="1" customWidth="1"/>
    <col min="8" max="8" width="10.140625" style="10" customWidth="1"/>
    <col min="9" max="9" width="8.85546875" style="10" customWidth="1"/>
    <col min="10" max="10" width="6.5703125" style="10" bestFit="1" customWidth="1"/>
    <col min="11" max="11" width="9.85546875" style="10" bestFit="1" customWidth="1"/>
    <col min="12" max="12" width="19.7109375" style="10" bestFit="1" customWidth="1"/>
    <col min="13" max="13" width="18.42578125" style="10" bestFit="1" customWidth="1"/>
    <col min="14" max="14" width="10.28515625" style="10" bestFit="1" customWidth="1"/>
    <col min="15" max="15" width="12.28515625" style="10" bestFit="1" customWidth="1"/>
    <col min="16" max="16" width="17.140625" style="10" bestFit="1" customWidth="1"/>
    <col min="17" max="17" width="11.140625" style="10" bestFit="1" customWidth="1"/>
    <col min="18" max="18" width="15.140625" style="10" bestFit="1" customWidth="1"/>
    <col min="19" max="19" width="10.42578125" style="10" bestFit="1" customWidth="1"/>
    <col min="20" max="20" width="14.85546875" style="10" bestFit="1" customWidth="1"/>
    <col min="21" max="21" width="23.85546875" style="10" customWidth="1"/>
    <col min="22" max="204" width="9.140625" style="10"/>
    <col min="205" max="205" width="37.42578125" style="10" customWidth="1"/>
    <col min="206" max="206" width="13.5703125" style="10" customWidth="1"/>
    <col min="207" max="207" width="14.42578125" style="10" customWidth="1"/>
    <col min="208" max="208" width="8.42578125" style="10" bestFit="1" customWidth="1"/>
    <col min="209" max="209" width="16.85546875" style="10" customWidth="1"/>
    <col min="210" max="210" width="9.140625" style="10"/>
    <col min="211" max="211" width="11.28515625" style="10" customWidth="1"/>
    <col min="212" max="460" width="9.140625" style="10"/>
    <col min="461" max="461" width="37.42578125" style="10" customWidth="1"/>
    <col min="462" max="462" width="13.5703125" style="10" customWidth="1"/>
    <col min="463" max="463" width="14.42578125" style="10" customWidth="1"/>
    <col min="464" max="464" width="8.42578125" style="10" bestFit="1" customWidth="1"/>
    <col min="465" max="465" width="16.85546875" style="10" customWidth="1"/>
    <col min="466" max="466" width="9.140625" style="10"/>
    <col min="467" max="467" width="11.28515625" style="10" customWidth="1"/>
    <col min="468" max="716" width="9.140625" style="10"/>
    <col min="717" max="717" width="37.42578125" style="10" customWidth="1"/>
    <col min="718" max="718" width="13.5703125" style="10" customWidth="1"/>
    <col min="719" max="719" width="14.42578125" style="10" customWidth="1"/>
    <col min="720" max="720" width="8.42578125" style="10" bestFit="1" customWidth="1"/>
    <col min="721" max="721" width="16.85546875" style="10" customWidth="1"/>
    <col min="722" max="722" width="9.140625" style="10"/>
    <col min="723" max="723" width="11.28515625" style="10" customWidth="1"/>
    <col min="724" max="972" width="9.140625" style="10"/>
    <col min="973" max="973" width="37.42578125" style="10" customWidth="1"/>
    <col min="974" max="974" width="13.5703125" style="10" customWidth="1"/>
    <col min="975" max="975" width="14.42578125" style="10" customWidth="1"/>
    <col min="976" max="976" width="8.42578125" style="10" bestFit="1" customWidth="1"/>
    <col min="977" max="977" width="16.85546875" style="10" customWidth="1"/>
    <col min="978" max="978" width="9.140625" style="10"/>
    <col min="979" max="979" width="11.28515625" style="10" customWidth="1"/>
    <col min="980" max="1228" width="9.140625" style="10"/>
    <col min="1229" max="1229" width="37.42578125" style="10" customWidth="1"/>
    <col min="1230" max="1230" width="13.5703125" style="10" customWidth="1"/>
    <col min="1231" max="1231" width="14.42578125" style="10" customWidth="1"/>
    <col min="1232" max="1232" width="8.42578125" style="10" bestFit="1" customWidth="1"/>
    <col min="1233" max="1233" width="16.85546875" style="10" customWidth="1"/>
    <col min="1234" max="1234" width="9.140625" style="10"/>
    <col min="1235" max="1235" width="11.28515625" style="10" customWidth="1"/>
    <col min="1236" max="1484" width="9.140625" style="10"/>
    <col min="1485" max="1485" width="37.42578125" style="10" customWidth="1"/>
    <col min="1486" max="1486" width="13.5703125" style="10" customWidth="1"/>
    <col min="1487" max="1487" width="14.42578125" style="10" customWidth="1"/>
    <col min="1488" max="1488" width="8.42578125" style="10" bestFit="1" customWidth="1"/>
    <col min="1489" max="1489" width="16.85546875" style="10" customWidth="1"/>
    <col min="1490" max="1490" width="9.140625" style="10"/>
    <col min="1491" max="1491" width="11.28515625" style="10" customWidth="1"/>
    <col min="1492" max="1740" width="9.140625" style="10"/>
    <col min="1741" max="1741" width="37.42578125" style="10" customWidth="1"/>
    <col min="1742" max="1742" width="13.5703125" style="10" customWidth="1"/>
    <col min="1743" max="1743" width="14.42578125" style="10" customWidth="1"/>
    <col min="1744" max="1744" width="8.42578125" style="10" bestFit="1" customWidth="1"/>
    <col min="1745" max="1745" width="16.85546875" style="10" customWidth="1"/>
    <col min="1746" max="1746" width="9.140625" style="10"/>
    <col min="1747" max="1747" width="11.28515625" style="10" customWidth="1"/>
    <col min="1748" max="1996" width="9.140625" style="10"/>
    <col min="1997" max="1997" width="37.42578125" style="10" customWidth="1"/>
    <col min="1998" max="1998" width="13.5703125" style="10" customWidth="1"/>
    <col min="1999" max="1999" width="14.42578125" style="10" customWidth="1"/>
    <col min="2000" max="2000" width="8.42578125" style="10" bestFit="1" customWidth="1"/>
    <col min="2001" max="2001" width="16.85546875" style="10" customWidth="1"/>
    <col min="2002" max="2002" width="9.140625" style="10"/>
    <col min="2003" max="2003" width="11.28515625" style="10" customWidth="1"/>
    <col min="2004" max="2252" width="9.140625" style="10"/>
    <col min="2253" max="2253" width="37.42578125" style="10" customWidth="1"/>
    <col min="2254" max="2254" width="13.5703125" style="10" customWidth="1"/>
    <col min="2255" max="2255" width="14.42578125" style="10" customWidth="1"/>
    <col min="2256" max="2256" width="8.42578125" style="10" bestFit="1" customWidth="1"/>
    <col min="2257" max="2257" width="16.85546875" style="10" customWidth="1"/>
    <col min="2258" max="2258" width="9.140625" style="10"/>
    <col min="2259" max="2259" width="11.28515625" style="10" customWidth="1"/>
    <col min="2260" max="2508" width="9.140625" style="10"/>
    <col min="2509" max="2509" width="37.42578125" style="10" customWidth="1"/>
    <col min="2510" max="2510" width="13.5703125" style="10" customWidth="1"/>
    <col min="2511" max="2511" width="14.42578125" style="10" customWidth="1"/>
    <col min="2512" max="2512" width="8.42578125" style="10" bestFit="1" customWidth="1"/>
    <col min="2513" max="2513" width="16.85546875" style="10" customWidth="1"/>
    <col min="2514" max="2514" width="9.140625" style="10"/>
    <col min="2515" max="2515" width="11.28515625" style="10" customWidth="1"/>
    <col min="2516" max="2764" width="9.140625" style="10"/>
    <col min="2765" max="2765" width="37.42578125" style="10" customWidth="1"/>
    <col min="2766" max="2766" width="13.5703125" style="10" customWidth="1"/>
    <col min="2767" max="2767" width="14.42578125" style="10" customWidth="1"/>
    <col min="2768" max="2768" width="8.42578125" style="10" bestFit="1" customWidth="1"/>
    <col min="2769" max="2769" width="16.85546875" style="10" customWidth="1"/>
    <col min="2770" max="2770" width="9.140625" style="10"/>
    <col min="2771" max="2771" width="11.28515625" style="10" customWidth="1"/>
    <col min="2772" max="3020" width="9.140625" style="10"/>
    <col min="3021" max="3021" width="37.42578125" style="10" customWidth="1"/>
    <col min="3022" max="3022" width="13.5703125" style="10" customWidth="1"/>
    <col min="3023" max="3023" width="14.42578125" style="10" customWidth="1"/>
    <col min="3024" max="3024" width="8.42578125" style="10" bestFit="1" customWidth="1"/>
    <col min="3025" max="3025" width="16.85546875" style="10" customWidth="1"/>
    <col min="3026" max="3026" width="9.140625" style="10"/>
    <col min="3027" max="3027" width="11.28515625" style="10" customWidth="1"/>
    <col min="3028" max="3276" width="9.140625" style="10"/>
    <col min="3277" max="3277" width="37.42578125" style="10" customWidth="1"/>
    <col min="3278" max="3278" width="13.5703125" style="10" customWidth="1"/>
    <col min="3279" max="3279" width="14.42578125" style="10" customWidth="1"/>
    <col min="3280" max="3280" width="8.42578125" style="10" bestFit="1" customWidth="1"/>
    <col min="3281" max="3281" width="16.85546875" style="10" customWidth="1"/>
    <col min="3282" max="3282" width="9.140625" style="10"/>
    <col min="3283" max="3283" width="11.28515625" style="10" customWidth="1"/>
    <col min="3284" max="3532" width="9.140625" style="10"/>
    <col min="3533" max="3533" width="37.42578125" style="10" customWidth="1"/>
    <col min="3534" max="3534" width="13.5703125" style="10" customWidth="1"/>
    <col min="3535" max="3535" width="14.42578125" style="10" customWidth="1"/>
    <col min="3536" max="3536" width="8.42578125" style="10" bestFit="1" customWidth="1"/>
    <col min="3537" max="3537" width="16.85546875" style="10" customWidth="1"/>
    <col min="3538" max="3538" width="9.140625" style="10"/>
    <col min="3539" max="3539" width="11.28515625" style="10" customWidth="1"/>
    <col min="3540" max="3788" width="9.140625" style="10"/>
    <col min="3789" max="3789" width="37.42578125" style="10" customWidth="1"/>
    <col min="3790" max="3790" width="13.5703125" style="10" customWidth="1"/>
    <col min="3791" max="3791" width="14.42578125" style="10" customWidth="1"/>
    <col min="3792" max="3792" width="8.42578125" style="10" bestFit="1" customWidth="1"/>
    <col min="3793" max="3793" width="16.85546875" style="10" customWidth="1"/>
    <col min="3794" max="3794" width="9.140625" style="10"/>
    <col min="3795" max="3795" width="11.28515625" style="10" customWidth="1"/>
    <col min="3796" max="4044" width="9.140625" style="10"/>
    <col min="4045" max="4045" width="37.42578125" style="10" customWidth="1"/>
    <col min="4046" max="4046" width="13.5703125" style="10" customWidth="1"/>
    <col min="4047" max="4047" width="14.42578125" style="10" customWidth="1"/>
    <col min="4048" max="4048" width="8.42578125" style="10" bestFit="1" customWidth="1"/>
    <col min="4049" max="4049" width="16.85546875" style="10" customWidth="1"/>
    <col min="4050" max="4050" width="9.140625" style="10"/>
    <col min="4051" max="4051" width="11.28515625" style="10" customWidth="1"/>
    <col min="4052" max="4300" width="9.140625" style="10"/>
    <col min="4301" max="4301" width="37.42578125" style="10" customWidth="1"/>
    <col min="4302" max="4302" width="13.5703125" style="10" customWidth="1"/>
    <col min="4303" max="4303" width="14.42578125" style="10" customWidth="1"/>
    <col min="4304" max="4304" width="8.42578125" style="10" bestFit="1" customWidth="1"/>
    <col min="4305" max="4305" width="16.85546875" style="10" customWidth="1"/>
    <col min="4306" max="4306" width="9.140625" style="10"/>
    <col min="4307" max="4307" width="11.28515625" style="10" customWidth="1"/>
    <col min="4308" max="4556" width="9.140625" style="10"/>
    <col min="4557" max="4557" width="37.42578125" style="10" customWidth="1"/>
    <col min="4558" max="4558" width="13.5703125" style="10" customWidth="1"/>
    <col min="4559" max="4559" width="14.42578125" style="10" customWidth="1"/>
    <col min="4560" max="4560" width="8.42578125" style="10" bestFit="1" customWidth="1"/>
    <col min="4561" max="4561" width="16.85546875" style="10" customWidth="1"/>
    <col min="4562" max="4562" width="9.140625" style="10"/>
    <col min="4563" max="4563" width="11.28515625" style="10" customWidth="1"/>
    <col min="4564" max="4812" width="9.140625" style="10"/>
    <col min="4813" max="4813" width="37.42578125" style="10" customWidth="1"/>
    <col min="4814" max="4814" width="13.5703125" style="10" customWidth="1"/>
    <col min="4815" max="4815" width="14.42578125" style="10" customWidth="1"/>
    <col min="4816" max="4816" width="8.42578125" style="10" bestFit="1" customWidth="1"/>
    <col min="4817" max="4817" width="16.85546875" style="10" customWidth="1"/>
    <col min="4818" max="4818" width="9.140625" style="10"/>
    <col min="4819" max="4819" width="11.28515625" style="10" customWidth="1"/>
    <col min="4820" max="5068" width="9.140625" style="10"/>
    <col min="5069" max="5069" width="37.42578125" style="10" customWidth="1"/>
    <col min="5070" max="5070" width="13.5703125" style="10" customWidth="1"/>
    <col min="5071" max="5071" width="14.42578125" style="10" customWidth="1"/>
    <col min="5072" max="5072" width="8.42578125" style="10" bestFit="1" customWidth="1"/>
    <col min="5073" max="5073" width="16.85546875" style="10" customWidth="1"/>
    <col min="5074" max="5074" width="9.140625" style="10"/>
    <col min="5075" max="5075" width="11.28515625" style="10" customWidth="1"/>
    <col min="5076" max="5324" width="9.140625" style="10"/>
    <col min="5325" max="5325" width="37.42578125" style="10" customWidth="1"/>
    <col min="5326" max="5326" width="13.5703125" style="10" customWidth="1"/>
    <col min="5327" max="5327" width="14.42578125" style="10" customWidth="1"/>
    <col min="5328" max="5328" width="8.42578125" style="10" bestFit="1" customWidth="1"/>
    <col min="5329" max="5329" width="16.85546875" style="10" customWidth="1"/>
    <col min="5330" max="5330" width="9.140625" style="10"/>
    <col min="5331" max="5331" width="11.28515625" style="10" customWidth="1"/>
    <col min="5332" max="5580" width="9.140625" style="10"/>
    <col min="5581" max="5581" width="37.42578125" style="10" customWidth="1"/>
    <col min="5582" max="5582" width="13.5703125" style="10" customWidth="1"/>
    <col min="5583" max="5583" width="14.42578125" style="10" customWidth="1"/>
    <col min="5584" max="5584" width="8.42578125" style="10" bestFit="1" customWidth="1"/>
    <col min="5585" max="5585" width="16.85546875" style="10" customWidth="1"/>
    <col min="5586" max="5586" width="9.140625" style="10"/>
    <col min="5587" max="5587" width="11.28515625" style="10" customWidth="1"/>
    <col min="5588" max="5836" width="9.140625" style="10"/>
    <col min="5837" max="5837" width="37.42578125" style="10" customWidth="1"/>
    <col min="5838" max="5838" width="13.5703125" style="10" customWidth="1"/>
    <col min="5839" max="5839" width="14.42578125" style="10" customWidth="1"/>
    <col min="5840" max="5840" width="8.42578125" style="10" bestFit="1" customWidth="1"/>
    <col min="5841" max="5841" width="16.85546875" style="10" customWidth="1"/>
    <col min="5842" max="5842" width="9.140625" style="10"/>
    <col min="5843" max="5843" width="11.28515625" style="10" customWidth="1"/>
    <col min="5844" max="6092" width="9.140625" style="10"/>
    <col min="6093" max="6093" width="37.42578125" style="10" customWidth="1"/>
    <col min="6094" max="6094" width="13.5703125" style="10" customWidth="1"/>
    <col min="6095" max="6095" width="14.42578125" style="10" customWidth="1"/>
    <col min="6096" max="6096" width="8.42578125" style="10" bestFit="1" customWidth="1"/>
    <col min="6097" max="6097" width="16.85546875" style="10" customWidth="1"/>
    <col min="6098" max="6098" width="9.140625" style="10"/>
    <col min="6099" max="6099" width="11.28515625" style="10" customWidth="1"/>
    <col min="6100" max="6348" width="9.140625" style="10"/>
    <col min="6349" max="6349" width="37.42578125" style="10" customWidth="1"/>
    <col min="6350" max="6350" width="13.5703125" style="10" customWidth="1"/>
    <col min="6351" max="6351" width="14.42578125" style="10" customWidth="1"/>
    <col min="6352" max="6352" width="8.42578125" style="10" bestFit="1" customWidth="1"/>
    <col min="6353" max="6353" width="16.85546875" style="10" customWidth="1"/>
    <col min="6354" max="6354" width="9.140625" style="10"/>
    <col min="6355" max="6355" width="11.28515625" style="10" customWidth="1"/>
    <col min="6356" max="6604" width="9.140625" style="10"/>
    <col min="6605" max="6605" width="37.42578125" style="10" customWidth="1"/>
    <col min="6606" max="6606" width="13.5703125" style="10" customWidth="1"/>
    <col min="6607" max="6607" width="14.42578125" style="10" customWidth="1"/>
    <col min="6608" max="6608" width="8.42578125" style="10" bestFit="1" customWidth="1"/>
    <col min="6609" max="6609" width="16.85546875" style="10" customWidth="1"/>
    <col min="6610" max="6610" width="9.140625" style="10"/>
    <col min="6611" max="6611" width="11.28515625" style="10" customWidth="1"/>
    <col min="6612" max="6860" width="9.140625" style="10"/>
    <col min="6861" max="6861" width="37.42578125" style="10" customWidth="1"/>
    <col min="6862" max="6862" width="13.5703125" style="10" customWidth="1"/>
    <col min="6863" max="6863" width="14.42578125" style="10" customWidth="1"/>
    <col min="6864" max="6864" width="8.42578125" style="10" bestFit="1" customWidth="1"/>
    <col min="6865" max="6865" width="16.85546875" style="10" customWidth="1"/>
    <col min="6866" max="6866" width="9.140625" style="10"/>
    <col min="6867" max="6867" width="11.28515625" style="10" customWidth="1"/>
    <col min="6868" max="7116" width="9.140625" style="10"/>
    <col min="7117" max="7117" width="37.42578125" style="10" customWidth="1"/>
    <col min="7118" max="7118" width="13.5703125" style="10" customWidth="1"/>
    <col min="7119" max="7119" width="14.42578125" style="10" customWidth="1"/>
    <col min="7120" max="7120" width="8.42578125" style="10" bestFit="1" customWidth="1"/>
    <col min="7121" max="7121" width="16.85546875" style="10" customWidth="1"/>
    <col min="7122" max="7122" width="9.140625" style="10"/>
    <col min="7123" max="7123" width="11.28515625" style="10" customWidth="1"/>
    <col min="7124" max="7372" width="9.140625" style="10"/>
    <col min="7373" max="7373" width="37.42578125" style="10" customWidth="1"/>
    <col min="7374" max="7374" width="13.5703125" style="10" customWidth="1"/>
    <col min="7375" max="7375" width="14.42578125" style="10" customWidth="1"/>
    <col min="7376" max="7376" width="8.42578125" style="10" bestFit="1" customWidth="1"/>
    <col min="7377" max="7377" width="16.85546875" style="10" customWidth="1"/>
    <col min="7378" max="7378" width="9.140625" style="10"/>
    <col min="7379" max="7379" width="11.28515625" style="10" customWidth="1"/>
    <col min="7380" max="7628" width="9.140625" style="10"/>
    <col min="7629" max="7629" width="37.42578125" style="10" customWidth="1"/>
    <col min="7630" max="7630" width="13.5703125" style="10" customWidth="1"/>
    <col min="7631" max="7631" width="14.42578125" style="10" customWidth="1"/>
    <col min="7632" max="7632" width="8.42578125" style="10" bestFit="1" customWidth="1"/>
    <col min="7633" max="7633" width="16.85546875" style="10" customWidth="1"/>
    <col min="7634" max="7634" width="9.140625" style="10"/>
    <col min="7635" max="7635" width="11.28515625" style="10" customWidth="1"/>
    <col min="7636" max="7884" width="9.140625" style="10"/>
    <col min="7885" max="7885" width="37.42578125" style="10" customWidth="1"/>
    <col min="7886" max="7886" width="13.5703125" style="10" customWidth="1"/>
    <col min="7887" max="7887" width="14.42578125" style="10" customWidth="1"/>
    <col min="7888" max="7888" width="8.42578125" style="10" bestFit="1" customWidth="1"/>
    <col min="7889" max="7889" width="16.85546875" style="10" customWidth="1"/>
    <col min="7890" max="7890" width="9.140625" style="10"/>
    <col min="7891" max="7891" width="11.28515625" style="10" customWidth="1"/>
    <col min="7892" max="8140" width="9.140625" style="10"/>
    <col min="8141" max="8141" width="37.42578125" style="10" customWidth="1"/>
    <col min="8142" max="8142" width="13.5703125" style="10" customWidth="1"/>
    <col min="8143" max="8143" width="14.42578125" style="10" customWidth="1"/>
    <col min="8144" max="8144" width="8.42578125" style="10" bestFit="1" customWidth="1"/>
    <col min="8145" max="8145" width="16.85546875" style="10" customWidth="1"/>
    <col min="8146" max="8146" width="9.140625" style="10"/>
    <col min="8147" max="8147" width="11.28515625" style="10" customWidth="1"/>
    <col min="8148" max="8396" width="9.140625" style="10"/>
    <col min="8397" max="8397" width="37.42578125" style="10" customWidth="1"/>
    <col min="8398" max="8398" width="13.5703125" style="10" customWidth="1"/>
    <col min="8399" max="8399" width="14.42578125" style="10" customWidth="1"/>
    <col min="8400" max="8400" width="8.42578125" style="10" bestFit="1" customWidth="1"/>
    <col min="8401" max="8401" width="16.85546875" style="10" customWidth="1"/>
    <col min="8402" max="8402" width="9.140625" style="10"/>
    <col min="8403" max="8403" width="11.28515625" style="10" customWidth="1"/>
    <col min="8404" max="8652" width="9.140625" style="10"/>
    <col min="8653" max="8653" width="37.42578125" style="10" customWidth="1"/>
    <col min="8654" max="8654" width="13.5703125" style="10" customWidth="1"/>
    <col min="8655" max="8655" width="14.42578125" style="10" customWidth="1"/>
    <col min="8656" max="8656" width="8.42578125" style="10" bestFit="1" customWidth="1"/>
    <col min="8657" max="8657" width="16.85546875" style="10" customWidth="1"/>
    <col min="8658" max="8658" width="9.140625" style="10"/>
    <col min="8659" max="8659" width="11.28515625" style="10" customWidth="1"/>
    <col min="8660" max="8908" width="9.140625" style="10"/>
    <col min="8909" max="8909" width="37.42578125" style="10" customWidth="1"/>
    <col min="8910" max="8910" width="13.5703125" style="10" customWidth="1"/>
    <col min="8911" max="8911" width="14.42578125" style="10" customWidth="1"/>
    <col min="8912" max="8912" width="8.42578125" style="10" bestFit="1" customWidth="1"/>
    <col min="8913" max="8913" width="16.85546875" style="10" customWidth="1"/>
    <col min="8914" max="8914" width="9.140625" style="10"/>
    <col min="8915" max="8915" width="11.28515625" style="10" customWidth="1"/>
    <col min="8916" max="9164" width="9.140625" style="10"/>
    <col min="9165" max="9165" width="37.42578125" style="10" customWidth="1"/>
    <col min="9166" max="9166" width="13.5703125" style="10" customWidth="1"/>
    <col min="9167" max="9167" width="14.42578125" style="10" customWidth="1"/>
    <col min="9168" max="9168" width="8.42578125" style="10" bestFit="1" customWidth="1"/>
    <col min="9169" max="9169" width="16.85546875" style="10" customWidth="1"/>
    <col min="9170" max="9170" width="9.140625" style="10"/>
    <col min="9171" max="9171" width="11.28515625" style="10" customWidth="1"/>
    <col min="9172" max="9420" width="9.140625" style="10"/>
    <col min="9421" max="9421" width="37.42578125" style="10" customWidth="1"/>
    <col min="9422" max="9422" width="13.5703125" style="10" customWidth="1"/>
    <col min="9423" max="9423" width="14.42578125" style="10" customWidth="1"/>
    <col min="9424" max="9424" width="8.42578125" style="10" bestFit="1" customWidth="1"/>
    <col min="9425" max="9425" width="16.85546875" style="10" customWidth="1"/>
    <col min="9426" max="9426" width="9.140625" style="10"/>
    <col min="9427" max="9427" width="11.28515625" style="10" customWidth="1"/>
    <col min="9428" max="9676" width="9.140625" style="10"/>
    <col min="9677" max="9677" width="37.42578125" style="10" customWidth="1"/>
    <col min="9678" max="9678" width="13.5703125" style="10" customWidth="1"/>
    <col min="9679" max="9679" width="14.42578125" style="10" customWidth="1"/>
    <col min="9680" max="9680" width="8.42578125" style="10" bestFit="1" customWidth="1"/>
    <col min="9681" max="9681" width="16.85546875" style="10" customWidth="1"/>
    <col min="9682" max="9682" width="9.140625" style="10"/>
    <col min="9683" max="9683" width="11.28515625" style="10" customWidth="1"/>
    <col min="9684" max="9932" width="9.140625" style="10"/>
    <col min="9933" max="9933" width="37.42578125" style="10" customWidth="1"/>
    <col min="9934" max="9934" width="13.5703125" style="10" customWidth="1"/>
    <col min="9935" max="9935" width="14.42578125" style="10" customWidth="1"/>
    <col min="9936" max="9936" width="8.42578125" style="10" bestFit="1" customWidth="1"/>
    <col min="9937" max="9937" width="16.85546875" style="10" customWidth="1"/>
    <col min="9938" max="9938" width="9.140625" style="10"/>
    <col min="9939" max="9939" width="11.28515625" style="10" customWidth="1"/>
    <col min="9940" max="10188" width="9.140625" style="10"/>
    <col min="10189" max="10189" width="37.42578125" style="10" customWidth="1"/>
    <col min="10190" max="10190" width="13.5703125" style="10" customWidth="1"/>
    <col min="10191" max="10191" width="14.42578125" style="10" customWidth="1"/>
    <col min="10192" max="10192" width="8.42578125" style="10" bestFit="1" customWidth="1"/>
    <col min="10193" max="10193" width="16.85546875" style="10" customWidth="1"/>
    <col min="10194" max="10194" width="9.140625" style="10"/>
    <col min="10195" max="10195" width="11.28515625" style="10" customWidth="1"/>
    <col min="10196" max="10444" width="9.140625" style="10"/>
    <col min="10445" max="10445" width="37.42578125" style="10" customWidth="1"/>
    <col min="10446" max="10446" width="13.5703125" style="10" customWidth="1"/>
    <col min="10447" max="10447" width="14.42578125" style="10" customWidth="1"/>
    <col min="10448" max="10448" width="8.42578125" style="10" bestFit="1" customWidth="1"/>
    <col min="10449" max="10449" width="16.85546875" style="10" customWidth="1"/>
    <col min="10450" max="10450" width="9.140625" style="10"/>
    <col min="10451" max="10451" width="11.28515625" style="10" customWidth="1"/>
    <col min="10452" max="10700" width="9.140625" style="10"/>
    <col min="10701" max="10701" width="37.42578125" style="10" customWidth="1"/>
    <col min="10702" max="10702" width="13.5703125" style="10" customWidth="1"/>
    <col min="10703" max="10703" width="14.42578125" style="10" customWidth="1"/>
    <col min="10704" max="10704" width="8.42578125" style="10" bestFit="1" customWidth="1"/>
    <col min="10705" max="10705" width="16.85546875" style="10" customWidth="1"/>
    <col min="10706" max="10706" width="9.140625" style="10"/>
    <col min="10707" max="10707" width="11.28515625" style="10" customWidth="1"/>
    <col min="10708" max="10956" width="9.140625" style="10"/>
    <col min="10957" max="10957" width="37.42578125" style="10" customWidth="1"/>
    <col min="10958" max="10958" width="13.5703125" style="10" customWidth="1"/>
    <col min="10959" max="10959" width="14.42578125" style="10" customWidth="1"/>
    <col min="10960" max="10960" width="8.42578125" style="10" bestFit="1" customWidth="1"/>
    <col min="10961" max="10961" width="16.85546875" style="10" customWidth="1"/>
    <col min="10962" max="10962" width="9.140625" style="10"/>
    <col min="10963" max="10963" width="11.28515625" style="10" customWidth="1"/>
    <col min="10964" max="11212" width="9.140625" style="10"/>
    <col min="11213" max="11213" width="37.42578125" style="10" customWidth="1"/>
    <col min="11214" max="11214" width="13.5703125" style="10" customWidth="1"/>
    <col min="11215" max="11215" width="14.42578125" style="10" customWidth="1"/>
    <col min="11216" max="11216" width="8.42578125" style="10" bestFit="1" customWidth="1"/>
    <col min="11217" max="11217" width="16.85546875" style="10" customWidth="1"/>
    <col min="11218" max="11218" width="9.140625" style="10"/>
    <col min="11219" max="11219" width="11.28515625" style="10" customWidth="1"/>
    <col min="11220" max="11468" width="9.140625" style="10"/>
    <col min="11469" max="11469" width="37.42578125" style="10" customWidth="1"/>
    <col min="11470" max="11470" width="13.5703125" style="10" customWidth="1"/>
    <col min="11471" max="11471" width="14.42578125" style="10" customWidth="1"/>
    <col min="11472" max="11472" width="8.42578125" style="10" bestFit="1" customWidth="1"/>
    <col min="11473" max="11473" width="16.85546875" style="10" customWidth="1"/>
    <col min="11474" max="11474" width="9.140625" style="10"/>
    <col min="11475" max="11475" width="11.28515625" style="10" customWidth="1"/>
    <col min="11476" max="11724" width="9.140625" style="10"/>
    <col min="11725" max="11725" width="37.42578125" style="10" customWidth="1"/>
    <col min="11726" max="11726" width="13.5703125" style="10" customWidth="1"/>
    <col min="11727" max="11727" width="14.42578125" style="10" customWidth="1"/>
    <col min="11728" max="11728" width="8.42578125" style="10" bestFit="1" customWidth="1"/>
    <col min="11729" max="11729" width="16.85546875" style="10" customWidth="1"/>
    <col min="11730" max="11730" width="9.140625" style="10"/>
    <col min="11731" max="11731" width="11.28515625" style="10" customWidth="1"/>
    <col min="11732" max="11980" width="9.140625" style="10"/>
    <col min="11981" max="11981" width="37.42578125" style="10" customWidth="1"/>
    <col min="11982" max="11982" width="13.5703125" style="10" customWidth="1"/>
    <col min="11983" max="11983" width="14.42578125" style="10" customWidth="1"/>
    <col min="11984" max="11984" width="8.42578125" style="10" bestFit="1" customWidth="1"/>
    <col min="11985" max="11985" width="16.85546875" style="10" customWidth="1"/>
    <col min="11986" max="11986" width="9.140625" style="10"/>
    <col min="11987" max="11987" width="11.28515625" style="10" customWidth="1"/>
    <col min="11988" max="12236" width="9.140625" style="10"/>
    <col min="12237" max="12237" width="37.42578125" style="10" customWidth="1"/>
    <col min="12238" max="12238" width="13.5703125" style="10" customWidth="1"/>
    <col min="12239" max="12239" width="14.42578125" style="10" customWidth="1"/>
    <col min="12240" max="12240" width="8.42578125" style="10" bestFit="1" customWidth="1"/>
    <col min="12241" max="12241" width="16.85546875" style="10" customWidth="1"/>
    <col min="12242" max="12242" width="9.140625" style="10"/>
    <col min="12243" max="12243" width="11.28515625" style="10" customWidth="1"/>
    <col min="12244" max="12492" width="9.140625" style="10"/>
    <col min="12493" max="12493" width="37.42578125" style="10" customWidth="1"/>
    <col min="12494" max="12494" width="13.5703125" style="10" customWidth="1"/>
    <col min="12495" max="12495" width="14.42578125" style="10" customWidth="1"/>
    <col min="12496" max="12496" width="8.42578125" style="10" bestFit="1" customWidth="1"/>
    <col min="12497" max="12497" width="16.85546875" style="10" customWidth="1"/>
    <col min="12498" max="12498" width="9.140625" style="10"/>
    <col min="12499" max="12499" width="11.28515625" style="10" customWidth="1"/>
    <col min="12500" max="12748" width="9.140625" style="10"/>
    <col min="12749" max="12749" width="37.42578125" style="10" customWidth="1"/>
    <col min="12750" max="12750" width="13.5703125" style="10" customWidth="1"/>
    <col min="12751" max="12751" width="14.42578125" style="10" customWidth="1"/>
    <col min="12752" max="12752" width="8.42578125" style="10" bestFit="1" customWidth="1"/>
    <col min="12753" max="12753" width="16.85546875" style="10" customWidth="1"/>
    <col min="12754" max="12754" width="9.140625" style="10"/>
    <col min="12755" max="12755" width="11.28515625" style="10" customWidth="1"/>
    <col min="12756" max="13004" width="9.140625" style="10"/>
    <col min="13005" max="13005" width="37.42578125" style="10" customWidth="1"/>
    <col min="13006" max="13006" width="13.5703125" style="10" customWidth="1"/>
    <col min="13007" max="13007" width="14.42578125" style="10" customWidth="1"/>
    <col min="13008" max="13008" width="8.42578125" style="10" bestFit="1" customWidth="1"/>
    <col min="13009" max="13009" width="16.85546875" style="10" customWidth="1"/>
    <col min="13010" max="13010" width="9.140625" style="10"/>
    <col min="13011" max="13011" width="11.28515625" style="10" customWidth="1"/>
    <col min="13012" max="13260" width="9.140625" style="10"/>
    <col min="13261" max="13261" width="37.42578125" style="10" customWidth="1"/>
    <col min="13262" max="13262" width="13.5703125" style="10" customWidth="1"/>
    <col min="13263" max="13263" width="14.42578125" style="10" customWidth="1"/>
    <col min="13264" max="13264" width="8.42578125" style="10" bestFit="1" customWidth="1"/>
    <col min="13265" max="13265" width="16.85546875" style="10" customWidth="1"/>
    <col min="13266" max="13266" width="9.140625" style="10"/>
    <col min="13267" max="13267" width="11.28515625" style="10" customWidth="1"/>
    <col min="13268" max="13516" width="9.140625" style="10"/>
    <col min="13517" max="13517" width="37.42578125" style="10" customWidth="1"/>
    <col min="13518" max="13518" width="13.5703125" style="10" customWidth="1"/>
    <col min="13519" max="13519" width="14.42578125" style="10" customWidth="1"/>
    <col min="13520" max="13520" width="8.42578125" style="10" bestFit="1" customWidth="1"/>
    <col min="13521" max="13521" width="16.85546875" style="10" customWidth="1"/>
    <col min="13522" max="13522" width="9.140625" style="10"/>
    <col min="13523" max="13523" width="11.28515625" style="10" customWidth="1"/>
    <col min="13524" max="13772" width="9.140625" style="10"/>
    <col min="13773" max="13773" width="37.42578125" style="10" customWidth="1"/>
    <col min="13774" max="13774" width="13.5703125" style="10" customWidth="1"/>
    <col min="13775" max="13775" width="14.42578125" style="10" customWidth="1"/>
    <col min="13776" max="13776" width="8.42578125" style="10" bestFit="1" customWidth="1"/>
    <col min="13777" max="13777" width="16.85546875" style="10" customWidth="1"/>
    <col min="13778" max="13778" width="9.140625" style="10"/>
    <col min="13779" max="13779" width="11.28515625" style="10" customWidth="1"/>
    <col min="13780" max="14028" width="9.140625" style="10"/>
    <col min="14029" max="14029" width="37.42578125" style="10" customWidth="1"/>
    <col min="14030" max="14030" width="13.5703125" style="10" customWidth="1"/>
    <col min="14031" max="14031" width="14.42578125" style="10" customWidth="1"/>
    <col min="14032" max="14032" width="8.42578125" style="10" bestFit="1" customWidth="1"/>
    <col min="14033" max="14033" width="16.85546875" style="10" customWidth="1"/>
    <col min="14034" max="14034" width="9.140625" style="10"/>
    <col min="14035" max="14035" width="11.28515625" style="10" customWidth="1"/>
    <col min="14036" max="14284" width="9.140625" style="10"/>
    <col min="14285" max="14285" width="37.42578125" style="10" customWidth="1"/>
    <col min="14286" max="14286" width="13.5703125" style="10" customWidth="1"/>
    <col min="14287" max="14287" width="14.42578125" style="10" customWidth="1"/>
    <col min="14288" max="14288" width="8.42578125" style="10" bestFit="1" customWidth="1"/>
    <col min="14289" max="14289" width="16.85546875" style="10" customWidth="1"/>
    <col min="14290" max="14290" width="9.140625" style="10"/>
    <col min="14291" max="14291" width="11.28515625" style="10" customWidth="1"/>
    <col min="14292" max="14540" width="9.140625" style="10"/>
    <col min="14541" max="14541" width="37.42578125" style="10" customWidth="1"/>
    <col min="14542" max="14542" width="13.5703125" style="10" customWidth="1"/>
    <col min="14543" max="14543" width="14.42578125" style="10" customWidth="1"/>
    <col min="14544" max="14544" width="8.42578125" style="10" bestFit="1" customWidth="1"/>
    <col min="14545" max="14545" width="16.85546875" style="10" customWidth="1"/>
    <col min="14546" max="14546" width="9.140625" style="10"/>
    <col min="14547" max="14547" width="11.28515625" style="10" customWidth="1"/>
    <col min="14548" max="14796" width="9.140625" style="10"/>
    <col min="14797" max="14797" width="37.42578125" style="10" customWidth="1"/>
    <col min="14798" max="14798" width="13.5703125" style="10" customWidth="1"/>
    <col min="14799" max="14799" width="14.42578125" style="10" customWidth="1"/>
    <col min="14800" max="14800" width="8.42578125" style="10" bestFit="1" customWidth="1"/>
    <col min="14801" max="14801" width="16.85546875" style="10" customWidth="1"/>
    <col min="14802" max="14802" width="9.140625" style="10"/>
    <col min="14803" max="14803" width="11.28515625" style="10" customWidth="1"/>
    <col min="14804" max="15052" width="9.140625" style="10"/>
    <col min="15053" max="15053" width="37.42578125" style="10" customWidth="1"/>
    <col min="15054" max="15054" width="13.5703125" style="10" customWidth="1"/>
    <col min="15055" max="15055" width="14.42578125" style="10" customWidth="1"/>
    <col min="15056" max="15056" width="8.42578125" style="10" bestFit="1" customWidth="1"/>
    <col min="15057" max="15057" width="16.85546875" style="10" customWidth="1"/>
    <col min="15058" max="15058" width="9.140625" style="10"/>
    <col min="15059" max="15059" width="11.28515625" style="10" customWidth="1"/>
    <col min="15060" max="15308" width="9.140625" style="10"/>
    <col min="15309" max="15309" width="37.42578125" style="10" customWidth="1"/>
    <col min="15310" max="15310" width="13.5703125" style="10" customWidth="1"/>
    <col min="15311" max="15311" width="14.42578125" style="10" customWidth="1"/>
    <col min="15312" max="15312" width="8.42578125" style="10" bestFit="1" customWidth="1"/>
    <col min="15313" max="15313" width="16.85546875" style="10" customWidth="1"/>
    <col min="15314" max="15314" width="9.140625" style="10"/>
    <col min="15315" max="15315" width="11.28515625" style="10" customWidth="1"/>
    <col min="15316" max="15564" width="9.140625" style="10"/>
    <col min="15565" max="15565" width="37.42578125" style="10" customWidth="1"/>
    <col min="15566" max="15566" width="13.5703125" style="10" customWidth="1"/>
    <col min="15567" max="15567" width="14.42578125" style="10" customWidth="1"/>
    <col min="15568" max="15568" width="8.42578125" style="10" bestFit="1" customWidth="1"/>
    <col min="15569" max="15569" width="16.85546875" style="10" customWidth="1"/>
    <col min="15570" max="15570" width="9.140625" style="10"/>
    <col min="15571" max="15571" width="11.28515625" style="10" customWidth="1"/>
    <col min="15572" max="15820" width="9.140625" style="10"/>
    <col min="15821" max="15821" width="37.42578125" style="10" customWidth="1"/>
    <col min="15822" max="15822" width="13.5703125" style="10" customWidth="1"/>
    <col min="15823" max="15823" width="14.42578125" style="10" customWidth="1"/>
    <col min="15824" max="15824" width="8.42578125" style="10" bestFit="1" customWidth="1"/>
    <col min="15825" max="15825" width="16.85546875" style="10" customWidth="1"/>
    <col min="15826" max="15826" width="9.140625" style="10"/>
    <col min="15827" max="15827" width="11.28515625" style="10" customWidth="1"/>
    <col min="15828" max="16076" width="9.140625" style="10"/>
    <col min="16077" max="16077" width="37.42578125" style="10" customWidth="1"/>
    <col min="16078" max="16078" width="13.5703125" style="10" customWidth="1"/>
    <col min="16079" max="16079" width="14.42578125" style="10" customWidth="1"/>
    <col min="16080" max="16080" width="8.42578125" style="10" bestFit="1" customWidth="1"/>
    <col min="16081" max="16081" width="16.85546875" style="10" customWidth="1"/>
    <col min="16082" max="16082" width="9.140625" style="10"/>
    <col min="16083" max="16083" width="11.28515625" style="10" customWidth="1"/>
    <col min="16084" max="16384" width="9.140625" style="10"/>
  </cols>
  <sheetData>
    <row r="1" spans="1:20" ht="15.75" x14ac:dyDescent="0.2">
      <c r="A1" s="685" t="s">
        <v>46</v>
      </c>
      <c r="B1" s="686"/>
      <c r="C1" s="686"/>
      <c r="D1" s="687"/>
      <c r="E1" s="687"/>
      <c r="F1" s="688"/>
      <c r="G1" s="9"/>
    </row>
    <row r="2" spans="1:20" ht="25.5" x14ac:dyDescent="0.2">
      <c r="A2" s="12" t="s">
        <v>47</v>
      </c>
      <c r="B2" s="337" t="str">
        <f>'BOM R2D CatWalk'!I187</f>
        <v>KIT, SHIPPING BRKTS, LONG,PC4000</v>
      </c>
      <c r="C2" s="13"/>
      <c r="D2" s="13" t="s">
        <v>48</v>
      </c>
      <c r="E2" s="347"/>
      <c r="F2" s="85"/>
    </row>
    <row r="3" spans="1:20" ht="15.75" customHeight="1" thickBot="1" x14ac:dyDescent="0.25">
      <c r="A3" s="12" t="s">
        <v>49</v>
      </c>
      <c r="B3" s="337" t="str">
        <f>'BOM R2D CatWalk'!G187</f>
        <v>AY51606</v>
      </c>
      <c r="C3" s="13"/>
      <c r="D3" s="13" t="s">
        <v>50</v>
      </c>
      <c r="E3" s="705">
        <f>'BOM R2D CatWalk'!K187</f>
        <v>1</v>
      </c>
      <c r="F3" s="706"/>
      <c r="G3" s="9"/>
    </row>
    <row r="4" spans="1:20" ht="16.5" customHeight="1" thickBot="1" x14ac:dyDescent="0.25">
      <c r="A4" s="12" t="s">
        <v>51</v>
      </c>
      <c r="B4" s="86">
        <f>'BOM R2D CatWalk'!N187</f>
        <v>175.07379729999997</v>
      </c>
      <c r="C4" s="16"/>
      <c r="D4" s="147"/>
      <c r="E4" s="147"/>
      <c r="F4" s="17"/>
      <c r="G4" s="9"/>
      <c r="J4" s="707" t="s">
        <v>685</v>
      </c>
      <c r="K4" s="708"/>
      <c r="L4" s="708"/>
      <c r="M4" s="708"/>
      <c r="N4" s="708"/>
      <c r="O4" s="708"/>
      <c r="P4" s="708"/>
      <c r="Q4" s="359" t="str">
        <f>'RM Details'!H172</f>
        <v>AY51606</v>
      </c>
      <c r="R4" s="359"/>
      <c r="S4" s="359"/>
      <c r="T4" s="360"/>
    </row>
    <row r="5" spans="1:20" ht="25.5" customHeight="1" thickBot="1" x14ac:dyDescent="0.25">
      <c r="A5" s="691" t="s">
        <v>52</v>
      </c>
      <c r="B5" s="692"/>
      <c r="C5" s="692"/>
      <c r="D5" s="693"/>
      <c r="E5" s="693"/>
      <c r="F5" s="694"/>
      <c r="G5" s="18"/>
      <c r="J5" s="391" t="s">
        <v>0</v>
      </c>
      <c r="K5" s="391" t="s">
        <v>13</v>
      </c>
      <c r="L5" s="391" t="s">
        <v>154</v>
      </c>
      <c r="M5" s="391" t="s">
        <v>544</v>
      </c>
      <c r="N5" s="392" t="s">
        <v>551</v>
      </c>
      <c r="O5" s="392" t="s">
        <v>552</v>
      </c>
      <c r="P5" s="391" t="s">
        <v>548</v>
      </c>
      <c r="Q5" s="391" t="s">
        <v>34</v>
      </c>
      <c r="R5" s="391" t="s">
        <v>549</v>
      </c>
      <c r="S5" s="391" t="s">
        <v>547</v>
      </c>
      <c r="T5" s="391" t="s">
        <v>156</v>
      </c>
    </row>
    <row r="6" spans="1:20" ht="21" customHeight="1" thickBot="1" x14ac:dyDescent="0.25">
      <c r="A6" s="695" t="s">
        <v>53</v>
      </c>
      <c r="B6" s="696"/>
      <c r="C6" s="696"/>
      <c r="D6" s="697"/>
      <c r="E6" s="697"/>
      <c r="F6" s="698"/>
      <c r="G6" s="18"/>
      <c r="H6" s="19"/>
      <c r="I6" s="19"/>
      <c r="J6" s="143">
        <v>1</v>
      </c>
      <c r="K6" s="143" t="s">
        <v>21</v>
      </c>
      <c r="L6" s="143">
        <v>10</v>
      </c>
      <c r="M6" s="143" t="s">
        <v>543</v>
      </c>
      <c r="N6" s="145">
        <f>'RM Details'!E174</f>
        <v>45.074699999999993</v>
      </c>
      <c r="O6" s="145">
        <f>'RM Details'!F174</f>
        <v>49.582170000000005</v>
      </c>
      <c r="P6" s="145"/>
      <c r="Q6" s="145"/>
      <c r="R6" s="145">
        <f t="shared" ref="R6" si="0">IF(P6&gt;O6,P6,IF(P6&lt;O6,O6))</f>
        <v>49.582170000000005</v>
      </c>
      <c r="S6" s="145">
        <v>90</v>
      </c>
      <c r="T6" s="145">
        <f t="shared" ref="T6" si="1">S6*R6</f>
        <v>4462.3953000000001</v>
      </c>
    </row>
    <row r="7" spans="1:20" ht="33" customHeight="1" thickBot="1" x14ac:dyDescent="0.25">
      <c r="A7" s="20" t="s">
        <v>54</v>
      </c>
      <c r="B7" s="21"/>
      <c r="C7" s="21"/>
      <c r="D7" s="21"/>
      <c r="E7" s="21"/>
      <c r="F7" s="21" t="s">
        <v>687</v>
      </c>
      <c r="G7" s="18"/>
      <c r="H7" s="1"/>
      <c r="I7" s="1"/>
      <c r="J7" s="143">
        <v>2</v>
      </c>
      <c r="K7" s="143" t="s">
        <v>21</v>
      </c>
      <c r="L7" s="143">
        <v>12</v>
      </c>
      <c r="M7" s="143" t="s">
        <v>543</v>
      </c>
      <c r="N7" s="145">
        <f>'RM Details'!E175</f>
        <v>36.854949299999994</v>
      </c>
      <c r="O7" s="145">
        <f>'RM Details'!F175</f>
        <v>43.271712000000001</v>
      </c>
      <c r="P7" s="145"/>
      <c r="Q7" s="145"/>
      <c r="R7" s="145">
        <f>IF(P7&gt;O7,P7,IF(P7&lt;O7,O7))</f>
        <v>43.271712000000001</v>
      </c>
      <c r="S7" s="145">
        <v>90</v>
      </c>
      <c r="T7" s="145">
        <f>S7*R7</f>
        <v>3894.45408</v>
      </c>
    </row>
    <row r="8" spans="1:20" ht="15.75" x14ac:dyDescent="0.2">
      <c r="A8" s="23" t="s">
        <v>55</v>
      </c>
      <c r="B8" s="24"/>
      <c r="C8" s="25"/>
      <c r="D8" s="25"/>
      <c r="E8" s="25"/>
      <c r="F8" s="26">
        <f>R9</f>
        <v>250.32865000000001</v>
      </c>
      <c r="G8" s="18">
        <f>SUM(C8:F8)</f>
        <v>250.32865000000001</v>
      </c>
      <c r="H8" s="1"/>
      <c r="J8" s="143">
        <v>3</v>
      </c>
      <c r="K8" s="143" t="s">
        <v>21</v>
      </c>
      <c r="L8" s="143">
        <v>40</v>
      </c>
      <c r="M8" s="143" t="s">
        <v>543</v>
      </c>
      <c r="N8" s="145">
        <f>'RM Details'!E176</f>
        <v>95.94332799999998</v>
      </c>
      <c r="O8" s="145">
        <f>'RM Details'!F176</f>
        <v>157.47476800000001</v>
      </c>
      <c r="P8" s="145"/>
      <c r="Q8" s="145"/>
      <c r="R8" s="145">
        <f t="shared" ref="R8" si="2">IF(P8&gt;O8,P8,IF(P8&lt;O8,O8))</f>
        <v>157.47476800000001</v>
      </c>
      <c r="S8" s="145">
        <v>90</v>
      </c>
      <c r="T8" s="145">
        <f t="shared" ref="T8" si="3">S8*R8</f>
        <v>14172.729120000002</v>
      </c>
    </row>
    <row r="9" spans="1:20" ht="18" customHeight="1" thickBot="1" x14ac:dyDescent="0.25">
      <c r="A9" s="27" t="s">
        <v>56</v>
      </c>
      <c r="B9" s="77"/>
      <c r="C9" s="28"/>
      <c r="D9" s="28"/>
      <c r="E9" s="28"/>
      <c r="F9" s="74">
        <f>N9</f>
        <v>177.87297729999997</v>
      </c>
      <c r="G9" s="18">
        <f>SUM(C9:F9)</f>
        <v>177.87297729999997</v>
      </c>
      <c r="H9" s="1"/>
      <c r="J9" s="371"/>
      <c r="K9" s="372"/>
      <c r="L9" s="372" t="s">
        <v>45</v>
      </c>
      <c r="M9" s="372"/>
      <c r="N9" s="373">
        <f>SUM(N6:N8)</f>
        <v>177.87297729999997</v>
      </c>
      <c r="O9" s="373">
        <f>SUM(O6:O8)</f>
        <v>250.32865000000001</v>
      </c>
      <c r="P9" s="372"/>
      <c r="Q9" s="372"/>
      <c r="R9" s="373">
        <f>SUM(R6:R8)</f>
        <v>250.32865000000001</v>
      </c>
      <c r="S9" s="375">
        <f>T9/R9</f>
        <v>90.000000000000014</v>
      </c>
      <c r="T9" s="373">
        <f>SUM(T6:T8)</f>
        <v>22529.578500000003</v>
      </c>
    </row>
    <row r="10" spans="1:20" ht="15" x14ac:dyDescent="0.2">
      <c r="A10" s="29" t="s">
        <v>57</v>
      </c>
      <c r="B10" s="78"/>
      <c r="C10" s="30"/>
      <c r="D10" s="30"/>
      <c r="E10" s="30"/>
      <c r="F10" s="75">
        <f t="shared" ref="F10" si="4">(F8-F9)*80%</f>
        <v>57.964538160000032</v>
      </c>
      <c r="G10" s="31">
        <f>(G8-G9)/G9</f>
        <v>0.40734502677040446</v>
      </c>
      <c r="H10" s="32"/>
    </row>
    <row r="11" spans="1:20" ht="15" x14ac:dyDescent="0.25">
      <c r="A11" s="33" t="s">
        <v>58</v>
      </c>
      <c r="B11" s="34"/>
      <c r="C11" s="35"/>
      <c r="D11" s="401"/>
      <c r="E11" s="35"/>
      <c r="F11" s="76">
        <v>90</v>
      </c>
      <c r="G11" s="18">
        <f>SUMPRODUCT(B11:F11,B8:F8)</f>
        <v>22529.5785</v>
      </c>
      <c r="H11"/>
    </row>
    <row r="12" spans="1:20" ht="15" x14ac:dyDescent="0.25">
      <c r="A12" s="29" t="s">
        <v>59</v>
      </c>
      <c r="B12" s="396"/>
      <c r="C12" s="395"/>
      <c r="D12" s="395"/>
      <c r="E12" s="395"/>
      <c r="F12" s="397">
        <v>30</v>
      </c>
      <c r="G12" s="18"/>
      <c r="H12"/>
    </row>
    <row r="13" spans="1:20" ht="15.75" thickBot="1" x14ac:dyDescent="0.3">
      <c r="A13" s="36" t="s">
        <v>60</v>
      </c>
      <c r="B13" s="398"/>
      <c r="C13" s="399"/>
      <c r="D13" s="399"/>
      <c r="E13" s="399"/>
      <c r="F13" s="400">
        <f t="shared" ref="F13" si="5">(F8*F11)-(F10*F12)</f>
        <v>20790.642355199998</v>
      </c>
      <c r="G13" s="37">
        <f>SUM(B13:F13)</f>
        <v>20790.642355199998</v>
      </c>
      <c r="H13"/>
    </row>
    <row r="14" spans="1:20" ht="15.75" thickBot="1" x14ac:dyDescent="0.25">
      <c r="A14" s="38" t="s">
        <v>61</v>
      </c>
      <c r="B14" s="701">
        <f>SUM(B13:F13)</f>
        <v>20790.642355199998</v>
      </c>
      <c r="C14" s="702"/>
      <c r="D14" s="703"/>
      <c r="E14" s="703"/>
      <c r="F14" s="704"/>
      <c r="G14" s="39">
        <f>G13/G8</f>
        <v>83.053387437674417</v>
      </c>
      <c r="H14" s="32"/>
    </row>
    <row r="15" spans="1:20" ht="15" x14ac:dyDescent="0.25">
      <c r="A15" s="663" t="s">
        <v>62</v>
      </c>
      <c r="B15" s="664"/>
      <c r="C15" s="664"/>
      <c r="D15" s="665"/>
      <c r="E15" s="665"/>
      <c r="F15" s="666"/>
      <c r="G15" s="18"/>
      <c r="H15"/>
      <c r="I15" s="69"/>
    </row>
    <row r="16" spans="1:20" ht="24.75" customHeight="1" x14ac:dyDescent="0.2">
      <c r="A16" s="335" t="s">
        <v>63</v>
      </c>
      <c r="B16" s="41"/>
      <c r="C16" s="42"/>
      <c r="D16" s="150"/>
      <c r="E16" s="150"/>
      <c r="F16" s="43"/>
      <c r="G16" s="18"/>
      <c r="H16" s="32"/>
      <c r="I16" s="69"/>
    </row>
    <row r="17" spans="1:9" ht="20.25" customHeight="1" x14ac:dyDescent="0.2">
      <c r="A17" s="667" t="s">
        <v>64</v>
      </c>
      <c r="B17" s="668"/>
      <c r="C17" s="668"/>
      <c r="D17" s="151"/>
      <c r="E17" s="151"/>
      <c r="F17" s="45">
        <f>SUM(F16:F16)</f>
        <v>0</v>
      </c>
      <c r="G17" s="84"/>
      <c r="I17" s="69"/>
    </row>
    <row r="18" spans="1:9" ht="13.5" thickBot="1" x14ac:dyDescent="0.25">
      <c r="A18" s="669" t="s">
        <v>65</v>
      </c>
      <c r="B18" s="670"/>
      <c r="C18" s="670"/>
      <c r="D18" s="152"/>
      <c r="E18" s="152"/>
      <c r="F18" s="46">
        <f>B14+F17</f>
        <v>20790.642355199998</v>
      </c>
      <c r="G18" s="18"/>
      <c r="I18" s="69"/>
    </row>
    <row r="19" spans="1:9" ht="22.5" customHeight="1" x14ac:dyDescent="0.2">
      <c r="A19" s="671" t="s">
        <v>66</v>
      </c>
      <c r="B19" s="672"/>
      <c r="C19" s="672"/>
      <c r="D19" s="673"/>
      <c r="E19" s="673"/>
      <c r="F19" s="674"/>
      <c r="G19" s="18"/>
      <c r="I19" s="69"/>
    </row>
    <row r="20" spans="1:9" x14ac:dyDescent="0.2">
      <c r="A20" s="47" t="s">
        <v>54</v>
      </c>
      <c r="B20" s="48" t="s">
        <v>23</v>
      </c>
      <c r="C20" s="49" t="s">
        <v>67</v>
      </c>
      <c r="D20" s="50"/>
      <c r="E20" s="50"/>
      <c r="F20" s="51" t="s">
        <v>68</v>
      </c>
      <c r="G20" s="18"/>
      <c r="I20" s="69"/>
    </row>
    <row r="21" spans="1:9" ht="18" customHeight="1" x14ac:dyDescent="0.2">
      <c r="A21" s="52" t="s">
        <v>69</v>
      </c>
      <c r="B21" s="53">
        <f>'BOM R2D CatWalk'!X187</f>
        <v>27.447841558441556</v>
      </c>
      <c r="C21" s="54">
        <v>45</v>
      </c>
      <c r="D21" s="55"/>
      <c r="E21" s="55"/>
      <c r="F21" s="45">
        <f t="shared" ref="F21:F27" si="6">B21*C21</f>
        <v>1235.1528701298701</v>
      </c>
      <c r="G21" s="56"/>
      <c r="H21" s="69">
        <f>F21/$G$9</f>
        <v>6.9440163923644533</v>
      </c>
      <c r="I21" s="69"/>
    </row>
    <row r="22" spans="1:9" ht="20.25" customHeight="1" x14ac:dyDescent="0.2">
      <c r="A22" s="52" t="s">
        <v>70</v>
      </c>
      <c r="B22" s="53">
        <f>'BOM R2D CatWalk'!AB187/60</f>
        <v>0.66666666666666663</v>
      </c>
      <c r="C22" s="54">
        <v>600</v>
      </c>
      <c r="D22" s="55"/>
      <c r="E22" s="55"/>
      <c r="F22" s="45">
        <f t="shared" si="6"/>
        <v>400</v>
      </c>
      <c r="G22" s="56"/>
      <c r="H22" s="69">
        <f t="shared" ref="H22:H35" si="7">F22/$G$9</f>
        <v>2.2487957759056414</v>
      </c>
      <c r="I22" s="69"/>
    </row>
    <row r="23" spans="1:9" ht="18" customHeight="1" x14ac:dyDescent="0.2">
      <c r="A23" s="52" t="s">
        <v>71</v>
      </c>
      <c r="B23" s="53">
        <f>'BOM R2D CatWalk'!Z187</f>
        <v>0</v>
      </c>
      <c r="C23" s="54">
        <v>100</v>
      </c>
      <c r="D23" s="55"/>
      <c r="E23" s="55"/>
      <c r="F23" s="45">
        <f t="shared" si="6"/>
        <v>0</v>
      </c>
      <c r="G23" s="79"/>
      <c r="H23" s="69">
        <f t="shared" si="7"/>
        <v>0</v>
      </c>
      <c r="I23" s="69"/>
    </row>
    <row r="24" spans="1:9" ht="18" customHeight="1" x14ac:dyDescent="0.2">
      <c r="A24" s="52" t="s">
        <v>72</v>
      </c>
      <c r="B24" s="53">
        <f>'BOM R2D CatWalk'!AF187</f>
        <v>13.031999999999998</v>
      </c>
      <c r="C24" s="54">
        <v>250</v>
      </c>
      <c r="D24" s="55"/>
      <c r="E24" s="55"/>
      <c r="F24" s="45">
        <f t="shared" si="6"/>
        <v>3257.9999999999995</v>
      </c>
      <c r="G24" s="56"/>
      <c r="H24" s="69">
        <f t="shared" si="7"/>
        <v>18.316441594751449</v>
      </c>
      <c r="I24" s="69"/>
    </row>
    <row r="25" spans="1:9" ht="18" customHeight="1" x14ac:dyDescent="0.2">
      <c r="A25" s="52" t="s">
        <v>73</v>
      </c>
      <c r="B25" s="53">
        <f>B24/12</f>
        <v>1.0859999999999999</v>
      </c>
      <c r="C25" s="54">
        <v>250</v>
      </c>
      <c r="D25" s="55"/>
      <c r="E25" s="55"/>
      <c r="F25" s="45">
        <f t="shared" si="6"/>
        <v>271.49999999999994</v>
      </c>
      <c r="G25" s="56"/>
      <c r="H25" s="69">
        <f t="shared" si="7"/>
        <v>1.5263701328959538</v>
      </c>
      <c r="I25" s="69"/>
    </row>
    <row r="26" spans="1:9" ht="18" customHeight="1" x14ac:dyDescent="0.2">
      <c r="A26" s="52" t="s">
        <v>74</v>
      </c>
      <c r="B26" s="53">
        <f>G9/95</f>
        <v>1.872347129473684</v>
      </c>
      <c r="C26" s="54">
        <v>1200</v>
      </c>
      <c r="D26" s="55"/>
      <c r="E26" s="55"/>
      <c r="F26" s="45">
        <f t="shared" si="6"/>
        <v>2246.8165553684207</v>
      </c>
      <c r="G26" s="56"/>
      <c r="H26" s="69">
        <f t="shared" si="7"/>
        <v>12.631578947368421</v>
      </c>
      <c r="I26" s="69"/>
    </row>
    <row r="27" spans="1:9" x14ac:dyDescent="0.2">
      <c r="A27" s="57" t="s">
        <v>75</v>
      </c>
      <c r="B27" s="58"/>
      <c r="C27" s="59">
        <v>250</v>
      </c>
      <c r="D27" s="60"/>
      <c r="E27" s="60"/>
      <c r="F27" s="61">
        <f t="shared" si="6"/>
        <v>0</v>
      </c>
      <c r="G27" s="84" t="s">
        <v>76</v>
      </c>
      <c r="H27" s="69">
        <f t="shared" si="7"/>
        <v>0</v>
      </c>
      <c r="I27" s="69"/>
    </row>
    <row r="28" spans="1:9" ht="18" customHeight="1" x14ac:dyDescent="0.2">
      <c r="A28" s="52" t="s">
        <v>77</v>
      </c>
      <c r="B28" s="53"/>
      <c r="C28" s="54">
        <v>5</v>
      </c>
      <c r="D28" s="55"/>
      <c r="E28" s="55"/>
      <c r="F28" s="62">
        <f>C28*G9</f>
        <v>889.3648864999999</v>
      </c>
      <c r="G28" s="18"/>
      <c r="H28" s="69">
        <f t="shared" si="7"/>
        <v>5</v>
      </c>
      <c r="I28" s="69"/>
    </row>
    <row r="29" spans="1:9" ht="18" customHeight="1" x14ac:dyDescent="0.2">
      <c r="A29" s="52" t="s">
        <v>78</v>
      </c>
      <c r="B29" s="53">
        <v>0</v>
      </c>
      <c r="C29" s="54">
        <v>50</v>
      </c>
      <c r="D29" s="55"/>
      <c r="E29" s="55"/>
      <c r="F29" s="62">
        <f>B29*C29</f>
        <v>0</v>
      </c>
      <c r="G29" s="18"/>
      <c r="H29" s="69">
        <f t="shared" si="7"/>
        <v>0</v>
      </c>
      <c r="I29" s="69"/>
    </row>
    <row r="30" spans="1:9" ht="18" customHeight="1" x14ac:dyDescent="0.2">
      <c r="A30" s="52" t="s">
        <v>79</v>
      </c>
      <c r="B30" s="54">
        <f>'BOM R2D CatWalk'!AI187</f>
        <v>3.3297559999999997</v>
      </c>
      <c r="C30" s="54">
        <v>1250</v>
      </c>
      <c r="D30" s="55"/>
      <c r="E30" s="55"/>
      <c r="F30" s="62">
        <f>B30*C30</f>
        <v>4162.1949999999997</v>
      </c>
      <c r="G30" s="63" t="s">
        <v>133</v>
      </c>
      <c r="H30" s="69">
        <f t="shared" si="7"/>
        <v>23.399816336238953</v>
      </c>
      <c r="I30" s="69"/>
    </row>
    <row r="31" spans="1:9" ht="18" customHeight="1" x14ac:dyDescent="0.2">
      <c r="A31" s="52" t="s">
        <v>123</v>
      </c>
      <c r="B31" s="54">
        <f>15/60</f>
        <v>0.25</v>
      </c>
      <c r="C31" s="54">
        <v>250</v>
      </c>
      <c r="D31" s="55"/>
      <c r="E31" s="55"/>
      <c r="F31" s="45">
        <f>B31*C31</f>
        <v>62.5</v>
      </c>
      <c r="G31" s="63"/>
      <c r="H31" s="69">
        <f t="shared" si="7"/>
        <v>0.35137433998525647</v>
      </c>
    </row>
    <row r="32" spans="1:9" ht="18" customHeight="1" x14ac:dyDescent="0.2">
      <c r="A32" s="52" t="s">
        <v>135</v>
      </c>
      <c r="B32" s="54"/>
      <c r="C32" s="54">
        <v>4.5</v>
      </c>
      <c r="D32" s="55"/>
      <c r="E32" s="55"/>
      <c r="F32" s="45">
        <f>C32*G9</f>
        <v>800.4283978499999</v>
      </c>
      <c r="G32" s="63"/>
      <c r="H32" s="69">
        <f t="shared" si="7"/>
        <v>4.5</v>
      </c>
    </row>
    <row r="33" spans="1:23" ht="19.5" customHeight="1" x14ac:dyDescent="0.2">
      <c r="A33" s="47" t="s">
        <v>152</v>
      </c>
      <c r="B33" s="64"/>
      <c r="C33" s="65"/>
      <c r="D33" s="66"/>
      <c r="E33" s="66"/>
      <c r="F33" s="67">
        <f>SUM(F21:F32)</f>
        <v>13325.95770984829</v>
      </c>
      <c r="G33" s="18"/>
      <c r="H33" s="69">
        <f t="shared" si="7"/>
        <v>74.918393519510118</v>
      </c>
      <c r="I33" s="44"/>
    </row>
    <row r="34" spans="1:23" ht="22.5" customHeight="1" x14ac:dyDescent="0.2">
      <c r="A34" s="675" t="s">
        <v>80</v>
      </c>
      <c r="B34" s="676"/>
      <c r="C34" s="677"/>
      <c r="D34" s="333"/>
      <c r="E34" s="333"/>
      <c r="F34" s="154">
        <f>F18+F33</f>
        <v>34116.600065048289</v>
      </c>
      <c r="G34" s="68"/>
      <c r="H34" s="69"/>
      <c r="I34" s="44"/>
    </row>
    <row r="35" spans="1:23" x14ac:dyDescent="0.2">
      <c r="A35" s="83" t="s">
        <v>126</v>
      </c>
      <c r="B35" s="83"/>
      <c r="C35" s="336"/>
      <c r="D35" s="156">
        <v>0.1</v>
      </c>
      <c r="E35" s="156"/>
      <c r="F35" s="155">
        <f>F34*D35</f>
        <v>3411.6600065048292</v>
      </c>
      <c r="G35" s="70"/>
      <c r="H35" s="69">
        <f t="shared" si="7"/>
        <v>19.180316528635682</v>
      </c>
    </row>
    <row r="36" spans="1:23" x14ac:dyDescent="0.2">
      <c r="A36" s="83" t="s">
        <v>127</v>
      </c>
      <c r="B36" s="83"/>
      <c r="C36" s="336"/>
      <c r="D36" s="336"/>
      <c r="E36" s="336"/>
      <c r="F36" s="155">
        <f>SUM(F34:F35)</f>
        <v>37528.260071553115</v>
      </c>
      <c r="G36" s="70"/>
      <c r="H36" s="69">
        <f>F36/G9</f>
        <v>210.98348181499247</v>
      </c>
      <c r="I36" s="69">
        <f>F36/G8</f>
        <v>149.91596076419185</v>
      </c>
    </row>
    <row r="37" spans="1:23" x14ac:dyDescent="0.2">
      <c r="I37" s="44"/>
    </row>
    <row r="38" spans="1:23" x14ac:dyDescent="0.2"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</row>
    <row r="39" spans="1:23" ht="12.75" customHeight="1" thickBot="1" x14ac:dyDescent="0.25">
      <c r="G39" s="11" t="s">
        <v>81</v>
      </c>
      <c r="H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</row>
    <row r="40" spans="1:23" ht="12.75" customHeight="1" x14ac:dyDescent="0.2">
      <c r="A40" s="699" t="s">
        <v>694</v>
      </c>
      <c r="B40" s="700"/>
      <c r="C40" s="700"/>
      <c r="D40" s="153"/>
      <c r="E40" s="153"/>
      <c r="F40" s="71" t="s">
        <v>83</v>
      </c>
      <c r="G40" s="11" t="s">
        <v>81</v>
      </c>
      <c r="H40" s="44"/>
      <c r="O40" s="44"/>
      <c r="P40" s="44"/>
      <c r="Q40" s="44"/>
      <c r="R40" s="44"/>
      <c r="S40" s="44"/>
      <c r="T40" s="44"/>
      <c r="U40" s="44"/>
      <c r="V40" s="44"/>
      <c r="W40" s="44"/>
    </row>
    <row r="41" spans="1:23" x14ac:dyDescent="0.2">
      <c r="A41" s="654" t="s">
        <v>134</v>
      </c>
      <c r="B41" s="655"/>
      <c r="C41" s="655"/>
      <c r="D41" s="334"/>
      <c r="E41" s="334"/>
      <c r="F41" s="72"/>
      <c r="O41" s="44"/>
      <c r="P41" s="44"/>
      <c r="Q41" s="44"/>
      <c r="R41" s="44"/>
      <c r="S41" s="44"/>
      <c r="T41" s="44"/>
      <c r="U41" s="44"/>
      <c r="V41" s="44"/>
      <c r="W41" s="44"/>
    </row>
    <row r="42" spans="1:23" ht="13.5" thickBot="1" x14ac:dyDescent="0.25">
      <c r="A42" s="656" t="s">
        <v>84</v>
      </c>
      <c r="B42" s="657"/>
      <c r="C42" s="657"/>
      <c r="D42" s="338"/>
      <c r="E42" s="338"/>
      <c r="F42" s="261" t="s">
        <v>85</v>
      </c>
      <c r="O42" s="44"/>
      <c r="P42" s="44"/>
      <c r="Q42" s="44"/>
      <c r="R42" s="44"/>
      <c r="S42" s="44"/>
      <c r="T42" s="44"/>
      <c r="U42" s="44"/>
      <c r="V42" s="44"/>
      <c r="W42" s="44"/>
    </row>
    <row r="43" spans="1:23" ht="20.100000000000001" customHeight="1" x14ac:dyDescent="0.2">
      <c r="H43" s="44"/>
      <c r="O43" s="44"/>
      <c r="P43" s="44"/>
      <c r="Q43" s="44"/>
      <c r="R43" s="44"/>
      <c r="S43" s="44"/>
      <c r="T43" s="44"/>
      <c r="U43" s="44"/>
      <c r="V43" s="44"/>
      <c r="W43" s="44"/>
    </row>
    <row r="44" spans="1:23" s="44" customFormat="1" ht="18" customHeight="1" thickBot="1" x14ac:dyDescent="0.25">
      <c r="A44" s="10"/>
      <c r="B44" s="10"/>
      <c r="C44" s="10"/>
      <c r="D44" s="10"/>
      <c r="E44" s="10"/>
      <c r="F44" s="70"/>
      <c r="G44" s="14"/>
      <c r="H44" s="10"/>
      <c r="I44" s="10"/>
      <c r="J44" s="10"/>
      <c r="K44" s="10"/>
      <c r="L44" s="10"/>
      <c r="M44" s="10"/>
      <c r="N44" s="10"/>
    </row>
    <row r="45" spans="1:23" s="44" customFormat="1" ht="15.75" thickBot="1" x14ac:dyDescent="0.25">
      <c r="A45" s="658" t="s">
        <v>161</v>
      </c>
      <c r="B45" s="659"/>
      <c r="C45" s="659"/>
      <c r="D45" s="660"/>
      <c r="E45" s="10"/>
      <c r="F45" s="70"/>
      <c r="G45" s="14"/>
      <c r="H45" s="10"/>
      <c r="I45" s="10"/>
      <c r="J45" s="10"/>
      <c r="K45" s="10"/>
      <c r="L45" s="10"/>
      <c r="M45" s="10"/>
      <c r="N45" s="10"/>
    </row>
    <row r="46" spans="1:23" s="44" customFormat="1" ht="19.5" customHeight="1" thickBot="1" x14ac:dyDescent="0.25">
      <c r="A46" s="282" t="s">
        <v>125</v>
      </c>
      <c r="B46" s="283" t="s">
        <v>159</v>
      </c>
      <c r="C46" s="283" t="s">
        <v>155</v>
      </c>
      <c r="D46" s="284" t="s">
        <v>156</v>
      </c>
      <c r="F46" s="70"/>
      <c r="G46" s="14"/>
      <c r="H46" s="10"/>
      <c r="I46" s="10"/>
      <c r="J46" s="10"/>
      <c r="K46" s="10"/>
      <c r="L46" s="10"/>
      <c r="M46" s="10"/>
      <c r="N46" s="10"/>
    </row>
    <row r="47" spans="1:23" s="44" customFormat="1" ht="15.75" x14ac:dyDescent="0.2">
      <c r="A47" s="288" t="s">
        <v>124</v>
      </c>
      <c r="B47" s="460"/>
      <c r="C47" s="460">
        <v>100</v>
      </c>
      <c r="D47" s="291">
        <f>B47*C47</f>
        <v>0</v>
      </c>
      <c r="F47" s="70"/>
      <c r="G47" s="14"/>
      <c r="H47" s="10"/>
      <c r="I47" s="264"/>
      <c r="J47" s="264"/>
      <c r="K47" s="264"/>
      <c r="L47" s="264"/>
      <c r="M47" s="264"/>
      <c r="N47" s="264"/>
      <c r="O47" s="265"/>
      <c r="P47" s="265"/>
      <c r="Q47" s="265"/>
      <c r="R47" s="265"/>
      <c r="S47" s="265"/>
      <c r="T47" s="265"/>
      <c r="U47" s="265"/>
      <c r="V47" s="265"/>
      <c r="W47" s="265"/>
    </row>
    <row r="48" spans="1:23" s="44" customFormat="1" ht="15.75" x14ac:dyDescent="0.2">
      <c r="A48" s="274" t="s">
        <v>711</v>
      </c>
      <c r="B48" s="461"/>
      <c r="C48" s="461">
        <v>100</v>
      </c>
      <c r="D48" s="273">
        <f>B48*C48</f>
        <v>0</v>
      </c>
      <c r="F48" s="70"/>
      <c r="G48" s="14"/>
      <c r="H48" s="10"/>
      <c r="I48" s="10"/>
      <c r="J48" s="10"/>
      <c r="K48" s="10"/>
      <c r="L48" s="10"/>
      <c r="M48" s="10"/>
      <c r="N48" s="10"/>
    </row>
    <row r="49" spans="1:23" s="44" customFormat="1" ht="15.75" x14ac:dyDescent="0.2">
      <c r="A49" s="274" t="s">
        <v>162</v>
      </c>
      <c r="B49" s="461"/>
      <c r="C49" s="461">
        <v>4.5</v>
      </c>
      <c r="D49" s="273">
        <f>B49*C49</f>
        <v>0</v>
      </c>
      <c r="F49" s="70"/>
      <c r="G49" s="14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s="44" customFormat="1" ht="15.75" x14ac:dyDescent="0.2">
      <c r="A50" s="292" t="s">
        <v>163</v>
      </c>
      <c r="B50" s="462"/>
      <c r="C50" s="287"/>
      <c r="D50" s="293">
        <f>SUM(D47:D49)</f>
        <v>0</v>
      </c>
      <c r="F50" s="70"/>
      <c r="G50" s="14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s="44" customFormat="1" ht="15.75" x14ac:dyDescent="0.2">
      <c r="A51" s="274" t="s">
        <v>158</v>
      </c>
      <c r="B51" s="80"/>
      <c r="C51" s="81">
        <f>75000/30</f>
        <v>2500</v>
      </c>
      <c r="D51" s="273">
        <f>B51*C51</f>
        <v>0</v>
      </c>
      <c r="E51" s="294"/>
      <c r="F51" s="70"/>
      <c r="G51" s="14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s="44" customFormat="1" ht="16.5" thickBot="1" x14ac:dyDescent="0.25">
      <c r="A52" s="275" t="s">
        <v>126</v>
      </c>
      <c r="B52" s="276"/>
      <c r="C52" s="285">
        <v>2.5499999999999998E-2</v>
      </c>
      <c r="D52" s="277">
        <f>(D50+D51)*C52</f>
        <v>0</v>
      </c>
      <c r="F52" s="70"/>
      <c r="G52" s="14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s="265" customFormat="1" ht="16.5" thickBot="1" x14ac:dyDescent="0.25">
      <c r="A53" s="278" t="s">
        <v>160</v>
      </c>
      <c r="B53" s="279"/>
      <c r="C53" s="280"/>
      <c r="D53" s="281">
        <f>SUM(D50:D52)</f>
        <v>0</v>
      </c>
      <c r="E53" s="295"/>
      <c r="F53" s="262"/>
      <c r="G53" s="263"/>
      <c r="H53" s="264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s="44" customFormat="1" ht="25.5" customHeight="1" x14ac:dyDescent="0.2">
      <c r="A54" s="10"/>
      <c r="B54" s="10"/>
      <c r="C54" s="10"/>
      <c r="D54" s="10"/>
      <c r="E54" s="10"/>
      <c r="F54" s="70"/>
      <c r="G54" s="14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</sheetData>
  <sheetProtection selectLockedCells="1" selectUnlockedCells="1"/>
  <mergeCells count="15">
    <mergeCell ref="B14:F14"/>
    <mergeCell ref="A1:F1"/>
    <mergeCell ref="E3:F3"/>
    <mergeCell ref="J4:P4"/>
    <mergeCell ref="A5:F5"/>
    <mergeCell ref="A6:F6"/>
    <mergeCell ref="A41:C41"/>
    <mergeCell ref="A42:C42"/>
    <mergeCell ref="A45:D45"/>
    <mergeCell ref="A15:F15"/>
    <mergeCell ref="A17:C17"/>
    <mergeCell ref="A18:C18"/>
    <mergeCell ref="A19:F19"/>
    <mergeCell ref="A34:C34"/>
    <mergeCell ref="A40:C4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D47:D53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137AB-B741-47A8-AC53-578EEB62C3AE}">
  <sheetPr>
    <pageSetUpPr fitToPage="1"/>
  </sheetPr>
  <dimension ref="A1:W54"/>
  <sheetViews>
    <sheetView topLeftCell="A35" zoomScale="85" zoomScaleNormal="85" zoomScaleSheetLayoutView="100" workbookViewId="0">
      <selection activeCell="C52" sqref="C52"/>
    </sheetView>
  </sheetViews>
  <sheetFormatPr defaultRowHeight="12.75" x14ac:dyDescent="0.2"/>
  <cols>
    <col min="1" max="1" width="44.42578125" style="10" bestFit="1" customWidth="1"/>
    <col min="2" max="2" width="27.140625" style="10" bestFit="1" customWidth="1"/>
    <col min="3" max="3" width="17.42578125" style="10" bestFit="1" customWidth="1"/>
    <col min="4" max="4" width="20" style="10" bestFit="1" customWidth="1"/>
    <col min="5" max="5" width="20" style="10" customWidth="1"/>
    <col min="6" max="6" width="18.5703125" style="70" bestFit="1" customWidth="1"/>
    <col min="7" max="7" width="20.5703125" style="14" bestFit="1" customWidth="1"/>
    <col min="8" max="8" width="10.140625" style="10" customWidth="1"/>
    <col min="9" max="9" width="8.85546875" style="10" customWidth="1"/>
    <col min="10" max="10" width="6.5703125" style="10" bestFit="1" customWidth="1"/>
    <col min="11" max="11" width="9.85546875" style="10" bestFit="1" customWidth="1"/>
    <col min="12" max="12" width="19.7109375" style="10" bestFit="1" customWidth="1"/>
    <col min="13" max="13" width="18.42578125" style="10" bestFit="1" customWidth="1"/>
    <col min="14" max="14" width="10.28515625" style="10" bestFit="1" customWidth="1"/>
    <col min="15" max="15" width="12.28515625" style="10" bestFit="1" customWidth="1"/>
    <col min="16" max="16" width="17.140625" style="10" bestFit="1" customWidth="1"/>
    <col min="17" max="17" width="11.140625" style="10" bestFit="1" customWidth="1"/>
    <col min="18" max="18" width="15.140625" style="10" bestFit="1" customWidth="1"/>
    <col min="19" max="19" width="10.42578125" style="10" bestFit="1" customWidth="1"/>
    <col min="20" max="20" width="14.85546875" style="10" bestFit="1" customWidth="1"/>
    <col min="21" max="21" width="23.85546875" style="10" customWidth="1"/>
    <col min="22" max="204" width="9.140625" style="10"/>
    <col min="205" max="205" width="37.42578125" style="10" customWidth="1"/>
    <col min="206" max="206" width="13.5703125" style="10" customWidth="1"/>
    <col min="207" max="207" width="14.42578125" style="10" customWidth="1"/>
    <col min="208" max="208" width="8.42578125" style="10" bestFit="1" customWidth="1"/>
    <col min="209" max="209" width="16.85546875" style="10" customWidth="1"/>
    <col min="210" max="210" width="9.140625" style="10"/>
    <col min="211" max="211" width="11.28515625" style="10" customWidth="1"/>
    <col min="212" max="460" width="9.140625" style="10"/>
    <col min="461" max="461" width="37.42578125" style="10" customWidth="1"/>
    <col min="462" max="462" width="13.5703125" style="10" customWidth="1"/>
    <col min="463" max="463" width="14.42578125" style="10" customWidth="1"/>
    <col min="464" max="464" width="8.42578125" style="10" bestFit="1" customWidth="1"/>
    <col min="465" max="465" width="16.85546875" style="10" customWidth="1"/>
    <col min="466" max="466" width="9.140625" style="10"/>
    <col min="467" max="467" width="11.28515625" style="10" customWidth="1"/>
    <col min="468" max="716" width="9.140625" style="10"/>
    <col min="717" max="717" width="37.42578125" style="10" customWidth="1"/>
    <col min="718" max="718" width="13.5703125" style="10" customWidth="1"/>
    <col min="719" max="719" width="14.42578125" style="10" customWidth="1"/>
    <col min="720" max="720" width="8.42578125" style="10" bestFit="1" customWidth="1"/>
    <col min="721" max="721" width="16.85546875" style="10" customWidth="1"/>
    <col min="722" max="722" width="9.140625" style="10"/>
    <col min="723" max="723" width="11.28515625" style="10" customWidth="1"/>
    <col min="724" max="972" width="9.140625" style="10"/>
    <col min="973" max="973" width="37.42578125" style="10" customWidth="1"/>
    <col min="974" max="974" width="13.5703125" style="10" customWidth="1"/>
    <col min="975" max="975" width="14.42578125" style="10" customWidth="1"/>
    <col min="976" max="976" width="8.42578125" style="10" bestFit="1" customWidth="1"/>
    <col min="977" max="977" width="16.85546875" style="10" customWidth="1"/>
    <col min="978" max="978" width="9.140625" style="10"/>
    <col min="979" max="979" width="11.28515625" style="10" customWidth="1"/>
    <col min="980" max="1228" width="9.140625" style="10"/>
    <col min="1229" max="1229" width="37.42578125" style="10" customWidth="1"/>
    <col min="1230" max="1230" width="13.5703125" style="10" customWidth="1"/>
    <col min="1231" max="1231" width="14.42578125" style="10" customWidth="1"/>
    <col min="1232" max="1232" width="8.42578125" style="10" bestFit="1" customWidth="1"/>
    <col min="1233" max="1233" width="16.85546875" style="10" customWidth="1"/>
    <col min="1234" max="1234" width="9.140625" style="10"/>
    <col min="1235" max="1235" width="11.28515625" style="10" customWidth="1"/>
    <col min="1236" max="1484" width="9.140625" style="10"/>
    <col min="1485" max="1485" width="37.42578125" style="10" customWidth="1"/>
    <col min="1486" max="1486" width="13.5703125" style="10" customWidth="1"/>
    <col min="1487" max="1487" width="14.42578125" style="10" customWidth="1"/>
    <col min="1488" max="1488" width="8.42578125" style="10" bestFit="1" customWidth="1"/>
    <col min="1489" max="1489" width="16.85546875" style="10" customWidth="1"/>
    <col min="1490" max="1490" width="9.140625" style="10"/>
    <col min="1491" max="1491" width="11.28515625" style="10" customWidth="1"/>
    <col min="1492" max="1740" width="9.140625" style="10"/>
    <col min="1741" max="1741" width="37.42578125" style="10" customWidth="1"/>
    <col min="1742" max="1742" width="13.5703125" style="10" customWidth="1"/>
    <col min="1743" max="1743" width="14.42578125" style="10" customWidth="1"/>
    <col min="1744" max="1744" width="8.42578125" style="10" bestFit="1" customWidth="1"/>
    <col min="1745" max="1745" width="16.85546875" style="10" customWidth="1"/>
    <col min="1746" max="1746" width="9.140625" style="10"/>
    <col min="1747" max="1747" width="11.28515625" style="10" customWidth="1"/>
    <col min="1748" max="1996" width="9.140625" style="10"/>
    <col min="1997" max="1997" width="37.42578125" style="10" customWidth="1"/>
    <col min="1998" max="1998" width="13.5703125" style="10" customWidth="1"/>
    <col min="1999" max="1999" width="14.42578125" style="10" customWidth="1"/>
    <col min="2000" max="2000" width="8.42578125" style="10" bestFit="1" customWidth="1"/>
    <col min="2001" max="2001" width="16.85546875" style="10" customWidth="1"/>
    <col min="2002" max="2002" width="9.140625" style="10"/>
    <col min="2003" max="2003" width="11.28515625" style="10" customWidth="1"/>
    <col min="2004" max="2252" width="9.140625" style="10"/>
    <col min="2253" max="2253" width="37.42578125" style="10" customWidth="1"/>
    <col min="2254" max="2254" width="13.5703125" style="10" customWidth="1"/>
    <col min="2255" max="2255" width="14.42578125" style="10" customWidth="1"/>
    <col min="2256" max="2256" width="8.42578125" style="10" bestFit="1" customWidth="1"/>
    <col min="2257" max="2257" width="16.85546875" style="10" customWidth="1"/>
    <col min="2258" max="2258" width="9.140625" style="10"/>
    <col min="2259" max="2259" width="11.28515625" style="10" customWidth="1"/>
    <col min="2260" max="2508" width="9.140625" style="10"/>
    <col min="2509" max="2509" width="37.42578125" style="10" customWidth="1"/>
    <col min="2510" max="2510" width="13.5703125" style="10" customWidth="1"/>
    <col min="2511" max="2511" width="14.42578125" style="10" customWidth="1"/>
    <col min="2512" max="2512" width="8.42578125" style="10" bestFit="1" customWidth="1"/>
    <col min="2513" max="2513" width="16.85546875" style="10" customWidth="1"/>
    <col min="2514" max="2514" width="9.140625" style="10"/>
    <col min="2515" max="2515" width="11.28515625" style="10" customWidth="1"/>
    <col min="2516" max="2764" width="9.140625" style="10"/>
    <col min="2765" max="2765" width="37.42578125" style="10" customWidth="1"/>
    <col min="2766" max="2766" width="13.5703125" style="10" customWidth="1"/>
    <col min="2767" max="2767" width="14.42578125" style="10" customWidth="1"/>
    <col min="2768" max="2768" width="8.42578125" style="10" bestFit="1" customWidth="1"/>
    <col min="2769" max="2769" width="16.85546875" style="10" customWidth="1"/>
    <col min="2770" max="2770" width="9.140625" style="10"/>
    <col min="2771" max="2771" width="11.28515625" style="10" customWidth="1"/>
    <col min="2772" max="3020" width="9.140625" style="10"/>
    <col min="3021" max="3021" width="37.42578125" style="10" customWidth="1"/>
    <col min="3022" max="3022" width="13.5703125" style="10" customWidth="1"/>
    <col min="3023" max="3023" width="14.42578125" style="10" customWidth="1"/>
    <col min="3024" max="3024" width="8.42578125" style="10" bestFit="1" customWidth="1"/>
    <col min="3025" max="3025" width="16.85546875" style="10" customWidth="1"/>
    <col min="3026" max="3026" width="9.140625" style="10"/>
    <col min="3027" max="3027" width="11.28515625" style="10" customWidth="1"/>
    <col min="3028" max="3276" width="9.140625" style="10"/>
    <col min="3277" max="3277" width="37.42578125" style="10" customWidth="1"/>
    <col min="3278" max="3278" width="13.5703125" style="10" customWidth="1"/>
    <col min="3279" max="3279" width="14.42578125" style="10" customWidth="1"/>
    <col min="3280" max="3280" width="8.42578125" style="10" bestFit="1" customWidth="1"/>
    <col min="3281" max="3281" width="16.85546875" style="10" customWidth="1"/>
    <col min="3282" max="3282" width="9.140625" style="10"/>
    <col min="3283" max="3283" width="11.28515625" style="10" customWidth="1"/>
    <col min="3284" max="3532" width="9.140625" style="10"/>
    <col min="3533" max="3533" width="37.42578125" style="10" customWidth="1"/>
    <col min="3534" max="3534" width="13.5703125" style="10" customWidth="1"/>
    <col min="3535" max="3535" width="14.42578125" style="10" customWidth="1"/>
    <col min="3536" max="3536" width="8.42578125" style="10" bestFit="1" customWidth="1"/>
    <col min="3537" max="3537" width="16.85546875" style="10" customWidth="1"/>
    <col min="3538" max="3538" width="9.140625" style="10"/>
    <col min="3539" max="3539" width="11.28515625" style="10" customWidth="1"/>
    <col min="3540" max="3788" width="9.140625" style="10"/>
    <col min="3789" max="3789" width="37.42578125" style="10" customWidth="1"/>
    <col min="3790" max="3790" width="13.5703125" style="10" customWidth="1"/>
    <col min="3791" max="3791" width="14.42578125" style="10" customWidth="1"/>
    <col min="3792" max="3792" width="8.42578125" style="10" bestFit="1" customWidth="1"/>
    <col min="3793" max="3793" width="16.85546875" style="10" customWidth="1"/>
    <col min="3794" max="3794" width="9.140625" style="10"/>
    <col min="3795" max="3795" width="11.28515625" style="10" customWidth="1"/>
    <col min="3796" max="4044" width="9.140625" style="10"/>
    <col min="4045" max="4045" width="37.42578125" style="10" customWidth="1"/>
    <col min="4046" max="4046" width="13.5703125" style="10" customWidth="1"/>
    <col min="4047" max="4047" width="14.42578125" style="10" customWidth="1"/>
    <col min="4048" max="4048" width="8.42578125" style="10" bestFit="1" customWidth="1"/>
    <col min="4049" max="4049" width="16.85546875" style="10" customWidth="1"/>
    <col min="4050" max="4050" width="9.140625" style="10"/>
    <col min="4051" max="4051" width="11.28515625" style="10" customWidth="1"/>
    <col min="4052" max="4300" width="9.140625" style="10"/>
    <col min="4301" max="4301" width="37.42578125" style="10" customWidth="1"/>
    <col min="4302" max="4302" width="13.5703125" style="10" customWidth="1"/>
    <col min="4303" max="4303" width="14.42578125" style="10" customWidth="1"/>
    <col min="4304" max="4304" width="8.42578125" style="10" bestFit="1" customWidth="1"/>
    <col min="4305" max="4305" width="16.85546875" style="10" customWidth="1"/>
    <col min="4306" max="4306" width="9.140625" style="10"/>
    <col min="4307" max="4307" width="11.28515625" style="10" customWidth="1"/>
    <col min="4308" max="4556" width="9.140625" style="10"/>
    <col min="4557" max="4557" width="37.42578125" style="10" customWidth="1"/>
    <col min="4558" max="4558" width="13.5703125" style="10" customWidth="1"/>
    <col min="4559" max="4559" width="14.42578125" style="10" customWidth="1"/>
    <col min="4560" max="4560" width="8.42578125" style="10" bestFit="1" customWidth="1"/>
    <col min="4561" max="4561" width="16.85546875" style="10" customWidth="1"/>
    <col min="4562" max="4562" width="9.140625" style="10"/>
    <col min="4563" max="4563" width="11.28515625" style="10" customWidth="1"/>
    <col min="4564" max="4812" width="9.140625" style="10"/>
    <col min="4813" max="4813" width="37.42578125" style="10" customWidth="1"/>
    <col min="4814" max="4814" width="13.5703125" style="10" customWidth="1"/>
    <col min="4815" max="4815" width="14.42578125" style="10" customWidth="1"/>
    <col min="4816" max="4816" width="8.42578125" style="10" bestFit="1" customWidth="1"/>
    <col min="4817" max="4817" width="16.85546875" style="10" customWidth="1"/>
    <col min="4818" max="4818" width="9.140625" style="10"/>
    <col min="4819" max="4819" width="11.28515625" style="10" customWidth="1"/>
    <col min="4820" max="5068" width="9.140625" style="10"/>
    <col min="5069" max="5069" width="37.42578125" style="10" customWidth="1"/>
    <col min="5070" max="5070" width="13.5703125" style="10" customWidth="1"/>
    <col min="5071" max="5071" width="14.42578125" style="10" customWidth="1"/>
    <col min="5072" max="5072" width="8.42578125" style="10" bestFit="1" customWidth="1"/>
    <col min="5073" max="5073" width="16.85546875" style="10" customWidth="1"/>
    <col min="5074" max="5074" width="9.140625" style="10"/>
    <col min="5075" max="5075" width="11.28515625" style="10" customWidth="1"/>
    <col min="5076" max="5324" width="9.140625" style="10"/>
    <col min="5325" max="5325" width="37.42578125" style="10" customWidth="1"/>
    <col min="5326" max="5326" width="13.5703125" style="10" customWidth="1"/>
    <col min="5327" max="5327" width="14.42578125" style="10" customWidth="1"/>
    <col min="5328" max="5328" width="8.42578125" style="10" bestFit="1" customWidth="1"/>
    <col min="5329" max="5329" width="16.85546875" style="10" customWidth="1"/>
    <col min="5330" max="5330" width="9.140625" style="10"/>
    <col min="5331" max="5331" width="11.28515625" style="10" customWidth="1"/>
    <col min="5332" max="5580" width="9.140625" style="10"/>
    <col min="5581" max="5581" width="37.42578125" style="10" customWidth="1"/>
    <col min="5582" max="5582" width="13.5703125" style="10" customWidth="1"/>
    <col min="5583" max="5583" width="14.42578125" style="10" customWidth="1"/>
    <col min="5584" max="5584" width="8.42578125" style="10" bestFit="1" customWidth="1"/>
    <col min="5585" max="5585" width="16.85546875" style="10" customWidth="1"/>
    <col min="5586" max="5586" width="9.140625" style="10"/>
    <col min="5587" max="5587" width="11.28515625" style="10" customWidth="1"/>
    <col min="5588" max="5836" width="9.140625" style="10"/>
    <col min="5837" max="5837" width="37.42578125" style="10" customWidth="1"/>
    <col min="5838" max="5838" width="13.5703125" style="10" customWidth="1"/>
    <col min="5839" max="5839" width="14.42578125" style="10" customWidth="1"/>
    <col min="5840" max="5840" width="8.42578125" style="10" bestFit="1" customWidth="1"/>
    <col min="5841" max="5841" width="16.85546875" style="10" customWidth="1"/>
    <col min="5842" max="5842" width="9.140625" style="10"/>
    <col min="5843" max="5843" width="11.28515625" style="10" customWidth="1"/>
    <col min="5844" max="6092" width="9.140625" style="10"/>
    <col min="6093" max="6093" width="37.42578125" style="10" customWidth="1"/>
    <col min="6094" max="6094" width="13.5703125" style="10" customWidth="1"/>
    <col min="6095" max="6095" width="14.42578125" style="10" customWidth="1"/>
    <col min="6096" max="6096" width="8.42578125" style="10" bestFit="1" customWidth="1"/>
    <col min="6097" max="6097" width="16.85546875" style="10" customWidth="1"/>
    <col min="6098" max="6098" width="9.140625" style="10"/>
    <col min="6099" max="6099" width="11.28515625" style="10" customWidth="1"/>
    <col min="6100" max="6348" width="9.140625" style="10"/>
    <col min="6349" max="6349" width="37.42578125" style="10" customWidth="1"/>
    <col min="6350" max="6350" width="13.5703125" style="10" customWidth="1"/>
    <col min="6351" max="6351" width="14.42578125" style="10" customWidth="1"/>
    <col min="6352" max="6352" width="8.42578125" style="10" bestFit="1" customWidth="1"/>
    <col min="6353" max="6353" width="16.85546875" style="10" customWidth="1"/>
    <col min="6354" max="6354" width="9.140625" style="10"/>
    <col min="6355" max="6355" width="11.28515625" style="10" customWidth="1"/>
    <col min="6356" max="6604" width="9.140625" style="10"/>
    <col min="6605" max="6605" width="37.42578125" style="10" customWidth="1"/>
    <col min="6606" max="6606" width="13.5703125" style="10" customWidth="1"/>
    <col min="6607" max="6607" width="14.42578125" style="10" customWidth="1"/>
    <col min="6608" max="6608" width="8.42578125" style="10" bestFit="1" customWidth="1"/>
    <col min="6609" max="6609" width="16.85546875" style="10" customWidth="1"/>
    <col min="6610" max="6610" width="9.140625" style="10"/>
    <col min="6611" max="6611" width="11.28515625" style="10" customWidth="1"/>
    <col min="6612" max="6860" width="9.140625" style="10"/>
    <col min="6861" max="6861" width="37.42578125" style="10" customWidth="1"/>
    <col min="6862" max="6862" width="13.5703125" style="10" customWidth="1"/>
    <col min="6863" max="6863" width="14.42578125" style="10" customWidth="1"/>
    <col min="6864" max="6864" width="8.42578125" style="10" bestFit="1" customWidth="1"/>
    <col min="6865" max="6865" width="16.85546875" style="10" customWidth="1"/>
    <col min="6866" max="6866" width="9.140625" style="10"/>
    <col min="6867" max="6867" width="11.28515625" style="10" customWidth="1"/>
    <col min="6868" max="7116" width="9.140625" style="10"/>
    <col min="7117" max="7117" width="37.42578125" style="10" customWidth="1"/>
    <col min="7118" max="7118" width="13.5703125" style="10" customWidth="1"/>
    <col min="7119" max="7119" width="14.42578125" style="10" customWidth="1"/>
    <col min="7120" max="7120" width="8.42578125" style="10" bestFit="1" customWidth="1"/>
    <col min="7121" max="7121" width="16.85546875" style="10" customWidth="1"/>
    <col min="7122" max="7122" width="9.140625" style="10"/>
    <col min="7123" max="7123" width="11.28515625" style="10" customWidth="1"/>
    <col min="7124" max="7372" width="9.140625" style="10"/>
    <col min="7373" max="7373" width="37.42578125" style="10" customWidth="1"/>
    <col min="7374" max="7374" width="13.5703125" style="10" customWidth="1"/>
    <col min="7375" max="7375" width="14.42578125" style="10" customWidth="1"/>
    <col min="7376" max="7376" width="8.42578125" style="10" bestFit="1" customWidth="1"/>
    <col min="7377" max="7377" width="16.85546875" style="10" customWidth="1"/>
    <col min="7378" max="7378" width="9.140625" style="10"/>
    <col min="7379" max="7379" width="11.28515625" style="10" customWidth="1"/>
    <col min="7380" max="7628" width="9.140625" style="10"/>
    <col min="7629" max="7629" width="37.42578125" style="10" customWidth="1"/>
    <col min="7630" max="7630" width="13.5703125" style="10" customWidth="1"/>
    <col min="7631" max="7631" width="14.42578125" style="10" customWidth="1"/>
    <col min="7632" max="7632" width="8.42578125" style="10" bestFit="1" customWidth="1"/>
    <col min="7633" max="7633" width="16.85546875" style="10" customWidth="1"/>
    <col min="7634" max="7634" width="9.140625" style="10"/>
    <col min="7635" max="7635" width="11.28515625" style="10" customWidth="1"/>
    <col min="7636" max="7884" width="9.140625" style="10"/>
    <col min="7885" max="7885" width="37.42578125" style="10" customWidth="1"/>
    <col min="7886" max="7886" width="13.5703125" style="10" customWidth="1"/>
    <col min="7887" max="7887" width="14.42578125" style="10" customWidth="1"/>
    <col min="7888" max="7888" width="8.42578125" style="10" bestFit="1" customWidth="1"/>
    <col min="7889" max="7889" width="16.85546875" style="10" customWidth="1"/>
    <col min="7890" max="7890" width="9.140625" style="10"/>
    <col min="7891" max="7891" width="11.28515625" style="10" customWidth="1"/>
    <col min="7892" max="8140" width="9.140625" style="10"/>
    <col min="8141" max="8141" width="37.42578125" style="10" customWidth="1"/>
    <col min="8142" max="8142" width="13.5703125" style="10" customWidth="1"/>
    <col min="8143" max="8143" width="14.42578125" style="10" customWidth="1"/>
    <col min="8144" max="8144" width="8.42578125" style="10" bestFit="1" customWidth="1"/>
    <col min="8145" max="8145" width="16.85546875" style="10" customWidth="1"/>
    <col min="8146" max="8146" width="9.140625" style="10"/>
    <col min="8147" max="8147" width="11.28515625" style="10" customWidth="1"/>
    <col min="8148" max="8396" width="9.140625" style="10"/>
    <col min="8397" max="8397" width="37.42578125" style="10" customWidth="1"/>
    <col min="8398" max="8398" width="13.5703125" style="10" customWidth="1"/>
    <col min="8399" max="8399" width="14.42578125" style="10" customWidth="1"/>
    <col min="8400" max="8400" width="8.42578125" style="10" bestFit="1" customWidth="1"/>
    <col min="8401" max="8401" width="16.85546875" style="10" customWidth="1"/>
    <col min="8402" max="8402" width="9.140625" style="10"/>
    <col min="8403" max="8403" width="11.28515625" style="10" customWidth="1"/>
    <col min="8404" max="8652" width="9.140625" style="10"/>
    <col min="8653" max="8653" width="37.42578125" style="10" customWidth="1"/>
    <col min="8654" max="8654" width="13.5703125" style="10" customWidth="1"/>
    <col min="8655" max="8655" width="14.42578125" style="10" customWidth="1"/>
    <col min="8656" max="8656" width="8.42578125" style="10" bestFit="1" customWidth="1"/>
    <col min="8657" max="8657" width="16.85546875" style="10" customWidth="1"/>
    <col min="8658" max="8658" width="9.140625" style="10"/>
    <col min="8659" max="8659" width="11.28515625" style="10" customWidth="1"/>
    <col min="8660" max="8908" width="9.140625" style="10"/>
    <col min="8909" max="8909" width="37.42578125" style="10" customWidth="1"/>
    <col min="8910" max="8910" width="13.5703125" style="10" customWidth="1"/>
    <col min="8911" max="8911" width="14.42578125" style="10" customWidth="1"/>
    <col min="8912" max="8912" width="8.42578125" style="10" bestFit="1" customWidth="1"/>
    <col min="8913" max="8913" width="16.85546875" style="10" customWidth="1"/>
    <col min="8914" max="8914" width="9.140625" style="10"/>
    <col min="8915" max="8915" width="11.28515625" style="10" customWidth="1"/>
    <col min="8916" max="9164" width="9.140625" style="10"/>
    <col min="9165" max="9165" width="37.42578125" style="10" customWidth="1"/>
    <col min="9166" max="9166" width="13.5703125" style="10" customWidth="1"/>
    <col min="9167" max="9167" width="14.42578125" style="10" customWidth="1"/>
    <col min="9168" max="9168" width="8.42578125" style="10" bestFit="1" customWidth="1"/>
    <col min="9169" max="9169" width="16.85546875" style="10" customWidth="1"/>
    <col min="9170" max="9170" width="9.140625" style="10"/>
    <col min="9171" max="9171" width="11.28515625" style="10" customWidth="1"/>
    <col min="9172" max="9420" width="9.140625" style="10"/>
    <col min="9421" max="9421" width="37.42578125" style="10" customWidth="1"/>
    <col min="9422" max="9422" width="13.5703125" style="10" customWidth="1"/>
    <col min="9423" max="9423" width="14.42578125" style="10" customWidth="1"/>
    <col min="9424" max="9424" width="8.42578125" style="10" bestFit="1" customWidth="1"/>
    <col min="9425" max="9425" width="16.85546875" style="10" customWidth="1"/>
    <col min="9426" max="9426" width="9.140625" style="10"/>
    <col min="9427" max="9427" width="11.28515625" style="10" customWidth="1"/>
    <col min="9428" max="9676" width="9.140625" style="10"/>
    <col min="9677" max="9677" width="37.42578125" style="10" customWidth="1"/>
    <col min="9678" max="9678" width="13.5703125" style="10" customWidth="1"/>
    <col min="9679" max="9679" width="14.42578125" style="10" customWidth="1"/>
    <col min="9680" max="9680" width="8.42578125" style="10" bestFit="1" customWidth="1"/>
    <col min="9681" max="9681" width="16.85546875" style="10" customWidth="1"/>
    <col min="9682" max="9682" width="9.140625" style="10"/>
    <col min="9683" max="9683" width="11.28515625" style="10" customWidth="1"/>
    <col min="9684" max="9932" width="9.140625" style="10"/>
    <col min="9933" max="9933" width="37.42578125" style="10" customWidth="1"/>
    <col min="9934" max="9934" width="13.5703125" style="10" customWidth="1"/>
    <col min="9935" max="9935" width="14.42578125" style="10" customWidth="1"/>
    <col min="9936" max="9936" width="8.42578125" style="10" bestFit="1" customWidth="1"/>
    <col min="9937" max="9937" width="16.85546875" style="10" customWidth="1"/>
    <col min="9938" max="9938" width="9.140625" style="10"/>
    <col min="9939" max="9939" width="11.28515625" style="10" customWidth="1"/>
    <col min="9940" max="10188" width="9.140625" style="10"/>
    <col min="10189" max="10189" width="37.42578125" style="10" customWidth="1"/>
    <col min="10190" max="10190" width="13.5703125" style="10" customWidth="1"/>
    <col min="10191" max="10191" width="14.42578125" style="10" customWidth="1"/>
    <col min="10192" max="10192" width="8.42578125" style="10" bestFit="1" customWidth="1"/>
    <col min="10193" max="10193" width="16.85546875" style="10" customWidth="1"/>
    <col min="10194" max="10194" width="9.140625" style="10"/>
    <col min="10195" max="10195" width="11.28515625" style="10" customWidth="1"/>
    <col min="10196" max="10444" width="9.140625" style="10"/>
    <col min="10445" max="10445" width="37.42578125" style="10" customWidth="1"/>
    <col min="10446" max="10446" width="13.5703125" style="10" customWidth="1"/>
    <col min="10447" max="10447" width="14.42578125" style="10" customWidth="1"/>
    <col min="10448" max="10448" width="8.42578125" style="10" bestFit="1" customWidth="1"/>
    <col min="10449" max="10449" width="16.85546875" style="10" customWidth="1"/>
    <col min="10450" max="10450" width="9.140625" style="10"/>
    <col min="10451" max="10451" width="11.28515625" style="10" customWidth="1"/>
    <col min="10452" max="10700" width="9.140625" style="10"/>
    <col min="10701" max="10701" width="37.42578125" style="10" customWidth="1"/>
    <col min="10702" max="10702" width="13.5703125" style="10" customWidth="1"/>
    <col min="10703" max="10703" width="14.42578125" style="10" customWidth="1"/>
    <col min="10704" max="10704" width="8.42578125" style="10" bestFit="1" customWidth="1"/>
    <col min="10705" max="10705" width="16.85546875" style="10" customWidth="1"/>
    <col min="10706" max="10706" width="9.140625" style="10"/>
    <col min="10707" max="10707" width="11.28515625" style="10" customWidth="1"/>
    <col min="10708" max="10956" width="9.140625" style="10"/>
    <col min="10957" max="10957" width="37.42578125" style="10" customWidth="1"/>
    <col min="10958" max="10958" width="13.5703125" style="10" customWidth="1"/>
    <col min="10959" max="10959" width="14.42578125" style="10" customWidth="1"/>
    <col min="10960" max="10960" width="8.42578125" style="10" bestFit="1" customWidth="1"/>
    <col min="10961" max="10961" width="16.85546875" style="10" customWidth="1"/>
    <col min="10962" max="10962" width="9.140625" style="10"/>
    <col min="10963" max="10963" width="11.28515625" style="10" customWidth="1"/>
    <col min="10964" max="11212" width="9.140625" style="10"/>
    <col min="11213" max="11213" width="37.42578125" style="10" customWidth="1"/>
    <col min="11214" max="11214" width="13.5703125" style="10" customWidth="1"/>
    <col min="11215" max="11215" width="14.42578125" style="10" customWidth="1"/>
    <col min="11216" max="11216" width="8.42578125" style="10" bestFit="1" customWidth="1"/>
    <col min="11217" max="11217" width="16.85546875" style="10" customWidth="1"/>
    <col min="11218" max="11218" width="9.140625" style="10"/>
    <col min="11219" max="11219" width="11.28515625" style="10" customWidth="1"/>
    <col min="11220" max="11468" width="9.140625" style="10"/>
    <col min="11469" max="11469" width="37.42578125" style="10" customWidth="1"/>
    <col min="11470" max="11470" width="13.5703125" style="10" customWidth="1"/>
    <col min="11471" max="11471" width="14.42578125" style="10" customWidth="1"/>
    <col min="11472" max="11472" width="8.42578125" style="10" bestFit="1" customWidth="1"/>
    <col min="11473" max="11473" width="16.85546875" style="10" customWidth="1"/>
    <col min="11474" max="11474" width="9.140625" style="10"/>
    <col min="11475" max="11475" width="11.28515625" style="10" customWidth="1"/>
    <col min="11476" max="11724" width="9.140625" style="10"/>
    <col min="11725" max="11725" width="37.42578125" style="10" customWidth="1"/>
    <col min="11726" max="11726" width="13.5703125" style="10" customWidth="1"/>
    <col min="11727" max="11727" width="14.42578125" style="10" customWidth="1"/>
    <col min="11728" max="11728" width="8.42578125" style="10" bestFit="1" customWidth="1"/>
    <col min="11729" max="11729" width="16.85546875" style="10" customWidth="1"/>
    <col min="11730" max="11730" width="9.140625" style="10"/>
    <col min="11731" max="11731" width="11.28515625" style="10" customWidth="1"/>
    <col min="11732" max="11980" width="9.140625" style="10"/>
    <col min="11981" max="11981" width="37.42578125" style="10" customWidth="1"/>
    <col min="11982" max="11982" width="13.5703125" style="10" customWidth="1"/>
    <col min="11983" max="11983" width="14.42578125" style="10" customWidth="1"/>
    <col min="11984" max="11984" width="8.42578125" style="10" bestFit="1" customWidth="1"/>
    <col min="11985" max="11985" width="16.85546875" style="10" customWidth="1"/>
    <col min="11986" max="11986" width="9.140625" style="10"/>
    <col min="11987" max="11987" width="11.28515625" style="10" customWidth="1"/>
    <col min="11988" max="12236" width="9.140625" style="10"/>
    <col min="12237" max="12237" width="37.42578125" style="10" customWidth="1"/>
    <col min="12238" max="12238" width="13.5703125" style="10" customWidth="1"/>
    <col min="12239" max="12239" width="14.42578125" style="10" customWidth="1"/>
    <col min="12240" max="12240" width="8.42578125" style="10" bestFit="1" customWidth="1"/>
    <col min="12241" max="12241" width="16.85546875" style="10" customWidth="1"/>
    <col min="12242" max="12242" width="9.140625" style="10"/>
    <col min="12243" max="12243" width="11.28515625" style="10" customWidth="1"/>
    <col min="12244" max="12492" width="9.140625" style="10"/>
    <col min="12493" max="12493" width="37.42578125" style="10" customWidth="1"/>
    <col min="12494" max="12494" width="13.5703125" style="10" customWidth="1"/>
    <col min="12495" max="12495" width="14.42578125" style="10" customWidth="1"/>
    <col min="12496" max="12496" width="8.42578125" style="10" bestFit="1" customWidth="1"/>
    <col min="12497" max="12497" width="16.85546875" style="10" customWidth="1"/>
    <col min="12498" max="12498" width="9.140625" style="10"/>
    <col min="12499" max="12499" width="11.28515625" style="10" customWidth="1"/>
    <col min="12500" max="12748" width="9.140625" style="10"/>
    <col min="12749" max="12749" width="37.42578125" style="10" customWidth="1"/>
    <col min="12750" max="12750" width="13.5703125" style="10" customWidth="1"/>
    <col min="12751" max="12751" width="14.42578125" style="10" customWidth="1"/>
    <col min="12752" max="12752" width="8.42578125" style="10" bestFit="1" customWidth="1"/>
    <col min="12753" max="12753" width="16.85546875" style="10" customWidth="1"/>
    <col min="12754" max="12754" width="9.140625" style="10"/>
    <col min="12755" max="12755" width="11.28515625" style="10" customWidth="1"/>
    <col min="12756" max="13004" width="9.140625" style="10"/>
    <col min="13005" max="13005" width="37.42578125" style="10" customWidth="1"/>
    <col min="13006" max="13006" width="13.5703125" style="10" customWidth="1"/>
    <col min="13007" max="13007" width="14.42578125" style="10" customWidth="1"/>
    <col min="13008" max="13008" width="8.42578125" style="10" bestFit="1" customWidth="1"/>
    <col min="13009" max="13009" width="16.85546875" style="10" customWidth="1"/>
    <col min="13010" max="13010" width="9.140625" style="10"/>
    <col min="13011" max="13011" width="11.28515625" style="10" customWidth="1"/>
    <col min="13012" max="13260" width="9.140625" style="10"/>
    <col min="13261" max="13261" width="37.42578125" style="10" customWidth="1"/>
    <col min="13262" max="13262" width="13.5703125" style="10" customWidth="1"/>
    <col min="13263" max="13263" width="14.42578125" style="10" customWidth="1"/>
    <col min="13264" max="13264" width="8.42578125" style="10" bestFit="1" customWidth="1"/>
    <col min="13265" max="13265" width="16.85546875" style="10" customWidth="1"/>
    <col min="13266" max="13266" width="9.140625" style="10"/>
    <col min="13267" max="13267" width="11.28515625" style="10" customWidth="1"/>
    <col min="13268" max="13516" width="9.140625" style="10"/>
    <col min="13517" max="13517" width="37.42578125" style="10" customWidth="1"/>
    <col min="13518" max="13518" width="13.5703125" style="10" customWidth="1"/>
    <col min="13519" max="13519" width="14.42578125" style="10" customWidth="1"/>
    <col min="13520" max="13520" width="8.42578125" style="10" bestFit="1" customWidth="1"/>
    <col min="13521" max="13521" width="16.85546875" style="10" customWidth="1"/>
    <col min="13522" max="13522" width="9.140625" style="10"/>
    <col min="13523" max="13523" width="11.28515625" style="10" customWidth="1"/>
    <col min="13524" max="13772" width="9.140625" style="10"/>
    <col min="13773" max="13773" width="37.42578125" style="10" customWidth="1"/>
    <col min="13774" max="13774" width="13.5703125" style="10" customWidth="1"/>
    <col min="13775" max="13775" width="14.42578125" style="10" customWidth="1"/>
    <col min="13776" max="13776" width="8.42578125" style="10" bestFit="1" customWidth="1"/>
    <col min="13777" max="13777" width="16.85546875" style="10" customWidth="1"/>
    <col min="13778" max="13778" width="9.140625" style="10"/>
    <col min="13779" max="13779" width="11.28515625" style="10" customWidth="1"/>
    <col min="13780" max="14028" width="9.140625" style="10"/>
    <col min="14029" max="14029" width="37.42578125" style="10" customWidth="1"/>
    <col min="14030" max="14030" width="13.5703125" style="10" customWidth="1"/>
    <col min="14031" max="14031" width="14.42578125" style="10" customWidth="1"/>
    <col min="14032" max="14032" width="8.42578125" style="10" bestFit="1" customWidth="1"/>
    <col min="14033" max="14033" width="16.85546875" style="10" customWidth="1"/>
    <col min="14034" max="14034" width="9.140625" style="10"/>
    <col min="14035" max="14035" width="11.28515625" style="10" customWidth="1"/>
    <col min="14036" max="14284" width="9.140625" style="10"/>
    <col min="14285" max="14285" width="37.42578125" style="10" customWidth="1"/>
    <col min="14286" max="14286" width="13.5703125" style="10" customWidth="1"/>
    <col min="14287" max="14287" width="14.42578125" style="10" customWidth="1"/>
    <col min="14288" max="14288" width="8.42578125" style="10" bestFit="1" customWidth="1"/>
    <col min="14289" max="14289" width="16.85546875" style="10" customWidth="1"/>
    <col min="14290" max="14290" width="9.140625" style="10"/>
    <col min="14291" max="14291" width="11.28515625" style="10" customWidth="1"/>
    <col min="14292" max="14540" width="9.140625" style="10"/>
    <col min="14541" max="14541" width="37.42578125" style="10" customWidth="1"/>
    <col min="14542" max="14542" width="13.5703125" style="10" customWidth="1"/>
    <col min="14543" max="14543" width="14.42578125" style="10" customWidth="1"/>
    <col min="14544" max="14544" width="8.42578125" style="10" bestFit="1" customWidth="1"/>
    <col min="14545" max="14545" width="16.85546875" style="10" customWidth="1"/>
    <col min="14546" max="14546" width="9.140625" style="10"/>
    <col min="14547" max="14547" width="11.28515625" style="10" customWidth="1"/>
    <col min="14548" max="14796" width="9.140625" style="10"/>
    <col min="14797" max="14797" width="37.42578125" style="10" customWidth="1"/>
    <col min="14798" max="14798" width="13.5703125" style="10" customWidth="1"/>
    <col min="14799" max="14799" width="14.42578125" style="10" customWidth="1"/>
    <col min="14800" max="14800" width="8.42578125" style="10" bestFit="1" customWidth="1"/>
    <col min="14801" max="14801" width="16.85546875" style="10" customWidth="1"/>
    <col min="14802" max="14802" width="9.140625" style="10"/>
    <col min="14803" max="14803" width="11.28515625" style="10" customWidth="1"/>
    <col min="14804" max="15052" width="9.140625" style="10"/>
    <col min="15053" max="15053" width="37.42578125" style="10" customWidth="1"/>
    <col min="15054" max="15054" width="13.5703125" style="10" customWidth="1"/>
    <col min="15055" max="15055" width="14.42578125" style="10" customWidth="1"/>
    <col min="15056" max="15056" width="8.42578125" style="10" bestFit="1" customWidth="1"/>
    <col min="15057" max="15057" width="16.85546875" style="10" customWidth="1"/>
    <col min="15058" max="15058" width="9.140625" style="10"/>
    <col min="15059" max="15059" width="11.28515625" style="10" customWidth="1"/>
    <col min="15060" max="15308" width="9.140625" style="10"/>
    <col min="15309" max="15309" width="37.42578125" style="10" customWidth="1"/>
    <col min="15310" max="15310" width="13.5703125" style="10" customWidth="1"/>
    <col min="15311" max="15311" width="14.42578125" style="10" customWidth="1"/>
    <col min="15312" max="15312" width="8.42578125" style="10" bestFit="1" customWidth="1"/>
    <col min="15313" max="15313" width="16.85546875" style="10" customWidth="1"/>
    <col min="15314" max="15314" width="9.140625" style="10"/>
    <col min="15315" max="15315" width="11.28515625" style="10" customWidth="1"/>
    <col min="15316" max="15564" width="9.140625" style="10"/>
    <col min="15565" max="15565" width="37.42578125" style="10" customWidth="1"/>
    <col min="15566" max="15566" width="13.5703125" style="10" customWidth="1"/>
    <col min="15567" max="15567" width="14.42578125" style="10" customWidth="1"/>
    <col min="15568" max="15568" width="8.42578125" style="10" bestFit="1" customWidth="1"/>
    <col min="15569" max="15569" width="16.85546875" style="10" customWidth="1"/>
    <col min="15570" max="15570" width="9.140625" style="10"/>
    <col min="15571" max="15571" width="11.28515625" style="10" customWidth="1"/>
    <col min="15572" max="15820" width="9.140625" style="10"/>
    <col min="15821" max="15821" width="37.42578125" style="10" customWidth="1"/>
    <col min="15822" max="15822" width="13.5703125" style="10" customWidth="1"/>
    <col min="15823" max="15823" width="14.42578125" style="10" customWidth="1"/>
    <col min="15824" max="15824" width="8.42578125" style="10" bestFit="1" customWidth="1"/>
    <col min="15825" max="15825" width="16.85546875" style="10" customWidth="1"/>
    <col min="15826" max="15826" width="9.140625" style="10"/>
    <col min="15827" max="15827" width="11.28515625" style="10" customWidth="1"/>
    <col min="15828" max="16076" width="9.140625" style="10"/>
    <col min="16077" max="16077" width="37.42578125" style="10" customWidth="1"/>
    <col min="16078" max="16078" width="13.5703125" style="10" customWidth="1"/>
    <col min="16079" max="16079" width="14.42578125" style="10" customWidth="1"/>
    <col min="16080" max="16080" width="8.42578125" style="10" bestFit="1" customWidth="1"/>
    <col min="16081" max="16081" width="16.85546875" style="10" customWidth="1"/>
    <col min="16082" max="16082" width="9.140625" style="10"/>
    <col min="16083" max="16083" width="11.28515625" style="10" customWidth="1"/>
    <col min="16084" max="16384" width="9.140625" style="10"/>
  </cols>
  <sheetData>
    <row r="1" spans="1:20" ht="15.75" x14ac:dyDescent="0.2">
      <c r="A1" s="685" t="s">
        <v>46</v>
      </c>
      <c r="B1" s="686"/>
      <c r="C1" s="686"/>
      <c r="D1" s="687"/>
      <c r="E1" s="687"/>
      <c r="F1" s="688"/>
      <c r="G1" s="9"/>
    </row>
    <row r="2" spans="1:20" ht="25.5" x14ac:dyDescent="0.2">
      <c r="A2" s="12" t="s">
        <v>47</v>
      </c>
      <c r="B2" s="337" t="str">
        <f>'BOM R2D CatWalk'!I171</f>
        <v>WELDMENT,42D CARRIER REAR, PC4100</v>
      </c>
      <c r="C2" s="13"/>
      <c r="D2" s="13" t="s">
        <v>48</v>
      </c>
      <c r="E2" s="347"/>
      <c r="F2" s="85"/>
    </row>
    <row r="3" spans="1:20" ht="15.75" customHeight="1" thickBot="1" x14ac:dyDescent="0.25">
      <c r="A3" s="12" t="s">
        <v>49</v>
      </c>
      <c r="B3" s="337" t="str">
        <f>'BOM R2D CatWalk'!G171</f>
        <v>AY30160</v>
      </c>
      <c r="C3" s="13"/>
      <c r="D3" s="13" t="s">
        <v>50</v>
      </c>
      <c r="E3" s="705">
        <f>'BOM R2D CatWalk'!K171</f>
        <v>1</v>
      </c>
      <c r="F3" s="706"/>
      <c r="G3" s="9"/>
    </row>
    <row r="4" spans="1:20" ht="16.5" customHeight="1" thickBot="1" x14ac:dyDescent="0.25">
      <c r="A4" s="12" t="s">
        <v>51</v>
      </c>
      <c r="B4" s="86">
        <f>'BOM R2D CatWalk'!N171</f>
        <v>777</v>
      </c>
      <c r="C4" s="16"/>
      <c r="D4" s="147"/>
      <c r="E4" s="147"/>
      <c r="F4" s="17"/>
      <c r="G4" s="9"/>
      <c r="J4" s="707" t="s">
        <v>685</v>
      </c>
      <c r="K4" s="708"/>
      <c r="L4" s="708"/>
      <c r="M4" s="708"/>
      <c r="N4" s="708"/>
      <c r="O4" s="708"/>
      <c r="P4" s="708"/>
      <c r="Q4" s="359" t="str">
        <f>'RM Details'!H154</f>
        <v>AY30160</v>
      </c>
      <c r="R4" s="359"/>
      <c r="S4" s="359"/>
      <c r="T4" s="360"/>
    </row>
    <row r="5" spans="1:20" ht="25.5" customHeight="1" thickBot="1" x14ac:dyDescent="0.25">
      <c r="A5" s="691" t="s">
        <v>52</v>
      </c>
      <c r="B5" s="692"/>
      <c r="C5" s="692"/>
      <c r="D5" s="693"/>
      <c r="E5" s="693"/>
      <c r="F5" s="694"/>
      <c r="G5" s="18"/>
      <c r="J5" s="468" t="s">
        <v>0</v>
      </c>
      <c r="K5" s="469" t="s">
        <v>13</v>
      </c>
      <c r="L5" s="469" t="s">
        <v>154</v>
      </c>
      <c r="M5" s="469" t="s">
        <v>544</v>
      </c>
      <c r="N5" s="470" t="s">
        <v>551</v>
      </c>
      <c r="O5" s="470" t="s">
        <v>552</v>
      </c>
      <c r="P5" s="469" t="s">
        <v>548</v>
      </c>
      <c r="Q5" s="469" t="s">
        <v>34</v>
      </c>
      <c r="R5" s="469" t="s">
        <v>549</v>
      </c>
      <c r="S5" s="469" t="s">
        <v>547</v>
      </c>
      <c r="T5" s="471" t="s">
        <v>156</v>
      </c>
    </row>
    <row r="6" spans="1:20" ht="21" customHeight="1" thickBot="1" x14ac:dyDescent="0.25">
      <c r="A6" s="695" t="s">
        <v>53</v>
      </c>
      <c r="B6" s="696"/>
      <c r="C6" s="696"/>
      <c r="D6" s="697"/>
      <c r="E6" s="697"/>
      <c r="F6" s="698"/>
      <c r="G6" s="18"/>
      <c r="H6" s="19"/>
      <c r="I6" s="19"/>
      <c r="J6" s="361">
        <v>1</v>
      </c>
      <c r="K6" s="361" t="s">
        <v>21</v>
      </c>
      <c r="L6" s="361">
        <v>6</v>
      </c>
      <c r="M6" s="361" t="s">
        <v>543</v>
      </c>
      <c r="N6" s="362">
        <f>'RM Details'!E156</f>
        <v>1.2</v>
      </c>
      <c r="O6" s="362">
        <f>'RM Details'!F156</f>
        <v>1.2045825000000001</v>
      </c>
      <c r="P6" s="362"/>
      <c r="Q6" s="362"/>
      <c r="R6" s="362">
        <f t="shared" ref="R6" si="0">IF(P6&gt;O6,P6,IF(P6&lt;O6,O6))</f>
        <v>1.2045825000000001</v>
      </c>
      <c r="S6" s="362">
        <v>90</v>
      </c>
      <c r="T6" s="362">
        <f t="shared" ref="T6" si="1">S6*R6</f>
        <v>108.41242500000001</v>
      </c>
    </row>
    <row r="7" spans="1:20" ht="26.25" thickBot="1" x14ac:dyDescent="0.25">
      <c r="A7" s="20" t="s">
        <v>54</v>
      </c>
      <c r="B7" s="21" t="s">
        <v>687</v>
      </c>
      <c r="C7" s="21" t="s">
        <v>688</v>
      </c>
      <c r="D7" s="21" t="s">
        <v>540</v>
      </c>
      <c r="E7" s="21" t="str">
        <f>M13</f>
        <v>AISI C1045</v>
      </c>
      <c r="F7" s="21" t="s">
        <v>695</v>
      </c>
      <c r="G7" s="18"/>
      <c r="H7" s="1"/>
      <c r="I7" s="1"/>
      <c r="J7" s="143">
        <v>2</v>
      </c>
      <c r="K7" s="143" t="s">
        <v>21</v>
      </c>
      <c r="L7" s="143">
        <v>10</v>
      </c>
      <c r="M7" s="143" t="s">
        <v>543</v>
      </c>
      <c r="N7" s="145">
        <f>'RM Details'!E157</f>
        <v>46</v>
      </c>
      <c r="O7" s="145">
        <f>'RM Details'!F157</f>
        <v>68.055025499999999</v>
      </c>
      <c r="P7" s="145"/>
      <c r="Q7" s="145"/>
      <c r="R7" s="145">
        <f>IF(P7&gt;O7,P7,IF(P7&lt;O7,O7))</f>
        <v>68.055025499999999</v>
      </c>
      <c r="S7" s="145">
        <v>90</v>
      </c>
      <c r="T7" s="145">
        <f>S7*R7</f>
        <v>6124.952295</v>
      </c>
    </row>
    <row r="8" spans="1:20" ht="15.75" x14ac:dyDescent="0.2">
      <c r="A8" s="23" t="s">
        <v>55</v>
      </c>
      <c r="B8" s="24">
        <f>SUM(R6:R9)</f>
        <v>269.88996452000004</v>
      </c>
      <c r="C8" s="25">
        <f>SUM(R10:R11)</f>
        <v>99.897451500000003</v>
      </c>
      <c r="D8" s="458">
        <f>R12</f>
        <v>368.52</v>
      </c>
      <c r="E8" s="25">
        <f>R13</f>
        <v>31.96</v>
      </c>
      <c r="F8" s="26">
        <f>R14</f>
        <v>531.9072000000001</v>
      </c>
      <c r="G8" s="18">
        <f>SUM(C8:F8)</f>
        <v>1032.2846515000001</v>
      </c>
      <c r="H8" s="1"/>
      <c r="J8" s="143">
        <v>3</v>
      </c>
      <c r="K8" s="143" t="s">
        <v>21</v>
      </c>
      <c r="L8" s="143">
        <v>12</v>
      </c>
      <c r="M8" s="143" t="s">
        <v>543</v>
      </c>
      <c r="N8" s="145">
        <f>'RM Details'!E158</f>
        <v>149.6</v>
      </c>
      <c r="O8" s="145">
        <f>'RM Details'!F158</f>
        <v>199.55098151999999</v>
      </c>
      <c r="P8" s="145"/>
      <c r="Q8" s="145"/>
      <c r="R8" s="145">
        <f t="shared" ref="R8:R11" si="2">IF(P8&gt;O8,P8,IF(P8&lt;O8,O8))</f>
        <v>199.55098151999999</v>
      </c>
      <c r="S8" s="145">
        <v>90</v>
      </c>
      <c r="T8" s="145">
        <f t="shared" ref="T8:T11" si="3">S8*R8</f>
        <v>17959.5883368</v>
      </c>
    </row>
    <row r="9" spans="1:20" ht="18" customHeight="1" x14ac:dyDescent="0.2">
      <c r="A9" s="27" t="s">
        <v>56</v>
      </c>
      <c r="B9" s="77">
        <f>SUM(N6:N9)</f>
        <v>197.78125</v>
      </c>
      <c r="C9" s="28">
        <f>SUM(N10:N11)</f>
        <v>71</v>
      </c>
      <c r="D9" s="28">
        <f>N12</f>
        <v>25</v>
      </c>
      <c r="E9" s="28">
        <f>N13</f>
        <v>1.6</v>
      </c>
      <c r="F9" s="74">
        <f>N14</f>
        <v>482</v>
      </c>
      <c r="G9" s="18">
        <f>SUM(C9:F9)</f>
        <v>579.6</v>
      </c>
      <c r="H9" s="1"/>
      <c r="J9" s="143">
        <v>3</v>
      </c>
      <c r="K9" s="143" t="s">
        <v>21</v>
      </c>
      <c r="L9" s="143">
        <v>25</v>
      </c>
      <c r="M9" s="143" t="s">
        <v>543</v>
      </c>
      <c r="N9" s="145">
        <f>'RM Details'!E159</f>
        <v>0.98124999999999996</v>
      </c>
      <c r="O9" s="145">
        <f>'RM Details'!F159</f>
        <v>1.079375</v>
      </c>
      <c r="P9" s="145"/>
      <c r="Q9" s="145"/>
      <c r="R9" s="145">
        <f t="shared" si="2"/>
        <v>1.079375</v>
      </c>
      <c r="S9" s="145">
        <v>90</v>
      </c>
      <c r="T9" s="145">
        <f t="shared" si="3"/>
        <v>97.143749999999997</v>
      </c>
    </row>
    <row r="10" spans="1:20" ht="15.75" x14ac:dyDescent="0.2">
      <c r="A10" s="29" t="s">
        <v>57</v>
      </c>
      <c r="B10" s="78">
        <f t="shared" ref="B10" si="4">(B8-B9)*80%</f>
        <v>57.686971616000029</v>
      </c>
      <c r="C10" s="30">
        <f t="shared" ref="C10:F10" si="5">(C8-C9)*80%</f>
        <v>23.117961200000003</v>
      </c>
      <c r="D10" s="30">
        <f t="shared" si="5"/>
        <v>274.81599999999997</v>
      </c>
      <c r="E10" s="30">
        <f t="shared" si="5"/>
        <v>24.288</v>
      </c>
      <c r="F10" s="75">
        <f t="shared" si="5"/>
        <v>39.925760000000082</v>
      </c>
      <c r="G10" s="31">
        <f>(G8-G9)/G9</f>
        <v>0.78102941942719128</v>
      </c>
      <c r="H10" s="32"/>
      <c r="J10" s="143">
        <v>4</v>
      </c>
      <c r="K10" s="143" t="s">
        <v>21</v>
      </c>
      <c r="L10" s="143">
        <v>20</v>
      </c>
      <c r="M10" s="143" t="s">
        <v>542</v>
      </c>
      <c r="N10" s="145">
        <f>'RM Details'!E160</f>
        <v>47</v>
      </c>
      <c r="O10" s="145">
        <f>'RM Details'!F160</f>
        <v>54.871971000000002</v>
      </c>
      <c r="P10" s="320"/>
      <c r="Q10" s="145"/>
      <c r="R10" s="145">
        <f t="shared" si="2"/>
        <v>54.871971000000002</v>
      </c>
      <c r="S10" s="145">
        <v>90</v>
      </c>
      <c r="T10" s="145">
        <f t="shared" si="3"/>
        <v>4938.47739</v>
      </c>
    </row>
    <row r="11" spans="1:20" ht="15.75" x14ac:dyDescent="0.25">
      <c r="A11" s="33" t="s">
        <v>58</v>
      </c>
      <c r="B11" s="34">
        <v>90</v>
      </c>
      <c r="C11" s="35">
        <v>90</v>
      </c>
      <c r="D11" s="459">
        <v>200</v>
      </c>
      <c r="E11" s="35">
        <v>110</v>
      </c>
      <c r="F11" s="76">
        <v>110</v>
      </c>
      <c r="G11" s="18">
        <f>SUMPRODUCT(B11:F11,B8:F8)</f>
        <v>169010.25944180001</v>
      </c>
      <c r="H11"/>
      <c r="J11" s="143">
        <v>5</v>
      </c>
      <c r="K11" s="143" t="s">
        <v>21</v>
      </c>
      <c r="L11" s="143">
        <v>25</v>
      </c>
      <c r="M11" s="143" t="s">
        <v>542</v>
      </c>
      <c r="N11" s="145">
        <f>'RM Details'!E161</f>
        <v>24</v>
      </c>
      <c r="O11" s="145">
        <f>'RM Details'!F161</f>
        <v>45.0254805</v>
      </c>
      <c r="P11" s="145"/>
      <c r="Q11" s="145"/>
      <c r="R11" s="145">
        <f t="shared" si="2"/>
        <v>45.0254805</v>
      </c>
      <c r="S11" s="145">
        <v>90</v>
      </c>
      <c r="T11" s="145">
        <f t="shared" si="3"/>
        <v>4052.2932449999998</v>
      </c>
    </row>
    <row r="12" spans="1:20" ht="15.75" x14ac:dyDescent="0.25">
      <c r="A12" s="29" t="s">
        <v>59</v>
      </c>
      <c r="B12" s="396">
        <v>30</v>
      </c>
      <c r="C12" s="395">
        <v>30</v>
      </c>
      <c r="D12" s="395">
        <v>30</v>
      </c>
      <c r="E12" s="395">
        <v>30</v>
      </c>
      <c r="F12" s="397">
        <v>30</v>
      </c>
      <c r="G12" s="18"/>
      <c r="H12"/>
      <c r="J12" s="393">
        <v>6</v>
      </c>
      <c r="K12" s="393" t="s">
        <v>21</v>
      </c>
      <c r="L12" s="393" t="s">
        <v>451</v>
      </c>
      <c r="M12" s="393" t="s">
        <v>540</v>
      </c>
      <c r="N12" s="345">
        <f>'RM Details'!E162</f>
        <v>25</v>
      </c>
      <c r="O12" s="345">
        <f>'RM Details'!F162</f>
        <v>38.848150000000004</v>
      </c>
      <c r="P12" s="345">
        <f>61.42*6</f>
        <v>368.52</v>
      </c>
      <c r="Q12" s="345"/>
      <c r="R12" s="345">
        <f>IF(P12&gt;O12,P12,IF(P12&lt;O12,O12))</f>
        <v>368.52</v>
      </c>
      <c r="S12" s="345">
        <v>200</v>
      </c>
      <c r="T12" s="345">
        <f>S12*R12</f>
        <v>73704</v>
      </c>
    </row>
    <row r="13" spans="1:20" ht="16.5" thickBot="1" x14ac:dyDescent="0.3">
      <c r="A13" s="36" t="s">
        <v>60</v>
      </c>
      <c r="B13" s="398">
        <f t="shared" ref="B13:F13" si="6">(B8*B11)-(B10*B12)</f>
        <v>22559.487658320002</v>
      </c>
      <c r="C13" s="399">
        <f t="shared" si="6"/>
        <v>8297.231799000001</v>
      </c>
      <c r="D13" s="399">
        <f t="shared" si="6"/>
        <v>65459.520000000004</v>
      </c>
      <c r="E13" s="399">
        <f t="shared" si="6"/>
        <v>2786.96</v>
      </c>
      <c r="F13" s="400">
        <f t="shared" si="6"/>
        <v>57312.01920000001</v>
      </c>
      <c r="G13" s="37">
        <f>SUM(B13:F13)</f>
        <v>156415.21865732002</v>
      </c>
      <c r="H13"/>
      <c r="J13" s="143">
        <v>7</v>
      </c>
      <c r="K13" s="143" t="s">
        <v>21</v>
      </c>
      <c r="L13" s="143" t="s">
        <v>448</v>
      </c>
      <c r="M13" s="143" t="s">
        <v>447</v>
      </c>
      <c r="N13" s="145">
        <f>'RM Details'!E163</f>
        <v>1.6</v>
      </c>
      <c r="O13" s="145">
        <f>'RM Details'!F163</f>
        <v>1.7600000000000002</v>
      </c>
      <c r="P13" s="320">
        <f>31.96*1</f>
        <v>31.96</v>
      </c>
      <c r="Q13" s="145"/>
      <c r="R13" s="145">
        <f t="shared" ref="R13:R14" si="7">IF(P13&gt;O13,P13,IF(P13&lt;O13,O13))</f>
        <v>31.96</v>
      </c>
      <c r="S13" s="145">
        <v>110</v>
      </c>
      <c r="T13" s="145">
        <f t="shared" ref="T13:T14" si="8">S13*R13</f>
        <v>3515.6</v>
      </c>
    </row>
    <row r="14" spans="1:20" ht="16.5" thickBot="1" x14ac:dyDescent="0.25">
      <c r="A14" s="38" t="s">
        <v>61</v>
      </c>
      <c r="B14" s="701">
        <f>SUM(B13:F13)</f>
        <v>156415.21865732002</v>
      </c>
      <c r="C14" s="702"/>
      <c r="D14" s="703"/>
      <c r="E14" s="703"/>
      <c r="F14" s="704"/>
      <c r="G14" s="39">
        <f>G13/G8</f>
        <v>151.52334041781498</v>
      </c>
      <c r="H14" s="32"/>
      <c r="J14" s="143">
        <v>8</v>
      </c>
      <c r="K14" s="143" t="s">
        <v>21</v>
      </c>
      <c r="L14" s="143" t="s">
        <v>534</v>
      </c>
      <c r="M14" s="143" t="s">
        <v>536</v>
      </c>
      <c r="N14" s="145">
        <f>'RM Details'!E164</f>
        <v>482</v>
      </c>
      <c r="O14" s="145">
        <f>'RM Details'!F164</f>
        <v>531.9072000000001</v>
      </c>
      <c r="P14" s="320">
        <f>67.16*6</f>
        <v>402.96</v>
      </c>
      <c r="Q14" s="145"/>
      <c r="R14" s="145">
        <f t="shared" si="7"/>
        <v>531.9072000000001</v>
      </c>
      <c r="S14" s="145">
        <v>110</v>
      </c>
      <c r="T14" s="145">
        <f t="shared" si="8"/>
        <v>58509.792000000009</v>
      </c>
    </row>
    <row r="15" spans="1:20" ht="21.75" thickBot="1" x14ac:dyDescent="0.3">
      <c r="A15" s="663" t="s">
        <v>62</v>
      </c>
      <c r="B15" s="664"/>
      <c r="C15" s="664"/>
      <c r="D15" s="665"/>
      <c r="E15" s="665"/>
      <c r="F15" s="666"/>
      <c r="G15" s="18"/>
      <c r="H15"/>
      <c r="I15" s="69"/>
      <c r="J15" s="371"/>
      <c r="K15" s="372"/>
      <c r="L15" s="372" t="s">
        <v>45</v>
      </c>
      <c r="M15" s="372"/>
      <c r="N15" s="373">
        <f>SUM(N6:N14)</f>
        <v>777.38125000000002</v>
      </c>
      <c r="O15" s="373">
        <f>SUM(O6:O14)</f>
        <v>942.30276602000015</v>
      </c>
      <c r="P15" s="372"/>
      <c r="Q15" s="372"/>
      <c r="R15" s="373">
        <f>SUM(R6:R14)</f>
        <v>1302.1746160200003</v>
      </c>
      <c r="S15" s="375">
        <f>T15/R15</f>
        <v>129.79078025523742</v>
      </c>
      <c r="T15" s="373">
        <f>SUM(T6:T14)</f>
        <v>169010.25944180001</v>
      </c>
    </row>
    <row r="16" spans="1:20" ht="24.75" customHeight="1" x14ac:dyDescent="0.2">
      <c r="A16" s="335" t="s">
        <v>63</v>
      </c>
      <c r="B16" s="41"/>
      <c r="C16" s="42"/>
      <c r="D16" s="150"/>
      <c r="E16" s="150"/>
      <c r="F16" s="43"/>
      <c r="G16" s="18"/>
      <c r="H16" s="32"/>
      <c r="I16" s="69"/>
    </row>
    <row r="17" spans="1:9" ht="20.25" customHeight="1" x14ac:dyDescent="0.2">
      <c r="A17" s="667" t="s">
        <v>64</v>
      </c>
      <c r="B17" s="668"/>
      <c r="C17" s="668"/>
      <c r="D17" s="151"/>
      <c r="E17" s="151"/>
      <c r="F17" s="45">
        <f>SUM(F16:F16)</f>
        <v>0</v>
      </c>
      <c r="G17" s="84"/>
      <c r="I17" s="69"/>
    </row>
    <row r="18" spans="1:9" ht="13.5" thickBot="1" x14ac:dyDescent="0.25">
      <c r="A18" s="669" t="s">
        <v>65</v>
      </c>
      <c r="B18" s="670"/>
      <c r="C18" s="670"/>
      <c r="D18" s="152"/>
      <c r="E18" s="152"/>
      <c r="F18" s="46">
        <f>B14+F17</f>
        <v>156415.21865732002</v>
      </c>
      <c r="G18" s="18"/>
      <c r="I18" s="69"/>
    </row>
    <row r="19" spans="1:9" ht="22.5" customHeight="1" x14ac:dyDescent="0.2">
      <c r="A19" s="671" t="s">
        <v>66</v>
      </c>
      <c r="B19" s="672"/>
      <c r="C19" s="672"/>
      <c r="D19" s="673"/>
      <c r="E19" s="673"/>
      <c r="F19" s="674"/>
      <c r="G19" s="18"/>
      <c r="I19" s="69"/>
    </row>
    <row r="20" spans="1:9" x14ac:dyDescent="0.2">
      <c r="A20" s="47" t="s">
        <v>54</v>
      </c>
      <c r="B20" s="48" t="s">
        <v>23</v>
      </c>
      <c r="C20" s="49" t="s">
        <v>67</v>
      </c>
      <c r="D20" s="50"/>
      <c r="E20" s="50"/>
      <c r="F20" s="51" t="s">
        <v>68</v>
      </c>
      <c r="G20" s="18"/>
      <c r="I20" s="69"/>
    </row>
    <row r="21" spans="1:9" ht="18" customHeight="1" x14ac:dyDescent="0.2">
      <c r="A21" s="52" t="s">
        <v>69</v>
      </c>
      <c r="B21" s="53">
        <f>'BOM R2D CatWalk'!X171</f>
        <v>94.168469070887681</v>
      </c>
      <c r="C21" s="54">
        <v>30</v>
      </c>
      <c r="D21" s="55"/>
      <c r="E21" s="55"/>
      <c r="F21" s="45">
        <f t="shared" ref="F21:F27" si="9">B21*C21</f>
        <v>2825.0540721266307</v>
      </c>
      <c r="G21" s="56"/>
      <c r="H21" s="69">
        <f>F21/$G$9</f>
        <v>4.8741443618471889</v>
      </c>
      <c r="I21" s="69"/>
    </row>
    <row r="22" spans="1:9" ht="20.25" customHeight="1" x14ac:dyDescent="0.2">
      <c r="A22" s="52" t="s">
        <v>70</v>
      </c>
      <c r="B22" s="53">
        <f>'BOM R2D CatWalk'!AB171/60</f>
        <v>4.3166666666666664</v>
      </c>
      <c r="C22" s="54">
        <v>1250</v>
      </c>
      <c r="D22" s="55"/>
      <c r="E22" s="55"/>
      <c r="F22" s="45">
        <f t="shared" si="9"/>
        <v>5395.833333333333</v>
      </c>
      <c r="G22" s="56"/>
      <c r="H22" s="69">
        <f t="shared" ref="H22:H35" si="10">F22/$G$9</f>
        <v>9.309581320450885</v>
      </c>
      <c r="I22" s="69"/>
    </row>
    <row r="23" spans="1:9" ht="18" customHeight="1" x14ac:dyDescent="0.2">
      <c r="A23" s="52" t="s">
        <v>71</v>
      </c>
      <c r="B23" s="53">
        <f>'BOM R2D CatWalk'!Z171</f>
        <v>3</v>
      </c>
      <c r="C23" s="54">
        <v>100</v>
      </c>
      <c r="D23" s="55"/>
      <c r="E23" s="55"/>
      <c r="F23" s="45">
        <f t="shared" si="9"/>
        <v>300</v>
      </c>
      <c r="G23" s="79"/>
      <c r="H23" s="69">
        <f t="shared" si="10"/>
        <v>0.51759834368530022</v>
      </c>
      <c r="I23" s="69"/>
    </row>
    <row r="24" spans="1:9" ht="18" customHeight="1" x14ac:dyDescent="0.2">
      <c r="A24" s="52" t="s">
        <v>72</v>
      </c>
      <c r="B24" s="53">
        <v>71.2</v>
      </c>
      <c r="C24" s="54">
        <v>250</v>
      </c>
      <c r="D24" s="55"/>
      <c r="E24" s="55"/>
      <c r="F24" s="45">
        <f t="shared" si="9"/>
        <v>17800</v>
      </c>
      <c r="G24" s="56"/>
      <c r="H24" s="69">
        <f t="shared" si="10"/>
        <v>30.710835058661143</v>
      </c>
      <c r="I24" s="69"/>
    </row>
    <row r="25" spans="1:9" ht="18" customHeight="1" x14ac:dyDescent="0.2">
      <c r="A25" s="52" t="s">
        <v>73</v>
      </c>
      <c r="B25" s="53">
        <f>B24/12</f>
        <v>5.9333333333333336</v>
      </c>
      <c r="C25" s="54">
        <v>250</v>
      </c>
      <c r="D25" s="55"/>
      <c r="E25" s="55"/>
      <c r="F25" s="45">
        <f t="shared" si="9"/>
        <v>1483.3333333333335</v>
      </c>
      <c r="G25" s="56"/>
      <c r="H25" s="69">
        <f t="shared" si="10"/>
        <v>2.5592362548884289</v>
      </c>
      <c r="I25" s="69"/>
    </row>
    <row r="26" spans="1:9" ht="18" customHeight="1" x14ac:dyDescent="0.2">
      <c r="A26" s="52" t="s">
        <v>74</v>
      </c>
      <c r="B26" s="53">
        <f>G9/95</f>
        <v>6.1010526315789475</v>
      </c>
      <c r="C26" s="54">
        <v>1200</v>
      </c>
      <c r="D26" s="55"/>
      <c r="E26" s="55"/>
      <c r="F26" s="45">
        <f t="shared" si="9"/>
        <v>7321.2631578947367</v>
      </c>
      <c r="G26" s="56"/>
      <c r="H26" s="69">
        <f t="shared" si="10"/>
        <v>12.631578947368419</v>
      </c>
      <c r="I26" s="69"/>
    </row>
    <row r="27" spans="1:9" x14ac:dyDescent="0.2">
      <c r="A27" s="57" t="s">
        <v>75</v>
      </c>
      <c r="B27" s="58"/>
      <c r="C27" s="59">
        <v>250</v>
      </c>
      <c r="D27" s="60"/>
      <c r="E27" s="60"/>
      <c r="F27" s="61">
        <f t="shared" si="9"/>
        <v>0</v>
      </c>
      <c r="G27" s="84" t="s">
        <v>76</v>
      </c>
      <c r="H27" s="69">
        <f t="shared" si="10"/>
        <v>0</v>
      </c>
      <c r="I27" s="69"/>
    </row>
    <row r="28" spans="1:9" ht="18" customHeight="1" x14ac:dyDescent="0.2">
      <c r="A28" s="52" t="s">
        <v>77</v>
      </c>
      <c r="B28" s="53"/>
      <c r="C28" s="54">
        <v>5</v>
      </c>
      <c r="D28" s="55"/>
      <c r="E28" s="55"/>
      <c r="F28" s="62">
        <f>C28*G9</f>
        <v>2898</v>
      </c>
      <c r="G28" s="18"/>
      <c r="H28" s="69">
        <f t="shared" si="10"/>
        <v>5</v>
      </c>
      <c r="I28" s="69"/>
    </row>
    <row r="29" spans="1:9" ht="18" customHeight="1" x14ac:dyDescent="0.2">
      <c r="A29" s="52" t="s">
        <v>78</v>
      </c>
      <c r="B29" s="53">
        <v>0</v>
      </c>
      <c r="C29" s="54">
        <v>50</v>
      </c>
      <c r="D29" s="55"/>
      <c r="E29" s="55"/>
      <c r="F29" s="62">
        <f>B29*C29</f>
        <v>0</v>
      </c>
      <c r="G29" s="18"/>
      <c r="H29" s="69">
        <f t="shared" si="10"/>
        <v>0</v>
      </c>
      <c r="I29" s="69"/>
    </row>
    <row r="30" spans="1:9" ht="18" customHeight="1" x14ac:dyDescent="0.2">
      <c r="A30" s="52" t="s">
        <v>79</v>
      </c>
      <c r="B30" s="54">
        <f>'BOM R2D CatWalk'!AI171</f>
        <v>8.1248013360000009</v>
      </c>
      <c r="C30" s="54">
        <v>1250</v>
      </c>
      <c r="D30" s="55"/>
      <c r="E30" s="55"/>
      <c r="F30" s="62">
        <f>B30*C30</f>
        <v>10156.001670000001</v>
      </c>
      <c r="G30" s="63" t="s">
        <v>133</v>
      </c>
      <c r="H30" s="69">
        <f t="shared" si="10"/>
        <v>17.522432142857145</v>
      </c>
      <c r="I30" s="69"/>
    </row>
    <row r="31" spans="1:9" ht="18" customHeight="1" x14ac:dyDescent="0.2">
      <c r="A31" s="52" t="s">
        <v>123</v>
      </c>
      <c r="B31" s="54">
        <f>15/60</f>
        <v>0.25</v>
      </c>
      <c r="C31" s="54">
        <v>250</v>
      </c>
      <c r="D31" s="55"/>
      <c r="E31" s="55"/>
      <c r="F31" s="45">
        <f>B31*C31</f>
        <v>62.5</v>
      </c>
      <c r="G31" s="63"/>
      <c r="H31" s="69">
        <f t="shared" si="10"/>
        <v>0.10783298826777087</v>
      </c>
    </row>
    <row r="32" spans="1:9" ht="18" customHeight="1" x14ac:dyDescent="0.2">
      <c r="A32" s="52" t="s">
        <v>135</v>
      </c>
      <c r="B32" s="54"/>
      <c r="C32" s="54">
        <v>4.5</v>
      </c>
      <c r="D32" s="55"/>
      <c r="E32" s="55"/>
      <c r="F32" s="45">
        <f>C32*G9</f>
        <v>2608.2000000000003</v>
      </c>
      <c r="G32" s="63"/>
      <c r="H32" s="69">
        <f t="shared" si="10"/>
        <v>4.5</v>
      </c>
    </row>
    <row r="33" spans="1:23" ht="19.5" customHeight="1" x14ac:dyDescent="0.2">
      <c r="A33" s="47" t="s">
        <v>152</v>
      </c>
      <c r="B33" s="64"/>
      <c r="C33" s="65"/>
      <c r="D33" s="66"/>
      <c r="E33" s="66"/>
      <c r="F33" s="67">
        <f>SUM(F21:F32)</f>
        <v>50850.185566688029</v>
      </c>
      <c r="G33" s="18"/>
      <c r="H33" s="69">
        <f t="shared" si="10"/>
        <v>87.733239418026272</v>
      </c>
      <c r="I33" s="44"/>
    </row>
    <row r="34" spans="1:23" ht="22.5" customHeight="1" x14ac:dyDescent="0.2">
      <c r="A34" s="675" t="s">
        <v>80</v>
      </c>
      <c r="B34" s="676"/>
      <c r="C34" s="677"/>
      <c r="D34" s="333"/>
      <c r="E34" s="333"/>
      <c r="F34" s="154">
        <f>F18+F33</f>
        <v>207265.40422400803</v>
      </c>
      <c r="G34" s="68"/>
      <c r="H34" s="69"/>
      <c r="I34" s="44"/>
    </row>
    <row r="35" spans="1:23" x14ac:dyDescent="0.2">
      <c r="A35" s="83" t="s">
        <v>126</v>
      </c>
      <c r="B35" s="83"/>
      <c r="C35" s="336"/>
      <c r="D35" s="156">
        <v>0.1</v>
      </c>
      <c r="E35" s="156"/>
      <c r="F35" s="155">
        <f>F34*D35</f>
        <v>20726.540422400805</v>
      </c>
      <c r="G35" s="70"/>
      <c r="H35" s="69">
        <f t="shared" si="10"/>
        <v>35.760076643203597</v>
      </c>
    </row>
    <row r="36" spans="1:23" x14ac:dyDescent="0.2">
      <c r="A36" s="83" t="s">
        <v>127</v>
      </c>
      <c r="B36" s="83"/>
      <c r="C36" s="336"/>
      <c r="D36" s="336"/>
      <c r="E36" s="336"/>
      <c r="F36" s="155">
        <f>SUM(F34:F35)</f>
        <v>227991.94464640884</v>
      </c>
      <c r="G36" s="70"/>
      <c r="H36" s="69">
        <f>F36/G9</f>
        <v>393.36084307523953</v>
      </c>
      <c r="I36" s="69">
        <f>F36/G8</f>
        <v>220.86150783615406</v>
      </c>
    </row>
    <row r="37" spans="1:23" x14ac:dyDescent="0.2">
      <c r="I37" s="44"/>
    </row>
    <row r="38" spans="1:23" x14ac:dyDescent="0.2"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</row>
    <row r="39" spans="1:23" ht="12.75" customHeight="1" thickBot="1" x14ac:dyDescent="0.25">
      <c r="G39" s="11" t="s">
        <v>81</v>
      </c>
      <c r="H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</row>
    <row r="40" spans="1:23" ht="12.75" customHeight="1" x14ac:dyDescent="0.2">
      <c r="A40" s="699" t="s">
        <v>694</v>
      </c>
      <c r="B40" s="700"/>
      <c r="C40" s="700"/>
      <c r="D40" s="153"/>
      <c r="E40" s="153"/>
      <c r="F40" s="71" t="s">
        <v>83</v>
      </c>
      <c r="G40" s="11" t="s">
        <v>81</v>
      </c>
      <c r="H40" s="44"/>
      <c r="O40" s="44"/>
      <c r="P40" s="44"/>
      <c r="Q40" s="44"/>
      <c r="R40" s="44"/>
      <c r="S40" s="44"/>
      <c r="T40" s="44"/>
      <c r="U40" s="44"/>
      <c r="V40" s="44"/>
      <c r="W40" s="44"/>
    </row>
    <row r="41" spans="1:23" x14ac:dyDescent="0.2">
      <c r="A41" s="654" t="s">
        <v>134</v>
      </c>
      <c r="B41" s="655"/>
      <c r="C41" s="655"/>
      <c r="D41" s="334"/>
      <c r="E41" s="334"/>
      <c r="F41" s="72"/>
      <c r="O41" s="44"/>
      <c r="P41" s="44"/>
      <c r="Q41" s="44"/>
      <c r="R41" s="44"/>
      <c r="S41" s="44"/>
      <c r="T41" s="44"/>
      <c r="U41" s="44"/>
      <c r="V41" s="44"/>
      <c r="W41" s="44"/>
    </row>
    <row r="42" spans="1:23" ht="13.5" thickBot="1" x14ac:dyDescent="0.25">
      <c r="A42" s="656" t="s">
        <v>84</v>
      </c>
      <c r="B42" s="657"/>
      <c r="C42" s="657"/>
      <c r="D42" s="338"/>
      <c r="E42" s="338"/>
      <c r="F42" s="261" t="s">
        <v>85</v>
      </c>
      <c r="O42" s="44"/>
      <c r="P42" s="44"/>
      <c r="Q42" s="44"/>
      <c r="R42" s="44"/>
      <c r="S42" s="44"/>
      <c r="T42" s="44"/>
      <c r="U42" s="44"/>
      <c r="V42" s="44"/>
      <c r="W42" s="44"/>
    </row>
    <row r="43" spans="1:23" ht="20.100000000000001" customHeight="1" x14ac:dyDescent="0.2">
      <c r="H43" s="44"/>
      <c r="O43" s="44"/>
      <c r="P43" s="44"/>
      <c r="Q43" s="44"/>
      <c r="R43" s="44"/>
      <c r="S43" s="44"/>
      <c r="T43" s="44"/>
      <c r="U43" s="44"/>
      <c r="V43" s="44"/>
      <c r="W43" s="44"/>
    </row>
    <row r="44" spans="1:23" s="44" customFormat="1" ht="18" customHeight="1" thickBot="1" x14ac:dyDescent="0.25">
      <c r="A44" s="10"/>
      <c r="B44" s="10"/>
      <c r="C44" s="10"/>
      <c r="D44" s="10"/>
      <c r="E44" s="10"/>
      <c r="F44" s="70"/>
      <c r="G44" s="14"/>
      <c r="H44" s="10"/>
      <c r="I44" s="10"/>
      <c r="J44" s="10"/>
      <c r="K44" s="10"/>
      <c r="L44" s="10"/>
      <c r="M44" s="10"/>
      <c r="N44" s="10"/>
    </row>
    <row r="45" spans="1:23" s="44" customFormat="1" ht="15.75" thickBot="1" x14ac:dyDescent="0.25">
      <c r="A45" s="658" t="s">
        <v>161</v>
      </c>
      <c r="B45" s="659"/>
      <c r="C45" s="659"/>
      <c r="D45" s="660"/>
      <c r="E45" s="10"/>
      <c r="F45" s="70"/>
      <c r="G45" s="14"/>
      <c r="H45" s="10"/>
      <c r="I45" s="10"/>
      <c r="J45" s="10"/>
      <c r="K45" s="10"/>
      <c r="L45" s="10"/>
      <c r="M45" s="10"/>
      <c r="N45" s="10"/>
    </row>
    <row r="46" spans="1:23" s="44" customFormat="1" ht="19.5" customHeight="1" thickBot="1" x14ac:dyDescent="0.25">
      <c r="A46" s="282" t="s">
        <v>125</v>
      </c>
      <c r="B46" s="283" t="s">
        <v>159</v>
      </c>
      <c r="C46" s="283" t="s">
        <v>155</v>
      </c>
      <c r="D46" s="284" t="s">
        <v>156</v>
      </c>
      <c r="F46" s="70"/>
      <c r="G46" s="14"/>
      <c r="H46" s="10"/>
      <c r="I46" s="10"/>
      <c r="J46" s="10"/>
      <c r="K46" s="10"/>
      <c r="L46" s="10"/>
      <c r="M46" s="10"/>
      <c r="N46" s="10"/>
    </row>
    <row r="47" spans="1:23" s="44" customFormat="1" ht="15.75" x14ac:dyDescent="0.2">
      <c r="A47" s="288" t="s">
        <v>124</v>
      </c>
      <c r="B47" s="289">
        <f>B4*1.5</f>
        <v>1165.5</v>
      </c>
      <c r="C47" s="290">
        <v>100</v>
      </c>
      <c r="D47" s="291">
        <f>B47*C47</f>
        <v>116550</v>
      </c>
      <c r="F47" s="70"/>
      <c r="G47" s="14"/>
      <c r="H47" s="10"/>
      <c r="I47" s="264"/>
      <c r="J47" s="264"/>
      <c r="K47" s="264"/>
      <c r="L47" s="264"/>
      <c r="M47" s="264"/>
      <c r="N47" s="264"/>
      <c r="O47" s="265"/>
      <c r="P47" s="265"/>
      <c r="Q47" s="265"/>
      <c r="R47" s="265"/>
      <c r="S47" s="265"/>
      <c r="T47" s="265"/>
      <c r="U47" s="265"/>
      <c r="V47" s="265"/>
      <c r="W47" s="265"/>
    </row>
    <row r="48" spans="1:23" s="44" customFormat="1" ht="15.75" x14ac:dyDescent="0.2">
      <c r="A48" s="274" t="s">
        <v>711</v>
      </c>
      <c r="B48" s="80">
        <f>B4*0.2</f>
        <v>155.4</v>
      </c>
      <c r="C48" s="81">
        <v>200</v>
      </c>
      <c r="D48" s="273">
        <f>B48*C48</f>
        <v>31080</v>
      </c>
      <c r="F48" s="70"/>
      <c r="G48" s="14"/>
      <c r="H48" s="10"/>
      <c r="I48" s="10"/>
      <c r="J48" s="10"/>
      <c r="K48" s="10"/>
      <c r="L48" s="10"/>
      <c r="M48" s="10"/>
      <c r="N48" s="10"/>
    </row>
    <row r="49" spans="1:23" s="44" customFormat="1" ht="15.75" x14ac:dyDescent="0.2">
      <c r="A49" s="274" t="s">
        <v>162</v>
      </c>
      <c r="B49" s="80">
        <f>SUM(B47:B48)</f>
        <v>1320.9</v>
      </c>
      <c r="C49" s="81">
        <v>4.5</v>
      </c>
      <c r="D49" s="273">
        <f>B49*C49</f>
        <v>5944.05</v>
      </c>
      <c r="F49" s="70"/>
      <c r="G49" s="14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s="44" customFormat="1" ht="15.75" x14ac:dyDescent="0.2">
      <c r="A50" s="292" t="s">
        <v>163</v>
      </c>
      <c r="B50" s="286"/>
      <c r="C50" s="287"/>
      <c r="D50" s="293">
        <f>SUM(D47:D49)</f>
        <v>153574.04999999999</v>
      </c>
      <c r="F50" s="70"/>
      <c r="G50" s="14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s="44" customFormat="1" ht="15.75" x14ac:dyDescent="0.2">
      <c r="A51" s="274" t="s">
        <v>158</v>
      </c>
      <c r="B51" s="80">
        <v>5</v>
      </c>
      <c r="C51" s="81">
        <f>75000/30</f>
        <v>2500</v>
      </c>
      <c r="D51" s="273">
        <f>B51*C51</f>
        <v>12500</v>
      </c>
      <c r="E51" s="294"/>
      <c r="F51" s="70"/>
      <c r="G51" s="14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s="44" customFormat="1" ht="16.5" thickBot="1" x14ac:dyDescent="0.25">
      <c r="A52" s="275" t="s">
        <v>126</v>
      </c>
      <c r="B52" s="276"/>
      <c r="C52" s="285">
        <v>2.5499999999999998E-2</v>
      </c>
      <c r="D52" s="277">
        <f>(D50+D51)*C52</f>
        <v>4234.8882749999993</v>
      </c>
      <c r="F52" s="70"/>
      <c r="G52" s="14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s="265" customFormat="1" ht="16.5" thickBot="1" x14ac:dyDescent="0.25">
      <c r="A53" s="278" t="s">
        <v>160</v>
      </c>
      <c r="B53" s="279"/>
      <c r="C53" s="280"/>
      <c r="D53" s="281">
        <f>SUM(D50:D52)</f>
        <v>170308.93827499999</v>
      </c>
      <c r="E53" s="295"/>
      <c r="F53" s="262"/>
      <c r="G53" s="263"/>
      <c r="H53" s="264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s="44" customFormat="1" ht="25.5" customHeight="1" x14ac:dyDescent="0.2">
      <c r="A54" s="10"/>
      <c r="B54" s="10"/>
      <c r="C54" s="10"/>
      <c r="D54" s="10"/>
      <c r="E54" s="10"/>
      <c r="F54" s="70"/>
      <c r="G54" s="14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</sheetData>
  <sheetProtection selectLockedCells="1" selectUnlockedCells="1"/>
  <mergeCells count="15">
    <mergeCell ref="B14:F14"/>
    <mergeCell ref="A1:F1"/>
    <mergeCell ref="E3:F3"/>
    <mergeCell ref="J4:P4"/>
    <mergeCell ref="A5:F5"/>
    <mergeCell ref="A6:F6"/>
    <mergeCell ref="A41:C41"/>
    <mergeCell ref="A42:C42"/>
    <mergeCell ref="A45:D45"/>
    <mergeCell ref="A15:F15"/>
    <mergeCell ref="A17:C17"/>
    <mergeCell ref="A18:C18"/>
    <mergeCell ref="A19:F19"/>
    <mergeCell ref="A34:C34"/>
    <mergeCell ref="A40:C4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R6:R11" emptyCellReference="1"/>
    <ignoredError sqref="S15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1F9D-520F-4D32-8A55-75D8FA5621CB}">
  <sheetPr>
    <pageSetUpPr fitToPage="1"/>
  </sheetPr>
  <dimension ref="A1:W54"/>
  <sheetViews>
    <sheetView topLeftCell="A36" zoomScale="70" zoomScaleNormal="70" zoomScaleSheetLayoutView="100" workbookViewId="0">
      <selection activeCell="C52" sqref="C52"/>
    </sheetView>
  </sheetViews>
  <sheetFormatPr defaultRowHeight="12.75" x14ac:dyDescent="0.2"/>
  <cols>
    <col min="1" max="1" width="44.42578125" style="10" bestFit="1" customWidth="1"/>
    <col min="2" max="2" width="27.140625" style="10" bestFit="1" customWidth="1"/>
    <col min="3" max="3" width="17.42578125" style="10" bestFit="1" customWidth="1"/>
    <col min="4" max="4" width="20" style="10" bestFit="1" customWidth="1"/>
    <col min="5" max="5" width="20" style="10" customWidth="1"/>
    <col min="6" max="6" width="18.5703125" style="70" bestFit="1" customWidth="1"/>
    <col min="7" max="7" width="21.140625" style="14" customWidth="1"/>
    <col min="8" max="8" width="10.140625" style="10" customWidth="1"/>
    <col min="9" max="9" width="8.85546875" style="10" customWidth="1"/>
    <col min="10" max="10" width="6.5703125" style="10" bestFit="1" customWidth="1"/>
    <col min="11" max="11" width="9.85546875" style="10" bestFit="1" customWidth="1"/>
    <col min="12" max="12" width="15.140625" style="10" bestFit="1" customWidth="1"/>
    <col min="13" max="13" width="18.42578125" style="10" bestFit="1" customWidth="1"/>
    <col min="14" max="14" width="10.28515625" style="10" bestFit="1" customWidth="1"/>
    <col min="15" max="15" width="12.28515625" style="10" bestFit="1" customWidth="1"/>
    <col min="16" max="16" width="17.140625" style="10" bestFit="1" customWidth="1"/>
    <col min="17" max="17" width="11.140625" style="10" bestFit="1" customWidth="1"/>
    <col min="18" max="18" width="15.140625" style="10" bestFit="1" customWidth="1"/>
    <col min="19" max="19" width="10.42578125" style="10" bestFit="1" customWidth="1"/>
    <col min="20" max="20" width="14.85546875" style="10" bestFit="1" customWidth="1"/>
    <col min="21" max="21" width="23.85546875" style="10" customWidth="1"/>
    <col min="22" max="204" width="9.140625" style="10"/>
    <col min="205" max="205" width="37.42578125" style="10" customWidth="1"/>
    <col min="206" max="206" width="13.5703125" style="10" customWidth="1"/>
    <col min="207" max="207" width="14.42578125" style="10" customWidth="1"/>
    <col min="208" max="208" width="8.42578125" style="10" bestFit="1" customWidth="1"/>
    <col min="209" max="209" width="16.85546875" style="10" customWidth="1"/>
    <col min="210" max="210" width="9.140625" style="10"/>
    <col min="211" max="211" width="11.28515625" style="10" customWidth="1"/>
    <col min="212" max="460" width="9.140625" style="10"/>
    <col min="461" max="461" width="37.42578125" style="10" customWidth="1"/>
    <col min="462" max="462" width="13.5703125" style="10" customWidth="1"/>
    <col min="463" max="463" width="14.42578125" style="10" customWidth="1"/>
    <col min="464" max="464" width="8.42578125" style="10" bestFit="1" customWidth="1"/>
    <col min="465" max="465" width="16.85546875" style="10" customWidth="1"/>
    <col min="466" max="466" width="9.140625" style="10"/>
    <col min="467" max="467" width="11.28515625" style="10" customWidth="1"/>
    <col min="468" max="716" width="9.140625" style="10"/>
    <col min="717" max="717" width="37.42578125" style="10" customWidth="1"/>
    <col min="718" max="718" width="13.5703125" style="10" customWidth="1"/>
    <col min="719" max="719" width="14.42578125" style="10" customWidth="1"/>
    <col min="720" max="720" width="8.42578125" style="10" bestFit="1" customWidth="1"/>
    <col min="721" max="721" width="16.85546875" style="10" customWidth="1"/>
    <col min="722" max="722" width="9.140625" style="10"/>
    <col min="723" max="723" width="11.28515625" style="10" customWidth="1"/>
    <col min="724" max="972" width="9.140625" style="10"/>
    <col min="973" max="973" width="37.42578125" style="10" customWidth="1"/>
    <col min="974" max="974" width="13.5703125" style="10" customWidth="1"/>
    <col min="975" max="975" width="14.42578125" style="10" customWidth="1"/>
    <col min="976" max="976" width="8.42578125" style="10" bestFit="1" customWidth="1"/>
    <col min="977" max="977" width="16.85546875" style="10" customWidth="1"/>
    <col min="978" max="978" width="9.140625" style="10"/>
    <col min="979" max="979" width="11.28515625" style="10" customWidth="1"/>
    <col min="980" max="1228" width="9.140625" style="10"/>
    <col min="1229" max="1229" width="37.42578125" style="10" customWidth="1"/>
    <col min="1230" max="1230" width="13.5703125" style="10" customWidth="1"/>
    <col min="1231" max="1231" width="14.42578125" style="10" customWidth="1"/>
    <col min="1232" max="1232" width="8.42578125" style="10" bestFit="1" customWidth="1"/>
    <col min="1233" max="1233" width="16.85546875" style="10" customWidth="1"/>
    <col min="1234" max="1234" width="9.140625" style="10"/>
    <col min="1235" max="1235" width="11.28515625" style="10" customWidth="1"/>
    <col min="1236" max="1484" width="9.140625" style="10"/>
    <col min="1485" max="1485" width="37.42578125" style="10" customWidth="1"/>
    <col min="1486" max="1486" width="13.5703125" style="10" customWidth="1"/>
    <col min="1487" max="1487" width="14.42578125" style="10" customWidth="1"/>
    <col min="1488" max="1488" width="8.42578125" style="10" bestFit="1" customWidth="1"/>
    <col min="1489" max="1489" width="16.85546875" style="10" customWidth="1"/>
    <col min="1490" max="1490" width="9.140625" style="10"/>
    <col min="1491" max="1491" width="11.28515625" style="10" customWidth="1"/>
    <col min="1492" max="1740" width="9.140625" style="10"/>
    <col min="1741" max="1741" width="37.42578125" style="10" customWidth="1"/>
    <col min="1742" max="1742" width="13.5703125" style="10" customWidth="1"/>
    <col min="1743" max="1743" width="14.42578125" style="10" customWidth="1"/>
    <col min="1744" max="1744" width="8.42578125" style="10" bestFit="1" customWidth="1"/>
    <col min="1745" max="1745" width="16.85546875" style="10" customWidth="1"/>
    <col min="1746" max="1746" width="9.140625" style="10"/>
    <col min="1747" max="1747" width="11.28515625" style="10" customWidth="1"/>
    <col min="1748" max="1996" width="9.140625" style="10"/>
    <col min="1997" max="1997" width="37.42578125" style="10" customWidth="1"/>
    <col min="1998" max="1998" width="13.5703125" style="10" customWidth="1"/>
    <col min="1999" max="1999" width="14.42578125" style="10" customWidth="1"/>
    <col min="2000" max="2000" width="8.42578125" style="10" bestFit="1" customWidth="1"/>
    <col min="2001" max="2001" width="16.85546875" style="10" customWidth="1"/>
    <col min="2002" max="2002" width="9.140625" style="10"/>
    <col min="2003" max="2003" width="11.28515625" style="10" customWidth="1"/>
    <col min="2004" max="2252" width="9.140625" style="10"/>
    <col min="2253" max="2253" width="37.42578125" style="10" customWidth="1"/>
    <col min="2254" max="2254" width="13.5703125" style="10" customWidth="1"/>
    <col min="2255" max="2255" width="14.42578125" style="10" customWidth="1"/>
    <col min="2256" max="2256" width="8.42578125" style="10" bestFit="1" customWidth="1"/>
    <col min="2257" max="2257" width="16.85546875" style="10" customWidth="1"/>
    <col min="2258" max="2258" width="9.140625" style="10"/>
    <col min="2259" max="2259" width="11.28515625" style="10" customWidth="1"/>
    <col min="2260" max="2508" width="9.140625" style="10"/>
    <col min="2509" max="2509" width="37.42578125" style="10" customWidth="1"/>
    <col min="2510" max="2510" width="13.5703125" style="10" customWidth="1"/>
    <col min="2511" max="2511" width="14.42578125" style="10" customWidth="1"/>
    <col min="2512" max="2512" width="8.42578125" style="10" bestFit="1" customWidth="1"/>
    <col min="2513" max="2513" width="16.85546875" style="10" customWidth="1"/>
    <col min="2514" max="2514" width="9.140625" style="10"/>
    <col min="2515" max="2515" width="11.28515625" style="10" customWidth="1"/>
    <col min="2516" max="2764" width="9.140625" style="10"/>
    <col min="2765" max="2765" width="37.42578125" style="10" customWidth="1"/>
    <col min="2766" max="2766" width="13.5703125" style="10" customWidth="1"/>
    <col min="2767" max="2767" width="14.42578125" style="10" customWidth="1"/>
    <col min="2768" max="2768" width="8.42578125" style="10" bestFit="1" customWidth="1"/>
    <col min="2769" max="2769" width="16.85546875" style="10" customWidth="1"/>
    <col min="2770" max="2770" width="9.140625" style="10"/>
    <col min="2771" max="2771" width="11.28515625" style="10" customWidth="1"/>
    <col min="2772" max="3020" width="9.140625" style="10"/>
    <col min="3021" max="3021" width="37.42578125" style="10" customWidth="1"/>
    <col min="3022" max="3022" width="13.5703125" style="10" customWidth="1"/>
    <col min="3023" max="3023" width="14.42578125" style="10" customWidth="1"/>
    <col min="3024" max="3024" width="8.42578125" style="10" bestFit="1" customWidth="1"/>
    <col min="3025" max="3025" width="16.85546875" style="10" customWidth="1"/>
    <col min="3026" max="3026" width="9.140625" style="10"/>
    <col min="3027" max="3027" width="11.28515625" style="10" customWidth="1"/>
    <col min="3028" max="3276" width="9.140625" style="10"/>
    <col min="3277" max="3277" width="37.42578125" style="10" customWidth="1"/>
    <col min="3278" max="3278" width="13.5703125" style="10" customWidth="1"/>
    <col min="3279" max="3279" width="14.42578125" style="10" customWidth="1"/>
    <col min="3280" max="3280" width="8.42578125" style="10" bestFit="1" customWidth="1"/>
    <col min="3281" max="3281" width="16.85546875" style="10" customWidth="1"/>
    <col min="3282" max="3282" width="9.140625" style="10"/>
    <col min="3283" max="3283" width="11.28515625" style="10" customWidth="1"/>
    <col min="3284" max="3532" width="9.140625" style="10"/>
    <col min="3533" max="3533" width="37.42578125" style="10" customWidth="1"/>
    <col min="3534" max="3534" width="13.5703125" style="10" customWidth="1"/>
    <col min="3535" max="3535" width="14.42578125" style="10" customWidth="1"/>
    <col min="3536" max="3536" width="8.42578125" style="10" bestFit="1" customWidth="1"/>
    <col min="3537" max="3537" width="16.85546875" style="10" customWidth="1"/>
    <col min="3538" max="3538" width="9.140625" style="10"/>
    <col min="3539" max="3539" width="11.28515625" style="10" customWidth="1"/>
    <col min="3540" max="3788" width="9.140625" style="10"/>
    <col min="3789" max="3789" width="37.42578125" style="10" customWidth="1"/>
    <col min="3790" max="3790" width="13.5703125" style="10" customWidth="1"/>
    <col min="3791" max="3791" width="14.42578125" style="10" customWidth="1"/>
    <col min="3792" max="3792" width="8.42578125" style="10" bestFit="1" customWidth="1"/>
    <col min="3793" max="3793" width="16.85546875" style="10" customWidth="1"/>
    <col min="3794" max="3794" width="9.140625" style="10"/>
    <col min="3795" max="3795" width="11.28515625" style="10" customWidth="1"/>
    <col min="3796" max="4044" width="9.140625" style="10"/>
    <col min="4045" max="4045" width="37.42578125" style="10" customWidth="1"/>
    <col min="4046" max="4046" width="13.5703125" style="10" customWidth="1"/>
    <col min="4047" max="4047" width="14.42578125" style="10" customWidth="1"/>
    <col min="4048" max="4048" width="8.42578125" style="10" bestFit="1" customWidth="1"/>
    <col min="4049" max="4049" width="16.85546875" style="10" customWidth="1"/>
    <col min="4050" max="4050" width="9.140625" style="10"/>
    <col min="4051" max="4051" width="11.28515625" style="10" customWidth="1"/>
    <col min="4052" max="4300" width="9.140625" style="10"/>
    <col min="4301" max="4301" width="37.42578125" style="10" customWidth="1"/>
    <col min="4302" max="4302" width="13.5703125" style="10" customWidth="1"/>
    <col min="4303" max="4303" width="14.42578125" style="10" customWidth="1"/>
    <col min="4304" max="4304" width="8.42578125" style="10" bestFit="1" customWidth="1"/>
    <col min="4305" max="4305" width="16.85546875" style="10" customWidth="1"/>
    <col min="4306" max="4306" width="9.140625" style="10"/>
    <col min="4307" max="4307" width="11.28515625" style="10" customWidth="1"/>
    <col min="4308" max="4556" width="9.140625" style="10"/>
    <col min="4557" max="4557" width="37.42578125" style="10" customWidth="1"/>
    <col min="4558" max="4558" width="13.5703125" style="10" customWidth="1"/>
    <col min="4559" max="4559" width="14.42578125" style="10" customWidth="1"/>
    <col min="4560" max="4560" width="8.42578125" style="10" bestFit="1" customWidth="1"/>
    <col min="4561" max="4561" width="16.85546875" style="10" customWidth="1"/>
    <col min="4562" max="4562" width="9.140625" style="10"/>
    <col min="4563" max="4563" width="11.28515625" style="10" customWidth="1"/>
    <col min="4564" max="4812" width="9.140625" style="10"/>
    <col min="4813" max="4813" width="37.42578125" style="10" customWidth="1"/>
    <col min="4814" max="4814" width="13.5703125" style="10" customWidth="1"/>
    <col min="4815" max="4815" width="14.42578125" style="10" customWidth="1"/>
    <col min="4816" max="4816" width="8.42578125" style="10" bestFit="1" customWidth="1"/>
    <col min="4817" max="4817" width="16.85546875" style="10" customWidth="1"/>
    <col min="4818" max="4818" width="9.140625" style="10"/>
    <col min="4819" max="4819" width="11.28515625" style="10" customWidth="1"/>
    <col min="4820" max="5068" width="9.140625" style="10"/>
    <col min="5069" max="5069" width="37.42578125" style="10" customWidth="1"/>
    <col min="5070" max="5070" width="13.5703125" style="10" customWidth="1"/>
    <col min="5071" max="5071" width="14.42578125" style="10" customWidth="1"/>
    <col min="5072" max="5072" width="8.42578125" style="10" bestFit="1" customWidth="1"/>
    <col min="5073" max="5073" width="16.85546875" style="10" customWidth="1"/>
    <col min="5074" max="5074" width="9.140625" style="10"/>
    <col min="5075" max="5075" width="11.28515625" style="10" customWidth="1"/>
    <col min="5076" max="5324" width="9.140625" style="10"/>
    <col min="5325" max="5325" width="37.42578125" style="10" customWidth="1"/>
    <col min="5326" max="5326" width="13.5703125" style="10" customWidth="1"/>
    <col min="5327" max="5327" width="14.42578125" style="10" customWidth="1"/>
    <col min="5328" max="5328" width="8.42578125" style="10" bestFit="1" customWidth="1"/>
    <col min="5329" max="5329" width="16.85546875" style="10" customWidth="1"/>
    <col min="5330" max="5330" width="9.140625" style="10"/>
    <col min="5331" max="5331" width="11.28515625" style="10" customWidth="1"/>
    <col min="5332" max="5580" width="9.140625" style="10"/>
    <col min="5581" max="5581" width="37.42578125" style="10" customWidth="1"/>
    <col min="5582" max="5582" width="13.5703125" style="10" customWidth="1"/>
    <col min="5583" max="5583" width="14.42578125" style="10" customWidth="1"/>
    <col min="5584" max="5584" width="8.42578125" style="10" bestFit="1" customWidth="1"/>
    <col min="5585" max="5585" width="16.85546875" style="10" customWidth="1"/>
    <col min="5586" max="5586" width="9.140625" style="10"/>
    <col min="5587" max="5587" width="11.28515625" style="10" customWidth="1"/>
    <col min="5588" max="5836" width="9.140625" style="10"/>
    <col min="5837" max="5837" width="37.42578125" style="10" customWidth="1"/>
    <col min="5838" max="5838" width="13.5703125" style="10" customWidth="1"/>
    <col min="5839" max="5839" width="14.42578125" style="10" customWidth="1"/>
    <col min="5840" max="5840" width="8.42578125" style="10" bestFit="1" customWidth="1"/>
    <col min="5841" max="5841" width="16.85546875" style="10" customWidth="1"/>
    <col min="5842" max="5842" width="9.140625" style="10"/>
    <col min="5843" max="5843" width="11.28515625" style="10" customWidth="1"/>
    <col min="5844" max="6092" width="9.140625" style="10"/>
    <col min="6093" max="6093" width="37.42578125" style="10" customWidth="1"/>
    <col min="6094" max="6094" width="13.5703125" style="10" customWidth="1"/>
    <col min="6095" max="6095" width="14.42578125" style="10" customWidth="1"/>
    <col min="6096" max="6096" width="8.42578125" style="10" bestFit="1" customWidth="1"/>
    <col min="6097" max="6097" width="16.85546875" style="10" customWidth="1"/>
    <col min="6098" max="6098" width="9.140625" style="10"/>
    <col min="6099" max="6099" width="11.28515625" style="10" customWidth="1"/>
    <col min="6100" max="6348" width="9.140625" style="10"/>
    <col min="6349" max="6349" width="37.42578125" style="10" customWidth="1"/>
    <col min="6350" max="6350" width="13.5703125" style="10" customWidth="1"/>
    <col min="6351" max="6351" width="14.42578125" style="10" customWidth="1"/>
    <col min="6352" max="6352" width="8.42578125" style="10" bestFit="1" customWidth="1"/>
    <col min="6353" max="6353" width="16.85546875" style="10" customWidth="1"/>
    <col min="6354" max="6354" width="9.140625" style="10"/>
    <col min="6355" max="6355" width="11.28515625" style="10" customWidth="1"/>
    <col min="6356" max="6604" width="9.140625" style="10"/>
    <col min="6605" max="6605" width="37.42578125" style="10" customWidth="1"/>
    <col min="6606" max="6606" width="13.5703125" style="10" customWidth="1"/>
    <col min="6607" max="6607" width="14.42578125" style="10" customWidth="1"/>
    <col min="6608" max="6608" width="8.42578125" style="10" bestFit="1" customWidth="1"/>
    <col min="6609" max="6609" width="16.85546875" style="10" customWidth="1"/>
    <col min="6610" max="6610" width="9.140625" style="10"/>
    <col min="6611" max="6611" width="11.28515625" style="10" customWidth="1"/>
    <col min="6612" max="6860" width="9.140625" style="10"/>
    <col min="6861" max="6861" width="37.42578125" style="10" customWidth="1"/>
    <col min="6862" max="6862" width="13.5703125" style="10" customWidth="1"/>
    <col min="6863" max="6863" width="14.42578125" style="10" customWidth="1"/>
    <col min="6864" max="6864" width="8.42578125" style="10" bestFit="1" customWidth="1"/>
    <col min="6865" max="6865" width="16.85546875" style="10" customWidth="1"/>
    <col min="6866" max="6866" width="9.140625" style="10"/>
    <col min="6867" max="6867" width="11.28515625" style="10" customWidth="1"/>
    <col min="6868" max="7116" width="9.140625" style="10"/>
    <col min="7117" max="7117" width="37.42578125" style="10" customWidth="1"/>
    <col min="7118" max="7118" width="13.5703125" style="10" customWidth="1"/>
    <col min="7119" max="7119" width="14.42578125" style="10" customWidth="1"/>
    <col min="7120" max="7120" width="8.42578125" style="10" bestFit="1" customWidth="1"/>
    <col min="7121" max="7121" width="16.85546875" style="10" customWidth="1"/>
    <col min="7122" max="7122" width="9.140625" style="10"/>
    <col min="7123" max="7123" width="11.28515625" style="10" customWidth="1"/>
    <col min="7124" max="7372" width="9.140625" style="10"/>
    <col min="7373" max="7373" width="37.42578125" style="10" customWidth="1"/>
    <col min="7374" max="7374" width="13.5703125" style="10" customWidth="1"/>
    <col min="7375" max="7375" width="14.42578125" style="10" customWidth="1"/>
    <col min="7376" max="7376" width="8.42578125" style="10" bestFit="1" customWidth="1"/>
    <col min="7377" max="7377" width="16.85546875" style="10" customWidth="1"/>
    <col min="7378" max="7378" width="9.140625" style="10"/>
    <col min="7379" max="7379" width="11.28515625" style="10" customWidth="1"/>
    <col min="7380" max="7628" width="9.140625" style="10"/>
    <col min="7629" max="7629" width="37.42578125" style="10" customWidth="1"/>
    <col min="7630" max="7630" width="13.5703125" style="10" customWidth="1"/>
    <col min="7631" max="7631" width="14.42578125" style="10" customWidth="1"/>
    <col min="7632" max="7632" width="8.42578125" style="10" bestFit="1" customWidth="1"/>
    <col min="7633" max="7633" width="16.85546875" style="10" customWidth="1"/>
    <col min="7634" max="7634" width="9.140625" style="10"/>
    <col min="7635" max="7635" width="11.28515625" style="10" customWidth="1"/>
    <col min="7636" max="7884" width="9.140625" style="10"/>
    <col min="7885" max="7885" width="37.42578125" style="10" customWidth="1"/>
    <col min="7886" max="7886" width="13.5703125" style="10" customWidth="1"/>
    <col min="7887" max="7887" width="14.42578125" style="10" customWidth="1"/>
    <col min="7888" max="7888" width="8.42578125" style="10" bestFit="1" customWidth="1"/>
    <col min="7889" max="7889" width="16.85546875" style="10" customWidth="1"/>
    <col min="7890" max="7890" width="9.140625" style="10"/>
    <col min="7891" max="7891" width="11.28515625" style="10" customWidth="1"/>
    <col min="7892" max="8140" width="9.140625" style="10"/>
    <col min="8141" max="8141" width="37.42578125" style="10" customWidth="1"/>
    <col min="8142" max="8142" width="13.5703125" style="10" customWidth="1"/>
    <col min="8143" max="8143" width="14.42578125" style="10" customWidth="1"/>
    <col min="8144" max="8144" width="8.42578125" style="10" bestFit="1" customWidth="1"/>
    <col min="8145" max="8145" width="16.85546875" style="10" customWidth="1"/>
    <col min="8146" max="8146" width="9.140625" style="10"/>
    <col min="8147" max="8147" width="11.28515625" style="10" customWidth="1"/>
    <col min="8148" max="8396" width="9.140625" style="10"/>
    <col min="8397" max="8397" width="37.42578125" style="10" customWidth="1"/>
    <col min="8398" max="8398" width="13.5703125" style="10" customWidth="1"/>
    <col min="8399" max="8399" width="14.42578125" style="10" customWidth="1"/>
    <col min="8400" max="8400" width="8.42578125" style="10" bestFit="1" customWidth="1"/>
    <col min="8401" max="8401" width="16.85546875" style="10" customWidth="1"/>
    <col min="8402" max="8402" width="9.140625" style="10"/>
    <col min="8403" max="8403" width="11.28515625" style="10" customWidth="1"/>
    <col min="8404" max="8652" width="9.140625" style="10"/>
    <col min="8653" max="8653" width="37.42578125" style="10" customWidth="1"/>
    <col min="8654" max="8654" width="13.5703125" style="10" customWidth="1"/>
    <col min="8655" max="8655" width="14.42578125" style="10" customWidth="1"/>
    <col min="8656" max="8656" width="8.42578125" style="10" bestFit="1" customWidth="1"/>
    <col min="8657" max="8657" width="16.85546875" style="10" customWidth="1"/>
    <col min="8658" max="8658" width="9.140625" style="10"/>
    <col min="8659" max="8659" width="11.28515625" style="10" customWidth="1"/>
    <col min="8660" max="8908" width="9.140625" style="10"/>
    <col min="8909" max="8909" width="37.42578125" style="10" customWidth="1"/>
    <col min="8910" max="8910" width="13.5703125" style="10" customWidth="1"/>
    <col min="8911" max="8911" width="14.42578125" style="10" customWidth="1"/>
    <col min="8912" max="8912" width="8.42578125" style="10" bestFit="1" customWidth="1"/>
    <col min="8913" max="8913" width="16.85546875" style="10" customWidth="1"/>
    <col min="8914" max="8914" width="9.140625" style="10"/>
    <col min="8915" max="8915" width="11.28515625" style="10" customWidth="1"/>
    <col min="8916" max="9164" width="9.140625" style="10"/>
    <col min="9165" max="9165" width="37.42578125" style="10" customWidth="1"/>
    <col min="9166" max="9166" width="13.5703125" style="10" customWidth="1"/>
    <col min="9167" max="9167" width="14.42578125" style="10" customWidth="1"/>
    <col min="9168" max="9168" width="8.42578125" style="10" bestFit="1" customWidth="1"/>
    <col min="9169" max="9169" width="16.85546875" style="10" customWidth="1"/>
    <col min="9170" max="9170" width="9.140625" style="10"/>
    <col min="9171" max="9171" width="11.28515625" style="10" customWidth="1"/>
    <col min="9172" max="9420" width="9.140625" style="10"/>
    <col min="9421" max="9421" width="37.42578125" style="10" customWidth="1"/>
    <col min="9422" max="9422" width="13.5703125" style="10" customWidth="1"/>
    <col min="9423" max="9423" width="14.42578125" style="10" customWidth="1"/>
    <col min="9424" max="9424" width="8.42578125" style="10" bestFit="1" customWidth="1"/>
    <col min="9425" max="9425" width="16.85546875" style="10" customWidth="1"/>
    <col min="9426" max="9426" width="9.140625" style="10"/>
    <col min="9427" max="9427" width="11.28515625" style="10" customWidth="1"/>
    <col min="9428" max="9676" width="9.140625" style="10"/>
    <col min="9677" max="9677" width="37.42578125" style="10" customWidth="1"/>
    <col min="9678" max="9678" width="13.5703125" style="10" customWidth="1"/>
    <col min="9679" max="9679" width="14.42578125" style="10" customWidth="1"/>
    <col min="9680" max="9680" width="8.42578125" style="10" bestFit="1" customWidth="1"/>
    <col min="9681" max="9681" width="16.85546875" style="10" customWidth="1"/>
    <col min="9682" max="9682" width="9.140625" style="10"/>
    <col min="9683" max="9683" width="11.28515625" style="10" customWidth="1"/>
    <col min="9684" max="9932" width="9.140625" style="10"/>
    <col min="9933" max="9933" width="37.42578125" style="10" customWidth="1"/>
    <col min="9934" max="9934" width="13.5703125" style="10" customWidth="1"/>
    <col min="9935" max="9935" width="14.42578125" style="10" customWidth="1"/>
    <col min="9936" max="9936" width="8.42578125" style="10" bestFit="1" customWidth="1"/>
    <col min="9937" max="9937" width="16.85546875" style="10" customWidth="1"/>
    <col min="9938" max="9938" width="9.140625" style="10"/>
    <col min="9939" max="9939" width="11.28515625" style="10" customWidth="1"/>
    <col min="9940" max="10188" width="9.140625" style="10"/>
    <col min="10189" max="10189" width="37.42578125" style="10" customWidth="1"/>
    <col min="10190" max="10190" width="13.5703125" style="10" customWidth="1"/>
    <col min="10191" max="10191" width="14.42578125" style="10" customWidth="1"/>
    <col min="10192" max="10192" width="8.42578125" style="10" bestFit="1" customWidth="1"/>
    <col min="10193" max="10193" width="16.85546875" style="10" customWidth="1"/>
    <col min="10194" max="10194" width="9.140625" style="10"/>
    <col min="10195" max="10195" width="11.28515625" style="10" customWidth="1"/>
    <col min="10196" max="10444" width="9.140625" style="10"/>
    <col min="10445" max="10445" width="37.42578125" style="10" customWidth="1"/>
    <col min="10446" max="10446" width="13.5703125" style="10" customWidth="1"/>
    <col min="10447" max="10447" width="14.42578125" style="10" customWidth="1"/>
    <col min="10448" max="10448" width="8.42578125" style="10" bestFit="1" customWidth="1"/>
    <col min="10449" max="10449" width="16.85546875" style="10" customWidth="1"/>
    <col min="10450" max="10450" width="9.140625" style="10"/>
    <col min="10451" max="10451" width="11.28515625" style="10" customWidth="1"/>
    <col min="10452" max="10700" width="9.140625" style="10"/>
    <col min="10701" max="10701" width="37.42578125" style="10" customWidth="1"/>
    <col min="10702" max="10702" width="13.5703125" style="10" customWidth="1"/>
    <col min="10703" max="10703" width="14.42578125" style="10" customWidth="1"/>
    <col min="10704" max="10704" width="8.42578125" style="10" bestFit="1" customWidth="1"/>
    <col min="10705" max="10705" width="16.85546875" style="10" customWidth="1"/>
    <col min="10706" max="10706" width="9.140625" style="10"/>
    <col min="10707" max="10707" width="11.28515625" style="10" customWidth="1"/>
    <col min="10708" max="10956" width="9.140625" style="10"/>
    <col min="10957" max="10957" width="37.42578125" style="10" customWidth="1"/>
    <col min="10958" max="10958" width="13.5703125" style="10" customWidth="1"/>
    <col min="10959" max="10959" width="14.42578125" style="10" customWidth="1"/>
    <col min="10960" max="10960" width="8.42578125" style="10" bestFit="1" customWidth="1"/>
    <col min="10961" max="10961" width="16.85546875" style="10" customWidth="1"/>
    <col min="10962" max="10962" width="9.140625" style="10"/>
    <col min="10963" max="10963" width="11.28515625" style="10" customWidth="1"/>
    <col min="10964" max="11212" width="9.140625" style="10"/>
    <col min="11213" max="11213" width="37.42578125" style="10" customWidth="1"/>
    <col min="11214" max="11214" width="13.5703125" style="10" customWidth="1"/>
    <col min="11215" max="11215" width="14.42578125" style="10" customWidth="1"/>
    <col min="11216" max="11216" width="8.42578125" style="10" bestFit="1" customWidth="1"/>
    <col min="11217" max="11217" width="16.85546875" style="10" customWidth="1"/>
    <col min="11218" max="11218" width="9.140625" style="10"/>
    <col min="11219" max="11219" width="11.28515625" style="10" customWidth="1"/>
    <col min="11220" max="11468" width="9.140625" style="10"/>
    <col min="11469" max="11469" width="37.42578125" style="10" customWidth="1"/>
    <col min="11470" max="11470" width="13.5703125" style="10" customWidth="1"/>
    <col min="11471" max="11471" width="14.42578125" style="10" customWidth="1"/>
    <col min="11472" max="11472" width="8.42578125" style="10" bestFit="1" customWidth="1"/>
    <col min="11473" max="11473" width="16.85546875" style="10" customWidth="1"/>
    <col min="11474" max="11474" width="9.140625" style="10"/>
    <col min="11475" max="11475" width="11.28515625" style="10" customWidth="1"/>
    <col min="11476" max="11724" width="9.140625" style="10"/>
    <col min="11725" max="11725" width="37.42578125" style="10" customWidth="1"/>
    <col min="11726" max="11726" width="13.5703125" style="10" customWidth="1"/>
    <col min="11727" max="11727" width="14.42578125" style="10" customWidth="1"/>
    <col min="11728" max="11728" width="8.42578125" style="10" bestFit="1" customWidth="1"/>
    <col min="11729" max="11729" width="16.85546875" style="10" customWidth="1"/>
    <col min="11730" max="11730" width="9.140625" style="10"/>
    <col min="11731" max="11731" width="11.28515625" style="10" customWidth="1"/>
    <col min="11732" max="11980" width="9.140625" style="10"/>
    <col min="11981" max="11981" width="37.42578125" style="10" customWidth="1"/>
    <col min="11982" max="11982" width="13.5703125" style="10" customWidth="1"/>
    <col min="11983" max="11983" width="14.42578125" style="10" customWidth="1"/>
    <col min="11984" max="11984" width="8.42578125" style="10" bestFit="1" customWidth="1"/>
    <col min="11985" max="11985" width="16.85546875" style="10" customWidth="1"/>
    <col min="11986" max="11986" width="9.140625" style="10"/>
    <col min="11987" max="11987" width="11.28515625" style="10" customWidth="1"/>
    <col min="11988" max="12236" width="9.140625" style="10"/>
    <col min="12237" max="12237" width="37.42578125" style="10" customWidth="1"/>
    <col min="12238" max="12238" width="13.5703125" style="10" customWidth="1"/>
    <col min="12239" max="12239" width="14.42578125" style="10" customWidth="1"/>
    <col min="12240" max="12240" width="8.42578125" style="10" bestFit="1" customWidth="1"/>
    <col min="12241" max="12241" width="16.85546875" style="10" customWidth="1"/>
    <col min="12242" max="12242" width="9.140625" style="10"/>
    <col min="12243" max="12243" width="11.28515625" style="10" customWidth="1"/>
    <col min="12244" max="12492" width="9.140625" style="10"/>
    <col min="12493" max="12493" width="37.42578125" style="10" customWidth="1"/>
    <col min="12494" max="12494" width="13.5703125" style="10" customWidth="1"/>
    <col min="12495" max="12495" width="14.42578125" style="10" customWidth="1"/>
    <col min="12496" max="12496" width="8.42578125" style="10" bestFit="1" customWidth="1"/>
    <col min="12497" max="12497" width="16.85546875" style="10" customWidth="1"/>
    <col min="12498" max="12498" width="9.140625" style="10"/>
    <col min="12499" max="12499" width="11.28515625" style="10" customWidth="1"/>
    <col min="12500" max="12748" width="9.140625" style="10"/>
    <col min="12749" max="12749" width="37.42578125" style="10" customWidth="1"/>
    <col min="12750" max="12750" width="13.5703125" style="10" customWidth="1"/>
    <col min="12751" max="12751" width="14.42578125" style="10" customWidth="1"/>
    <col min="12752" max="12752" width="8.42578125" style="10" bestFit="1" customWidth="1"/>
    <col min="12753" max="12753" width="16.85546875" style="10" customWidth="1"/>
    <col min="12754" max="12754" width="9.140625" style="10"/>
    <col min="12755" max="12755" width="11.28515625" style="10" customWidth="1"/>
    <col min="12756" max="13004" width="9.140625" style="10"/>
    <col min="13005" max="13005" width="37.42578125" style="10" customWidth="1"/>
    <col min="13006" max="13006" width="13.5703125" style="10" customWidth="1"/>
    <col min="13007" max="13007" width="14.42578125" style="10" customWidth="1"/>
    <col min="13008" max="13008" width="8.42578125" style="10" bestFit="1" customWidth="1"/>
    <col min="13009" max="13009" width="16.85546875" style="10" customWidth="1"/>
    <col min="13010" max="13010" width="9.140625" style="10"/>
    <col min="13011" max="13011" width="11.28515625" style="10" customWidth="1"/>
    <col min="13012" max="13260" width="9.140625" style="10"/>
    <col min="13261" max="13261" width="37.42578125" style="10" customWidth="1"/>
    <col min="13262" max="13262" width="13.5703125" style="10" customWidth="1"/>
    <col min="13263" max="13263" width="14.42578125" style="10" customWidth="1"/>
    <col min="13264" max="13264" width="8.42578125" style="10" bestFit="1" customWidth="1"/>
    <col min="13265" max="13265" width="16.85546875" style="10" customWidth="1"/>
    <col min="13266" max="13266" width="9.140625" style="10"/>
    <col min="13267" max="13267" width="11.28515625" style="10" customWidth="1"/>
    <col min="13268" max="13516" width="9.140625" style="10"/>
    <col min="13517" max="13517" width="37.42578125" style="10" customWidth="1"/>
    <col min="13518" max="13518" width="13.5703125" style="10" customWidth="1"/>
    <col min="13519" max="13519" width="14.42578125" style="10" customWidth="1"/>
    <col min="13520" max="13520" width="8.42578125" style="10" bestFit="1" customWidth="1"/>
    <col min="13521" max="13521" width="16.85546875" style="10" customWidth="1"/>
    <col min="13522" max="13522" width="9.140625" style="10"/>
    <col min="13523" max="13523" width="11.28515625" style="10" customWidth="1"/>
    <col min="13524" max="13772" width="9.140625" style="10"/>
    <col min="13773" max="13773" width="37.42578125" style="10" customWidth="1"/>
    <col min="13774" max="13774" width="13.5703125" style="10" customWidth="1"/>
    <col min="13775" max="13775" width="14.42578125" style="10" customWidth="1"/>
    <col min="13776" max="13776" width="8.42578125" style="10" bestFit="1" customWidth="1"/>
    <col min="13777" max="13777" width="16.85546875" style="10" customWidth="1"/>
    <col min="13778" max="13778" width="9.140625" style="10"/>
    <col min="13779" max="13779" width="11.28515625" style="10" customWidth="1"/>
    <col min="13780" max="14028" width="9.140625" style="10"/>
    <col min="14029" max="14029" width="37.42578125" style="10" customWidth="1"/>
    <col min="14030" max="14030" width="13.5703125" style="10" customWidth="1"/>
    <col min="14031" max="14031" width="14.42578125" style="10" customWidth="1"/>
    <col min="14032" max="14032" width="8.42578125" style="10" bestFit="1" customWidth="1"/>
    <col min="14033" max="14033" width="16.85546875" style="10" customWidth="1"/>
    <col min="14034" max="14034" width="9.140625" style="10"/>
    <col min="14035" max="14035" width="11.28515625" style="10" customWidth="1"/>
    <col min="14036" max="14284" width="9.140625" style="10"/>
    <col min="14285" max="14285" width="37.42578125" style="10" customWidth="1"/>
    <col min="14286" max="14286" width="13.5703125" style="10" customWidth="1"/>
    <col min="14287" max="14287" width="14.42578125" style="10" customWidth="1"/>
    <col min="14288" max="14288" width="8.42578125" style="10" bestFit="1" customWidth="1"/>
    <col min="14289" max="14289" width="16.85546875" style="10" customWidth="1"/>
    <col min="14290" max="14290" width="9.140625" style="10"/>
    <col min="14291" max="14291" width="11.28515625" style="10" customWidth="1"/>
    <col min="14292" max="14540" width="9.140625" style="10"/>
    <col min="14541" max="14541" width="37.42578125" style="10" customWidth="1"/>
    <col min="14542" max="14542" width="13.5703125" style="10" customWidth="1"/>
    <col min="14543" max="14543" width="14.42578125" style="10" customWidth="1"/>
    <col min="14544" max="14544" width="8.42578125" style="10" bestFit="1" customWidth="1"/>
    <col min="14545" max="14545" width="16.85546875" style="10" customWidth="1"/>
    <col min="14546" max="14546" width="9.140625" style="10"/>
    <col min="14547" max="14547" width="11.28515625" style="10" customWidth="1"/>
    <col min="14548" max="14796" width="9.140625" style="10"/>
    <col min="14797" max="14797" width="37.42578125" style="10" customWidth="1"/>
    <col min="14798" max="14798" width="13.5703125" style="10" customWidth="1"/>
    <col min="14799" max="14799" width="14.42578125" style="10" customWidth="1"/>
    <col min="14800" max="14800" width="8.42578125" style="10" bestFit="1" customWidth="1"/>
    <col min="14801" max="14801" width="16.85546875" style="10" customWidth="1"/>
    <col min="14802" max="14802" width="9.140625" style="10"/>
    <col min="14803" max="14803" width="11.28515625" style="10" customWidth="1"/>
    <col min="14804" max="15052" width="9.140625" style="10"/>
    <col min="15053" max="15053" width="37.42578125" style="10" customWidth="1"/>
    <col min="15054" max="15054" width="13.5703125" style="10" customWidth="1"/>
    <col min="15055" max="15055" width="14.42578125" style="10" customWidth="1"/>
    <col min="15056" max="15056" width="8.42578125" style="10" bestFit="1" customWidth="1"/>
    <col min="15057" max="15057" width="16.85546875" style="10" customWidth="1"/>
    <col min="15058" max="15058" width="9.140625" style="10"/>
    <col min="15059" max="15059" width="11.28515625" style="10" customWidth="1"/>
    <col min="15060" max="15308" width="9.140625" style="10"/>
    <col min="15309" max="15309" width="37.42578125" style="10" customWidth="1"/>
    <col min="15310" max="15310" width="13.5703125" style="10" customWidth="1"/>
    <col min="15311" max="15311" width="14.42578125" style="10" customWidth="1"/>
    <col min="15312" max="15312" width="8.42578125" style="10" bestFit="1" customWidth="1"/>
    <col min="15313" max="15313" width="16.85546875" style="10" customWidth="1"/>
    <col min="15314" max="15314" width="9.140625" style="10"/>
    <col min="15315" max="15315" width="11.28515625" style="10" customWidth="1"/>
    <col min="15316" max="15564" width="9.140625" style="10"/>
    <col min="15565" max="15565" width="37.42578125" style="10" customWidth="1"/>
    <col min="15566" max="15566" width="13.5703125" style="10" customWidth="1"/>
    <col min="15567" max="15567" width="14.42578125" style="10" customWidth="1"/>
    <col min="15568" max="15568" width="8.42578125" style="10" bestFit="1" customWidth="1"/>
    <col min="15569" max="15569" width="16.85546875" style="10" customWidth="1"/>
    <col min="15570" max="15570" width="9.140625" style="10"/>
    <col min="15571" max="15571" width="11.28515625" style="10" customWidth="1"/>
    <col min="15572" max="15820" width="9.140625" style="10"/>
    <col min="15821" max="15821" width="37.42578125" style="10" customWidth="1"/>
    <col min="15822" max="15822" width="13.5703125" style="10" customWidth="1"/>
    <col min="15823" max="15823" width="14.42578125" style="10" customWidth="1"/>
    <col min="15824" max="15824" width="8.42578125" style="10" bestFit="1" customWidth="1"/>
    <col min="15825" max="15825" width="16.85546875" style="10" customWidth="1"/>
    <col min="15826" max="15826" width="9.140625" style="10"/>
    <col min="15827" max="15827" width="11.28515625" style="10" customWidth="1"/>
    <col min="15828" max="16076" width="9.140625" style="10"/>
    <col min="16077" max="16077" width="37.42578125" style="10" customWidth="1"/>
    <col min="16078" max="16078" width="13.5703125" style="10" customWidth="1"/>
    <col min="16079" max="16079" width="14.42578125" style="10" customWidth="1"/>
    <col min="16080" max="16080" width="8.42578125" style="10" bestFit="1" customWidth="1"/>
    <col min="16081" max="16081" width="16.85546875" style="10" customWidth="1"/>
    <col min="16082" max="16082" width="9.140625" style="10"/>
    <col min="16083" max="16083" width="11.28515625" style="10" customWidth="1"/>
    <col min="16084" max="16384" width="9.140625" style="10"/>
  </cols>
  <sheetData>
    <row r="1" spans="1:20" ht="15.75" x14ac:dyDescent="0.2">
      <c r="A1" s="685" t="s">
        <v>46</v>
      </c>
      <c r="B1" s="686"/>
      <c r="C1" s="686"/>
      <c r="D1" s="687"/>
      <c r="E1" s="687"/>
      <c r="F1" s="688"/>
      <c r="G1" s="9"/>
    </row>
    <row r="2" spans="1:20" ht="25.5" x14ac:dyDescent="0.2">
      <c r="A2" s="12" t="s">
        <v>47</v>
      </c>
      <c r="B2" s="337" t="str">
        <f>'BOM R2D CatWalk'!I162</f>
        <v>WELDMENT, SPEAR FRAME, PC4100</v>
      </c>
      <c r="C2" s="13"/>
      <c r="D2" s="13" t="s">
        <v>48</v>
      </c>
      <c r="E2" s="347"/>
      <c r="F2" s="85"/>
    </row>
    <row r="3" spans="1:20" ht="15.75" customHeight="1" thickBot="1" x14ac:dyDescent="0.25">
      <c r="A3" s="12" t="s">
        <v>49</v>
      </c>
      <c r="B3" s="337" t="str">
        <f>'BOM R2D CatWalk'!G162</f>
        <v>AY30150</v>
      </c>
      <c r="C3" s="13"/>
      <c r="D3" s="13" t="s">
        <v>50</v>
      </c>
      <c r="E3" s="705">
        <f>'BOM R2D CatWalk'!K162</f>
        <v>1</v>
      </c>
      <c r="F3" s="706"/>
      <c r="G3" s="9"/>
    </row>
    <row r="4" spans="1:20" ht="16.5" customHeight="1" thickBot="1" x14ac:dyDescent="0.25">
      <c r="A4" s="12" t="s">
        <v>51</v>
      </c>
      <c r="B4" s="86">
        <f>'BOM R2D CatWalk'!N162</f>
        <v>69</v>
      </c>
      <c r="C4" s="16"/>
      <c r="D4" s="147"/>
      <c r="E4" s="147"/>
      <c r="F4" s="17"/>
      <c r="G4" s="9"/>
      <c r="J4" s="707" t="s">
        <v>685</v>
      </c>
      <c r="K4" s="708"/>
      <c r="L4" s="708"/>
      <c r="M4" s="708"/>
      <c r="N4" s="708"/>
      <c r="O4" s="708"/>
      <c r="P4" s="708"/>
      <c r="Q4" s="359" t="str">
        <f>'RM Details'!H141</f>
        <v>AY30150</v>
      </c>
      <c r="R4" s="359"/>
      <c r="S4" s="359"/>
      <c r="T4" s="360"/>
    </row>
    <row r="5" spans="1:20" ht="25.5" customHeight="1" thickBot="1" x14ac:dyDescent="0.25">
      <c r="A5" s="691" t="s">
        <v>52</v>
      </c>
      <c r="B5" s="692"/>
      <c r="C5" s="692"/>
      <c r="D5" s="693"/>
      <c r="E5" s="693"/>
      <c r="F5" s="694"/>
      <c r="G5" s="18"/>
      <c r="J5" s="391" t="s">
        <v>0</v>
      </c>
      <c r="K5" s="391" t="s">
        <v>13</v>
      </c>
      <c r="L5" s="391" t="s">
        <v>154</v>
      </c>
      <c r="M5" s="391" t="s">
        <v>544</v>
      </c>
      <c r="N5" s="392" t="s">
        <v>551</v>
      </c>
      <c r="O5" s="392" t="s">
        <v>552</v>
      </c>
      <c r="P5" s="391" t="s">
        <v>548</v>
      </c>
      <c r="Q5" s="391" t="s">
        <v>34</v>
      </c>
      <c r="R5" s="391" t="s">
        <v>549</v>
      </c>
      <c r="S5" s="391" t="s">
        <v>547</v>
      </c>
      <c r="T5" s="391" t="s">
        <v>156</v>
      </c>
    </row>
    <row r="6" spans="1:20" ht="21" customHeight="1" thickBot="1" x14ac:dyDescent="0.25">
      <c r="A6" s="695" t="s">
        <v>53</v>
      </c>
      <c r="B6" s="696"/>
      <c r="C6" s="696"/>
      <c r="D6" s="697"/>
      <c r="E6" s="697"/>
      <c r="F6" s="698"/>
      <c r="G6" s="18"/>
      <c r="H6" s="19"/>
      <c r="I6" s="19"/>
      <c r="J6" s="143">
        <v>1</v>
      </c>
      <c r="K6" s="143" t="s">
        <v>21</v>
      </c>
      <c r="L6" s="143">
        <v>12</v>
      </c>
      <c r="M6" s="143" t="s">
        <v>543</v>
      </c>
      <c r="N6" s="145">
        <f>'RM Details'!E143</f>
        <v>4.4000000000000004</v>
      </c>
      <c r="O6" s="145">
        <f>'RM Details'!F143</f>
        <v>8.433010079999999</v>
      </c>
      <c r="P6" s="145"/>
      <c r="Q6" s="145"/>
      <c r="R6" s="145">
        <f t="shared" ref="R6" si="0">IF(P6&gt;O6,P6,IF(P6&lt;O6,O6))</f>
        <v>8.433010079999999</v>
      </c>
      <c r="S6" s="145">
        <v>90</v>
      </c>
      <c r="T6" s="145">
        <f t="shared" ref="T6" si="1">S6*R6</f>
        <v>758.97090719999994</v>
      </c>
    </row>
    <row r="7" spans="1:20" ht="26.25" thickBot="1" x14ac:dyDescent="0.25">
      <c r="A7" s="20" t="s">
        <v>54</v>
      </c>
      <c r="B7" s="21"/>
      <c r="C7" s="21" t="s">
        <v>687</v>
      </c>
      <c r="D7" s="21" t="s">
        <v>688</v>
      </c>
      <c r="E7" s="21" t="s">
        <v>540</v>
      </c>
      <c r="F7" s="21" t="s">
        <v>693</v>
      </c>
      <c r="G7" s="18"/>
      <c r="H7" s="1"/>
      <c r="I7" s="1"/>
      <c r="J7" s="143">
        <v>2</v>
      </c>
      <c r="K7" s="143" t="s">
        <v>286</v>
      </c>
      <c r="L7" s="143">
        <v>20</v>
      </c>
      <c r="M7" s="143" t="s">
        <v>542</v>
      </c>
      <c r="N7" s="145">
        <f>'RM Details'!E144</f>
        <v>6</v>
      </c>
      <c r="O7" s="145">
        <f>'RM Details'!F144</f>
        <v>12.841972</v>
      </c>
      <c r="P7" s="145"/>
      <c r="Q7" s="145"/>
      <c r="R7" s="145">
        <f>IF(P7&gt;O7,P7,IF(P7&lt;O7,O7))</f>
        <v>12.841972</v>
      </c>
      <c r="S7" s="145">
        <v>90</v>
      </c>
      <c r="T7" s="145">
        <f>S7*R7</f>
        <v>1155.77748</v>
      </c>
    </row>
    <row r="8" spans="1:20" ht="31.5" x14ac:dyDescent="0.2">
      <c r="A8" s="23" t="s">
        <v>55</v>
      </c>
      <c r="B8" s="24"/>
      <c r="C8" s="25">
        <f>R6</f>
        <v>8.433010079999999</v>
      </c>
      <c r="D8" s="25">
        <f>R7</f>
        <v>12.841972</v>
      </c>
      <c r="E8" s="25">
        <f>R8</f>
        <v>77.039999999999992</v>
      </c>
      <c r="F8" s="26">
        <f>R9</f>
        <v>2.67</v>
      </c>
      <c r="G8" s="18">
        <f>SUM(C8:F8)</f>
        <v>100.98498207999999</v>
      </c>
      <c r="H8" s="1"/>
      <c r="J8" s="143">
        <v>3</v>
      </c>
      <c r="K8" s="143" t="s">
        <v>21</v>
      </c>
      <c r="L8" s="144" t="s">
        <v>692</v>
      </c>
      <c r="M8" s="143" t="s">
        <v>540</v>
      </c>
      <c r="N8" s="145">
        <f>'RM Details'!E145</f>
        <v>54.730000000000004</v>
      </c>
      <c r="O8" s="145">
        <f>'RM Details'!F145</f>
        <v>60.203000000000003</v>
      </c>
      <c r="P8" s="145">
        <f>12.84*6</f>
        <v>77.039999999999992</v>
      </c>
      <c r="Q8" s="145"/>
      <c r="R8" s="145">
        <f t="shared" ref="R8:R9" si="2">IF(P8&gt;O8,P8,IF(P8&lt;O8,O8))</f>
        <v>77.039999999999992</v>
      </c>
      <c r="S8" s="145">
        <v>110</v>
      </c>
      <c r="T8" s="145">
        <f t="shared" ref="T8:T9" si="3">S8*R8</f>
        <v>8474.4</v>
      </c>
    </row>
    <row r="9" spans="1:20" ht="18" customHeight="1" x14ac:dyDescent="0.2">
      <c r="A9" s="27" t="s">
        <v>56</v>
      </c>
      <c r="B9" s="77"/>
      <c r="C9" s="28">
        <f>N6</f>
        <v>4.4000000000000004</v>
      </c>
      <c r="D9" s="28">
        <f>N7</f>
        <v>6</v>
      </c>
      <c r="E9" s="28">
        <f>N8</f>
        <v>54.730000000000004</v>
      </c>
      <c r="F9" s="74">
        <f>N9</f>
        <v>0.4</v>
      </c>
      <c r="G9" s="18">
        <f>SUM(C9:F9)</f>
        <v>65.530000000000015</v>
      </c>
      <c r="H9" s="1"/>
      <c r="J9" s="143">
        <v>4</v>
      </c>
      <c r="K9" s="143" t="s">
        <v>21</v>
      </c>
      <c r="L9" s="143" t="s">
        <v>326</v>
      </c>
      <c r="M9" s="143" t="s">
        <v>542</v>
      </c>
      <c r="N9" s="145">
        <f>'RM Details'!E146</f>
        <v>0.4</v>
      </c>
      <c r="O9" s="145">
        <f>'RM Details'!F146</f>
        <v>2.5093640000000006</v>
      </c>
      <c r="P9" s="320">
        <f>0.89*3</f>
        <v>2.67</v>
      </c>
      <c r="Q9" s="145"/>
      <c r="R9" s="145">
        <f t="shared" si="2"/>
        <v>2.67</v>
      </c>
      <c r="S9" s="145">
        <v>110</v>
      </c>
      <c r="T9" s="145">
        <f t="shared" si="3"/>
        <v>293.7</v>
      </c>
    </row>
    <row r="10" spans="1:20" ht="21.75" thickBot="1" x14ac:dyDescent="0.25">
      <c r="A10" s="29" t="s">
        <v>57</v>
      </c>
      <c r="B10" s="78"/>
      <c r="C10" s="30">
        <f t="shared" ref="C10:F10" si="4">(C8-C9)*80%</f>
        <v>3.2264080639999992</v>
      </c>
      <c r="D10" s="30">
        <f t="shared" si="4"/>
        <v>5.4735776000000005</v>
      </c>
      <c r="E10" s="30">
        <f t="shared" si="4"/>
        <v>17.847999999999992</v>
      </c>
      <c r="F10" s="75">
        <f t="shared" si="4"/>
        <v>1.8160000000000001</v>
      </c>
      <c r="G10" s="31">
        <f>(G8-G9)/G9</f>
        <v>0.54104962734625317</v>
      </c>
      <c r="H10" s="32"/>
      <c r="J10" s="371"/>
      <c r="K10" s="372"/>
      <c r="L10" s="372" t="s">
        <v>45</v>
      </c>
      <c r="M10" s="372"/>
      <c r="N10" s="373">
        <f>SUM(N6:N9)</f>
        <v>65.530000000000015</v>
      </c>
      <c r="O10" s="373">
        <f>SUM(O6:O9)</f>
        <v>83.987346080000009</v>
      </c>
      <c r="P10" s="372"/>
      <c r="Q10" s="372"/>
      <c r="R10" s="373">
        <f>SUM(R6:R9)</f>
        <v>100.98498207999999</v>
      </c>
      <c r="S10" s="375">
        <f>T10/R10</f>
        <v>105.78650574733062</v>
      </c>
      <c r="T10" s="376">
        <f>SUM(T6:T9)</f>
        <v>10682.8483872</v>
      </c>
    </row>
    <row r="11" spans="1:20" ht="15" x14ac:dyDescent="0.25">
      <c r="A11" s="33" t="s">
        <v>58</v>
      </c>
      <c r="B11" s="34"/>
      <c r="C11" s="35">
        <v>90</v>
      </c>
      <c r="D11" s="35">
        <v>90</v>
      </c>
      <c r="E11" s="35">
        <v>200</v>
      </c>
      <c r="F11" s="76">
        <v>110</v>
      </c>
      <c r="G11" s="18">
        <f>SUMPRODUCT(B11:F11,B8:F8)</f>
        <v>17616.448387199998</v>
      </c>
      <c r="H11"/>
    </row>
    <row r="12" spans="1:20" ht="15" x14ac:dyDescent="0.25">
      <c r="A12" s="29" t="s">
        <v>59</v>
      </c>
      <c r="B12" s="396"/>
      <c r="C12" s="395">
        <v>30</v>
      </c>
      <c r="D12" s="395">
        <v>30</v>
      </c>
      <c r="E12" s="395">
        <v>30</v>
      </c>
      <c r="F12" s="397">
        <v>30</v>
      </c>
      <c r="G12" s="18"/>
      <c r="H12"/>
    </row>
    <row r="13" spans="1:20" ht="15.75" thickBot="1" x14ac:dyDescent="0.3">
      <c r="A13" s="36" t="s">
        <v>60</v>
      </c>
      <c r="B13" s="398"/>
      <c r="C13" s="399">
        <f t="shared" ref="C13:F13" si="5">(C8*C11)-(C10*C12)</f>
        <v>662.1786652799999</v>
      </c>
      <c r="D13" s="399">
        <f t="shared" si="5"/>
        <v>991.57015200000001</v>
      </c>
      <c r="E13" s="399">
        <f t="shared" si="5"/>
        <v>14872.559999999998</v>
      </c>
      <c r="F13" s="400">
        <f t="shared" si="5"/>
        <v>239.21999999999997</v>
      </c>
      <c r="G13" s="37">
        <f>SUM(B13:F13)</f>
        <v>16765.528817279999</v>
      </c>
      <c r="H13"/>
    </row>
    <row r="14" spans="1:20" ht="15.75" thickBot="1" x14ac:dyDescent="0.25">
      <c r="A14" s="38" t="s">
        <v>61</v>
      </c>
      <c r="B14" s="701">
        <f>SUM(B13:F13)</f>
        <v>16765.528817279999</v>
      </c>
      <c r="C14" s="702"/>
      <c r="D14" s="703"/>
      <c r="E14" s="703"/>
      <c r="F14" s="704"/>
      <c r="G14" s="39">
        <f>G13/G8</f>
        <v>166.02002071950062</v>
      </c>
      <c r="H14" s="32"/>
    </row>
    <row r="15" spans="1:20" ht="15" x14ac:dyDescent="0.25">
      <c r="A15" s="663" t="s">
        <v>62</v>
      </c>
      <c r="B15" s="664"/>
      <c r="C15" s="664"/>
      <c r="D15" s="665"/>
      <c r="E15" s="665"/>
      <c r="F15" s="666"/>
      <c r="G15" s="18"/>
      <c r="H15"/>
      <c r="I15" s="69"/>
    </row>
    <row r="16" spans="1:20" ht="24.75" customHeight="1" x14ac:dyDescent="0.2">
      <c r="A16" s="335" t="s">
        <v>63</v>
      </c>
      <c r="B16" s="41"/>
      <c r="C16" s="42"/>
      <c r="D16" s="150"/>
      <c r="E16" s="150"/>
      <c r="F16" s="43"/>
      <c r="G16" s="18"/>
      <c r="H16" s="32"/>
      <c r="I16" s="69"/>
    </row>
    <row r="17" spans="1:9" ht="20.25" customHeight="1" x14ac:dyDescent="0.2">
      <c r="A17" s="667" t="s">
        <v>64</v>
      </c>
      <c r="B17" s="668"/>
      <c r="C17" s="668"/>
      <c r="D17" s="151"/>
      <c r="E17" s="151"/>
      <c r="F17" s="45">
        <f>SUM(F16:F16)</f>
        <v>0</v>
      </c>
      <c r="G17" s="84"/>
      <c r="I17" s="69"/>
    </row>
    <row r="18" spans="1:9" ht="13.5" thickBot="1" x14ac:dyDescent="0.25">
      <c r="A18" s="669" t="s">
        <v>65</v>
      </c>
      <c r="B18" s="670"/>
      <c r="C18" s="670"/>
      <c r="D18" s="152"/>
      <c r="E18" s="152"/>
      <c r="F18" s="46">
        <f>B14+F17</f>
        <v>16765.528817279999</v>
      </c>
      <c r="G18" s="18"/>
      <c r="I18" s="69"/>
    </row>
    <row r="19" spans="1:9" ht="22.5" customHeight="1" x14ac:dyDescent="0.2">
      <c r="A19" s="671" t="s">
        <v>66</v>
      </c>
      <c r="B19" s="672"/>
      <c r="C19" s="672"/>
      <c r="D19" s="673"/>
      <c r="E19" s="673"/>
      <c r="F19" s="674"/>
      <c r="G19" s="18"/>
      <c r="I19" s="69"/>
    </row>
    <row r="20" spans="1:9" x14ac:dyDescent="0.2">
      <c r="A20" s="47" t="s">
        <v>54</v>
      </c>
      <c r="B20" s="48" t="s">
        <v>23</v>
      </c>
      <c r="C20" s="49" t="s">
        <v>67</v>
      </c>
      <c r="D20" s="50"/>
      <c r="E20" s="50"/>
      <c r="F20" s="51" t="s">
        <v>68</v>
      </c>
      <c r="G20" s="18"/>
      <c r="I20" s="69"/>
    </row>
    <row r="21" spans="1:9" ht="18" customHeight="1" x14ac:dyDescent="0.2">
      <c r="A21" s="52" t="s">
        <v>69</v>
      </c>
      <c r="B21" s="53">
        <f>'BOM R2D CatWalk'!X162</f>
        <v>22.320642424242426</v>
      </c>
      <c r="C21" s="54">
        <v>35</v>
      </c>
      <c r="D21" s="55"/>
      <c r="E21" s="55"/>
      <c r="F21" s="45">
        <f t="shared" ref="F21:F27" si="6">B21*C21</f>
        <v>781.2224848484849</v>
      </c>
      <c r="G21" s="56"/>
      <c r="H21" s="69">
        <f>F21/$G$9</f>
        <v>11.921600562314737</v>
      </c>
      <c r="I21" s="69"/>
    </row>
    <row r="22" spans="1:9" ht="20.25" customHeight="1" x14ac:dyDescent="0.2">
      <c r="A22" s="52" t="s">
        <v>70</v>
      </c>
      <c r="B22" s="53">
        <f>'BOM R2D CatWalk'!AB162/60</f>
        <v>0.5</v>
      </c>
      <c r="C22" s="54">
        <v>1000</v>
      </c>
      <c r="D22" s="55"/>
      <c r="E22" s="55"/>
      <c r="F22" s="45">
        <f t="shared" si="6"/>
        <v>500</v>
      </c>
      <c r="G22" s="56"/>
      <c r="H22" s="69">
        <f t="shared" ref="H22:H35" si="7">F22/$G$9</f>
        <v>7.6300930871356609</v>
      </c>
      <c r="I22" s="69"/>
    </row>
    <row r="23" spans="1:9" ht="18" customHeight="1" x14ac:dyDescent="0.2">
      <c r="A23" s="52" t="s">
        <v>71</v>
      </c>
      <c r="B23" s="53">
        <f>'BOM R2D CatWalk'!Z162</f>
        <v>4</v>
      </c>
      <c r="C23" s="54">
        <v>50</v>
      </c>
      <c r="D23" s="55"/>
      <c r="E23" s="55"/>
      <c r="F23" s="45">
        <f t="shared" si="6"/>
        <v>200</v>
      </c>
      <c r="G23" s="79"/>
      <c r="H23" s="69">
        <f t="shared" si="7"/>
        <v>3.0520372348542644</v>
      </c>
      <c r="I23" s="69"/>
    </row>
    <row r="24" spans="1:9" ht="18" customHeight="1" x14ac:dyDescent="0.2">
      <c r="A24" s="52" t="s">
        <v>72</v>
      </c>
      <c r="B24" s="53">
        <f>'BOM R2D CatWalk'!AF162</f>
        <v>5.6616</v>
      </c>
      <c r="C24" s="54">
        <v>250</v>
      </c>
      <c r="D24" s="55"/>
      <c r="E24" s="55"/>
      <c r="F24" s="45">
        <f t="shared" si="6"/>
        <v>1415.4</v>
      </c>
      <c r="G24" s="56"/>
      <c r="H24" s="69">
        <f t="shared" si="7"/>
        <v>21.59926751106363</v>
      </c>
      <c r="I24" s="69"/>
    </row>
    <row r="25" spans="1:9" ht="18" customHeight="1" x14ac:dyDescent="0.2">
      <c r="A25" s="52" t="s">
        <v>73</v>
      </c>
      <c r="B25" s="53">
        <f>B24/12</f>
        <v>0.4718</v>
      </c>
      <c r="C25" s="54">
        <v>250</v>
      </c>
      <c r="D25" s="55"/>
      <c r="E25" s="55"/>
      <c r="F25" s="45">
        <f t="shared" si="6"/>
        <v>117.95</v>
      </c>
      <c r="G25" s="56"/>
      <c r="H25" s="69">
        <f t="shared" si="7"/>
        <v>1.7999389592553026</v>
      </c>
      <c r="I25" s="69"/>
    </row>
    <row r="26" spans="1:9" ht="18" customHeight="1" x14ac:dyDescent="0.2">
      <c r="A26" s="52" t="s">
        <v>74</v>
      </c>
      <c r="B26" s="53">
        <f>G9/95</f>
        <v>0.68978947368421073</v>
      </c>
      <c r="C26" s="54">
        <v>1200</v>
      </c>
      <c r="D26" s="55"/>
      <c r="E26" s="55"/>
      <c r="F26" s="45">
        <f t="shared" si="6"/>
        <v>827.7473684210529</v>
      </c>
      <c r="G26" s="56"/>
      <c r="H26" s="69">
        <f t="shared" si="7"/>
        <v>12.631578947368423</v>
      </c>
      <c r="I26" s="69"/>
    </row>
    <row r="27" spans="1:9" x14ac:dyDescent="0.2">
      <c r="A27" s="57" t="s">
        <v>75</v>
      </c>
      <c r="B27" s="58"/>
      <c r="C27" s="59">
        <v>250</v>
      </c>
      <c r="D27" s="60"/>
      <c r="E27" s="60"/>
      <c r="F27" s="61">
        <f t="shared" si="6"/>
        <v>0</v>
      </c>
      <c r="G27" s="84" t="s">
        <v>76</v>
      </c>
      <c r="H27" s="69">
        <f t="shared" si="7"/>
        <v>0</v>
      </c>
      <c r="I27" s="69"/>
    </row>
    <row r="28" spans="1:9" ht="18" customHeight="1" x14ac:dyDescent="0.2">
      <c r="A28" s="52" t="s">
        <v>77</v>
      </c>
      <c r="B28" s="53"/>
      <c r="C28" s="54">
        <v>5</v>
      </c>
      <c r="D28" s="55"/>
      <c r="E28" s="55"/>
      <c r="F28" s="62">
        <f>C28*G9</f>
        <v>327.65000000000009</v>
      </c>
      <c r="G28" s="18"/>
      <c r="H28" s="69">
        <f t="shared" si="7"/>
        <v>5</v>
      </c>
      <c r="I28" s="69"/>
    </row>
    <row r="29" spans="1:9" ht="18" customHeight="1" x14ac:dyDescent="0.2">
      <c r="A29" s="52" t="s">
        <v>78</v>
      </c>
      <c r="B29" s="53">
        <v>0</v>
      </c>
      <c r="C29" s="54">
        <v>50</v>
      </c>
      <c r="D29" s="55"/>
      <c r="E29" s="55"/>
      <c r="F29" s="62">
        <f>B29*C29</f>
        <v>0</v>
      </c>
      <c r="G29" s="18"/>
      <c r="H29" s="69">
        <f t="shared" si="7"/>
        <v>0</v>
      </c>
      <c r="I29" s="69"/>
    </row>
    <row r="30" spans="1:9" ht="18" customHeight="1" x14ac:dyDescent="0.2">
      <c r="A30" s="52" t="s">
        <v>79</v>
      </c>
      <c r="B30" s="54">
        <f>'BOM R2D CatWalk'!AI162</f>
        <v>2.203275256</v>
      </c>
      <c r="C30" s="54">
        <v>1250</v>
      </c>
      <c r="D30" s="55"/>
      <c r="E30" s="55"/>
      <c r="F30" s="62">
        <f>B30*C30</f>
        <v>2754.0940700000001</v>
      </c>
      <c r="G30" s="63" t="s">
        <v>133</v>
      </c>
      <c r="H30" s="69">
        <f t="shared" si="7"/>
        <v>42.027988249656637</v>
      </c>
      <c r="I30" s="69"/>
    </row>
    <row r="31" spans="1:9" ht="18" customHeight="1" x14ac:dyDescent="0.2">
      <c r="A31" s="52" t="s">
        <v>123</v>
      </c>
      <c r="B31" s="54">
        <f>15/60</f>
        <v>0.25</v>
      </c>
      <c r="C31" s="54">
        <v>250</v>
      </c>
      <c r="D31" s="55"/>
      <c r="E31" s="55"/>
      <c r="F31" s="45">
        <f>B31*C31</f>
        <v>62.5</v>
      </c>
      <c r="G31" s="63"/>
      <c r="H31" s="69">
        <f t="shared" si="7"/>
        <v>0.95376163589195762</v>
      </c>
    </row>
    <row r="32" spans="1:9" ht="18" customHeight="1" x14ac:dyDescent="0.2">
      <c r="A32" s="52" t="s">
        <v>135</v>
      </c>
      <c r="B32" s="54"/>
      <c r="C32" s="54">
        <v>4.5</v>
      </c>
      <c r="D32" s="55"/>
      <c r="E32" s="55"/>
      <c r="F32" s="45">
        <f>C32*G9</f>
        <v>294.88500000000005</v>
      </c>
      <c r="G32" s="63"/>
      <c r="H32" s="69">
        <f t="shared" si="7"/>
        <v>4.5</v>
      </c>
    </row>
    <row r="33" spans="1:23" ht="19.5" customHeight="1" x14ac:dyDescent="0.2">
      <c r="A33" s="47" t="s">
        <v>152</v>
      </c>
      <c r="B33" s="64"/>
      <c r="C33" s="65"/>
      <c r="D33" s="66"/>
      <c r="E33" s="66"/>
      <c r="F33" s="67">
        <f>SUM(F21:F32)</f>
        <v>7281.4489232695387</v>
      </c>
      <c r="G33" s="18"/>
      <c r="H33" s="69">
        <f t="shared" si="7"/>
        <v>111.11626618754062</v>
      </c>
      <c r="I33" s="44"/>
    </row>
    <row r="34" spans="1:23" ht="22.5" customHeight="1" x14ac:dyDescent="0.2">
      <c r="A34" s="675" t="s">
        <v>80</v>
      </c>
      <c r="B34" s="676"/>
      <c r="C34" s="677"/>
      <c r="D34" s="333"/>
      <c r="E34" s="333"/>
      <c r="F34" s="154">
        <f>F18+F33</f>
        <v>24046.977740549537</v>
      </c>
      <c r="G34" s="68"/>
      <c r="H34" s="69"/>
      <c r="I34" s="44"/>
    </row>
    <row r="35" spans="1:23" x14ac:dyDescent="0.2">
      <c r="A35" s="83" t="s">
        <v>126</v>
      </c>
      <c r="B35" s="83"/>
      <c r="C35" s="336"/>
      <c r="D35" s="156">
        <v>0.1</v>
      </c>
      <c r="E35" s="156"/>
      <c r="F35" s="155">
        <f>F34*D35</f>
        <v>2404.6977740549537</v>
      </c>
      <c r="G35" s="70"/>
      <c r="H35" s="69">
        <f t="shared" si="7"/>
        <v>36.696135724934429</v>
      </c>
    </row>
    <row r="36" spans="1:23" x14ac:dyDescent="0.2">
      <c r="A36" s="83" t="s">
        <v>127</v>
      </c>
      <c r="B36" s="83"/>
      <c r="C36" s="336"/>
      <c r="D36" s="336"/>
      <c r="E36" s="336"/>
      <c r="F36" s="155">
        <f>SUM(F34:F35)</f>
        <v>26451.675514604489</v>
      </c>
      <c r="G36" s="70"/>
      <c r="H36" s="69">
        <f>F36/G9</f>
        <v>403.65749297427868</v>
      </c>
      <c r="I36" s="69">
        <f>F36/G8</f>
        <v>261.93672534050216</v>
      </c>
    </row>
    <row r="37" spans="1:23" x14ac:dyDescent="0.2">
      <c r="I37" s="44"/>
    </row>
    <row r="38" spans="1:23" x14ac:dyDescent="0.2"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</row>
    <row r="39" spans="1:23" ht="12.75" customHeight="1" thickBot="1" x14ac:dyDescent="0.25">
      <c r="G39" s="11" t="s">
        <v>81</v>
      </c>
      <c r="H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</row>
    <row r="40" spans="1:23" ht="12.75" customHeight="1" x14ac:dyDescent="0.2">
      <c r="A40" s="699" t="s">
        <v>694</v>
      </c>
      <c r="B40" s="700"/>
      <c r="C40" s="700"/>
      <c r="D40" s="153"/>
      <c r="E40" s="153"/>
      <c r="F40" s="71" t="s">
        <v>83</v>
      </c>
      <c r="G40" s="11" t="s">
        <v>81</v>
      </c>
      <c r="H40" s="44"/>
      <c r="O40" s="44"/>
      <c r="P40" s="44"/>
      <c r="Q40" s="44"/>
      <c r="R40" s="44"/>
      <c r="S40" s="44"/>
      <c r="T40" s="44"/>
      <c r="U40" s="44"/>
      <c r="V40" s="44"/>
      <c r="W40" s="44"/>
    </row>
    <row r="41" spans="1:23" x14ac:dyDescent="0.2">
      <c r="A41" s="654" t="s">
        <v>134</v>
      </c>
      <c r="B41" s="655"/>
      <c r="C41" s="655"/>
      <c r="D41" s="334"/>
      <c r="E41" s="334"/>
      <c r="F41" s="72"/>
      <c r="O41" s="44"/>
      <c r="P41" s="44"/>
      <c r="Q41" s="44"/>
      <c r="R41" s="44"/>
      <c r="S41" s="44"/>
      <c r="T41" s="44"/>
      <c r="U41" s="44"/>
      <c r="V41" s="44"/>
      <c r="W41" s="44"/>
    </row>
    <row r="42" spans="1:23" ht="13.5" thickBot="1" x14ac:dyDescent="0.25">
      <c r="A42" s="656" t="s">
        <v>84</v>
      </c>
      <c r="B42" s="657"/>
      <c r="C42" s="657"/>
      <c r="D42" s="338"/>
      <c r="E42" s="338"/>
      <c r="F42" s="261" t="s">
        <v>85</v>
      </c>
      <c r="O42" s="44"/>
      <c r="P42" s="44"/>
      <c r="Q42" s="44"/>
      <c r="R42" s="44"/>
      <c r="S42" s="44"/>
      <c r="T42" s="44"/>
      <c r="U42" s="44"/>
      <c r="V42" s="44"/>
      <c r="W42" s="44"/>
    </row>
    <row r="43" spans="1:23" ht="20.100000000000001" customHeight="1" x14ac:dyDescent="0.2">
      <c r="H43" s="44"/>
      <c r="O43" s="44"/>
      <c r="P43" s="44"/>
      <c r="Q43" s="44"/>
      <c r="R43" s="44"/>
      <c r="S43" s="44"/>
      <c r="T43" s="44"/>
      <c r="U43" s="44"/>
      <c r="V43" s="44"/>
      <c r="W43" s="44"/>
    </row>
    <row r="44" spans="1:23" s="44" customFormat="1" ht="18" customHeight="1" thickBot="1" x14ac:dyDescent="0.25">
      <c r="A44" s="10"/>
      <c r="B44" s="10"/>
      <c r="C44" s="10"/>
      <c r="D44" s="10"/>
      <c r="E44" s="10"/>
      <c r="F44" s="70"/>
      <c r="G44" s="14"/>
      <c r="H44" s="10"/>
      <c r="I44" s="10"/>
      <c r="J44" s="10"/>
      <c r="K44" s="10"/>
      <c r="L44" s="10"/>
      <c r="M44" s="10"/>
      <c r="N44" s="10"/>
    </row>
    <row r="45" spans="1:23" s="44" customFormat="1" ht="15.75" thickBot="1" x14ac:dyDescent="0.25">
      <c r="A45" s="658" t="s">
        <v>161</v>
      </c>
      <c r="B45" s="659"/>
      <c r="C45" s="659"/>
      <c r="D45" s="660"/>
      <c r="E45" s="10"/>
      <c r="F45" s="70"/>
      <c r="G45" s="14"/>
      <c r="H45" s="10"/>
      <c r="I45" s="10"/>
      <c r="J45" s="10"/>
      <c r="K45" s="10"/>
      <c r="L45" s="10"/>
      <c r="M45" s="10"/>
      <c r="N45" s="10"/>
    </row>
    <row r="46" spans="1:23" s="44" customFormat="1" ht="19.5" customHeight="1" thickBot="1" x14ac:dyDescent="0.25">
      <c r="A46" s="282" t="s">
        <v>125</v>
      </c>
      <c r="B46" s="283" t="s">
        <v>159</v>
      </c>
      <c r="C46" s="283" t="s">
        <v>155</v>
      </c>
      <c r="D46" s="284" t="s">
        <v>156</v>
      </c>
      <c r="F46" s="70"/>
      <c r="G46" s="14"/>
      <c r="H46" s="10"/>
      <c r="I46" s="10"/>
      <c r="J46" s="10"/>
      <c r="K46" s="10"/>
      <c r="L46" s="10"/>
      <c r="M46" s="10"/>
      <c r="N46" s="10"/>
    </row>
    <row r="47" spans="1:23" s="44" customFormat="1" ht="15.75" x14ac:dyDescent="0.2">
      <c r="A47" s="288" t="s">
        <v>124</v>
      </c>
      <c r="B47" s="289">
        <f>B4*0.5</f>
        <v>34.5</v>
      </c>
      <c r="C47" s="290">
        <v>100</v>
      </c>
      <c r="D47" s="291">
        <f>B47*C47</f>
        <v>3450</v>
      </c>
      <c r="F47" s="70"/>
      <c r="G47" s="14"/>
      <c r="H47" s="10"/>
      <c r="I47" s="264"/>
      <c r="J47" s="264"/>
      <c r="K47" s="264"/>
      <c r="L47" s="264"/>
      <c r="M47" s="264"/>
      <c r="N47" s="264"/>
      <c r="O47" s="265"/>
      <c r="P47" s="265"/>
      <c r="Q47" s="265"/>
      <c r="R47" s="265"/>
      <c r="S47" s="265"/>
      <c r="T47" s="265"/>
      <c r="U47" s="265"/>
      <c r="V47" s="265"/>
      <c r="W47" s="265"/>
    </row>
    <row r="48" spans="1:23" s="44" customFormat="1" ht="15.75" x14ac:dyDescent="0.2">
      <c r="A48" s="274" t="s">
        <v>711</v>
      </c>
      <c r="B48" s="80">
        <f>B4*0.25</f>
        <v>17.25</v>
      </c>
      <c r="C48" s="81">
        <v>200</v>
      </c>
      <c r="D48" s="273">
        <f>B48*C48</f>
        <v>3450</v>
      </c>
      <c r="F48" s="70"/>
      <c r="G48" s="14"/>
      <c r="H48" s="10"/>
      <c r="I48" s="10"/>
      <c r="J48" s="10"/>
      <c r="K48" s="10"/>
      <c r="L48" s="10"/>
      <c r="M48" s="10"/>
      <c r="N48" s="10"/>
    </row>
    <row r="49" spans="1:23" s="44" customFormat="1" ht="15.75" x14ac:dyDescent="0.2">
      <c r="A49" s="274" t="s">
        <v>162</v>
      </c>
      <c r="B49" s="80">
        <f>SUM(B47:B48)</f>
        <v>51.75</v>
      </c>
      <c r="C49" s="81">
        <v>4.5</v>
      </c>
      <c r="D49" s="273">
        <f>B49*C49</f>
        <v>232.875</v>
      </c>
      <c r="F49" s="70"/>
      <c r="G49" s="14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s="44" customFormat="1" ht="15.75" x14ac:dyDescent="0.2">
      <c r="A50" s="292" t="s">
        <v>163</v>
      </c>
      <c r="B50" s="286"/>
      <c r="C50" s="287"/>
      <c r="D50" s="293">
        <f>SUM(D47:D49)</f>
        <v>7132.875</v>
      </c>
      <c r="F50" s="70"/>
      <c r="G50" s="14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s="44" customFormat="1" ht="15.75" x14ac:dyDescent="0.2">
      <c r="A51" s="274" t="s">
        <v>158</v>
      </c>
      <c r="B51" s="80">
        <v>2</v>
      </c>
      <c r="C51" s="81">
        <f>75000/30</f>
        <v>2500</v>
      </c>
      <c r="D51" s="273">
        <f>B51*C51</f>
        <v>5000</v>
      </c>
      <c r="E51" s="294"/>
      <c r="F51" s="70"/>
      <c r="G51" s="14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s="44" customFormat="1" ht="16.5" thickBot="1" x14ac:dyDescent="0.25">
      <c r="A52" s="275" t="s">
        <v>126</v>
      </c>
      <c r="B52" s="276"/>
      <c r="C52" s="285">
        <v>2.5499999999999998E-2</v>
      </c>
      <c r="D52" s="277">
        <f>(D50+D51)*C52</f>
        <v>309.38831249999998</v>
      </c>
      <c r="F52" s="70"/>
      <c r="G52" s="14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s="265" customFormat="1" ht="16.5" thickBot="1" x14ac:dyDescent="0.25">
      <c r="A53" s="278" t="s">
        <v>160</v>
      </c>
      <c r="B53" s="279"/>
      <c r="C53" s="280"/>
      <c r="D53" s="281">
        <f>SUM(D50:D52)</f>
        <v>12442.263312499999</v>
      </c>
      <c r="E53" s="295"/>
      <c r="F53" s="262"/>
      <c r="G53" s="263"/>
      <c r="H53" s="264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s="44" customFormat="1" ht="25.5" customHeight="1" x14ac:dyDescent="0.2">
      <c r="A54" s="10"/>
      <c r="B54" s="10"/>
      <c r="C54" s="10"/>
      <c r="D54" s="10"/>
      <c r="E54" s="10"/>
      <c r="F54" s="70"/>
      <c r="G54" s="14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</sheetData>
  <sheetProtection selectLockedCells="1" selectUnlockedCells="1"/>
  <mergeCells count="15">
    <mergeCell ref="B14:F14"/>
    <mergeCell ref="A1:F1"/>
    <mergeCell ref="E3:F3"/>
    <mergeCell ref="J4:P4"/>
    <mergeCell ref="A5:F5"/>
    <mergeCell ref="A6:F6"/>
    <mergeCell ref="A41:C41"/>
    <mergeCell ref="A42:C42"/>
    <mergeCell ref="A45:D45"/>
    <mergeCell ref="A15:F15"/>
    <mergeCell ref="A17:C17"/>
    <mergeCell ref="A18:C18"/>
    <mergeCell ref="A19:F19"/>
    <mergeCell ref="A34:C34"/>
    <mergeCell ref="A40:C4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FF08-5942-4A67-B2E1-9FAC2C674DA0}">
  <sheetPr>
    <pageSetUpPr fitToPage="1"/>
  </sheetPr>
  <dimension ref="A1:T54"/>
  <sheetViews>
    <sheetView topLeftCell="A34" zoomScale="70" zoomScaleNormal="70" zoomScaleSheetLayoutView="100" workbookViewId="0">
      <selection activeCell="I85" sqref="I85"/>
    </sheetView>
  </sheetViews>
  <sheetFormatPr defaultRowHeight="12.75" x14ac:dyDescent="0.2"/>
  <cols>
    <col min="1" max="1" width="38.42578125" style="10" customWidth="1"/>
    <col min="2" max="2" width="31.5703125" style="10" bestFit="1" customWidth="1"/>
    <col min="3" max="3" width="17.42578125" style="10" bestFit="1" customWidth="1"/>
    <col min="4" max="4" width="20" style="10" bestFit="1" customWidth="1"/>
    <col min="5" max="5" width="20" style="10" customWidth="1"/>
    <col min="6" max="6" width="18.5703125" style="70" bestFit="1" customWidth="1"/>
    <col min="7" max="7" width="21.140625" style="14" customWidth="1"/>
    <col min="8" max="8" width="10.140625" style="10" customWidth="1"/>
    <col min="9" max="9" width="8.85546875" style="10" customWidth="1"/>
    <col min="10" max="10" width="6.5703125" style="10" bestFit="1" customWidth="1"/>
    <col min="11" max="11" width="9.85546875" style="10" bestFit="1" customWidth="1"/>
    <col min="12" max="12" width="22.7109375" style="10" customWidth="1"/>
    <col min="13" max="13" width="18.42578125" style="10" bestFit="1" customWidth="1"/>
    <col min="14" max="14" width="11.5703125" style="10" bestFit="1" customWidth="1"/>
    <col min="15" max="15" width="12.28515625" style="10" bestFit="1" customWidth="1"/>
    <col min="16" max="16" width="17.140625" style="10" bestFit="1" customWidth="1"/>
    <col min="17" max="17" width="11.140625" style="10" bestFit="1" customWidth="1"/>
    <col min="18" max="18" width="15.140625" style="10" bestFit="1" customWidth="1"/>
    <col min="19" max="19" width="10.42578125" style="10" bestFit="1" customWidth="1"/>
    <col min="20" max="20" width="14.85546875" style="10" bestFit="1" customWidth="1"/>
    <col min="21" max="21" width="23.85546875" style="10" customWidth="1"/>
    <col min="22" max="204" width="9.140625" style="10"/>
    <col min="205" max="205" width="37.42578125" style="10" customWidth="1"/>
    <col min="206" max="206" width="13.5703125" style="10" customWidth="1"/>
    <col min="207" max="207" width="14.42578125" style="10" customWidth="1"/>
    <col min="208" max="208" width="8.42578125" style="10" bestFit="1" customWidth="1"/>
    <col min="209" max="209" width="16.85546875" style="10" customWidth="1"/>
    <col min="210" max="210" width="9.140625" style="10"/>
    <col min="211" max="211" width="11.28515625" style="10" customWidth="1"/>
    <col min="212" max="460" width="9.140625" style="10"/>
    <col min="461" max="461" width="37.42578125" style="10" customWidth="1"/>
    <col min="462" max="462" width="13.5703125" style="10" customWidth="1"/>
    <col min="463" max="463" width="14.42578125" style="10" customWidth="1"/>
    <col min="464" max="464" width="8.42578125" style="10" bestFit="1" customWidth="1"/>
    <col min="465" max="465" width="16.85546875" style="10" customWidth="1"/>
    <col min="466" max="466" width="9.140625" style="10"/>
    <col min="467" max="467" width="11.28515625" style="10" customWidth="1"/>
    <col min="468" max="716" width="9.140625" style="10"/>
    <col min="717" max="717" width="37.42578125" style="10" customWidth="1"/>
    <col min="718" max="718" width="13.5703125" style="10" customWidth="1"/>
    <col min="719" max="719" width="14.42578125" style="10" customWidth="1"/>
    <col min="720" max="720" width="8.42578125" style="10" bestFit="1" customWidth="1"/>
    <col min="721" max="721" width="16.85546875" style="10" customWidth="1"/>
    <col min="722" max="722" width="9.140625" style="10"/>
    <col min="723" max="723" width="11.28515625" style="10" customWidth="1"/>
    <col min="724" max="972" width="9.140625" style="10"/>
    <col min="973" max="973" width="37.42578125" style="10" customWidth="1"/>
    <col min="974" max="974" width="13.5703125" style="10" customWidth="1"/>
    <col min="975" max="975" width="14.42578125" style="10" customWidth="1"/>
    <col min="976" max="976" width="8.42578125" style="10" bestFit="1" customWidth="1"/>
    <col min="977" max="977" width="16.85546875" style="10" customWidth="1"/>
    <col min="978" max="978" width="9.140625" style="10"/>
    <col min="979" max="979" width="11.28515625" style="10" customWidth="1"/>
    <col min="980" max="1228" width="9.140625" style="10"/>
    <col min="1229" max="1229" width="37.42578125" style="10" customWidth="1"/>
    <col min="1230" max="1230" width="13.5703125" style="10" customWidth="1"/>
    <col min="1231" max="1231" width="14.42578125" style="10" customWidth="1"/>
    <col min="1232" max="1232" width="8.42578125" style="10" bestFit="1" customWidth="1"/>
    <col min="1233" max="1233" width="16.85546875" style="10" customWidth="1"/>
    <col min="1234" max="1234" width="9.140625" style="10"/>
    <col min="1235" max="1235" width="11.28515625" style="10" customWidth="1"/>
    <col min="1236" max="1484" width="9.140625" style="10"/>
    <col min="1485" max="1485" width="37.42578125" style="10" customWidth="1"/>
    <col min="1486" max="1486" width="13.5703125" style="10" customWidth="1"/>
    <col min="1487" max="1487" width="14.42578125" style="10" customWidth="1"/>
    <col min="1488" max="1488" width="8.42578125" style="10" bestFit="1" customWidth="1"/>
    <col min="1489" max="1489" width="16.85546875" style="10" customWidth="1"/>
    <col min="1490" max="1490" width="9.140625" style="10"/>
    <col min="1491" max="1491" width="11.28515625" style="10" customWidth="1"/>
    <col min="1492" max="1740" width="9.140625" style="10"/>
    <col min="1741" max="1741" width="37.42578125" style="10" customWidth="1"/>
    <col min="1742" max="1742" width="13.5703125" style="10" customWidth="1"/>
    <col min="1743" max="1743" width="14.42578125" style="10" customWidth="1"/>
    <col min="1744" max="1744" width="8.42578125" style="10" bestFit="1" customWidth="1"/>
    <col min="1745" max="1745" width="16.85546875" style="10" customWidth="1"/>
    <col min="1746" max="1746" width="9.140625" style="10"/>
    <col min="1747" max="1747" width="11.28515625" style="10" customWidth="1"/>
    <col min="1748" max="1996" width="9.140625" style="10"/>
    <col min="1997" max="1997" width="37.42578125" style="10" customWidth="1"/>
    <col min="1998" max="1998" width="13.5703125" style="10" customWidth="1"/>
    <col min="1999" max="1999" width="14.42578125" style="10" customWidth="1"/>
    <col min="2000" max="2000" width="8.42578125" style="10" bestFit="1" customWidth="1"/>
    <col min="2001" max="2001" width="16.85546875" style="10" customWidth="1"/>
    <col min="2002" max="2002" width="9.140625" style="10"/>
    <col min="2003" max="2003" width="11.28515625" style="10" customWidth="1"/>
    <col min="2004" max="2252" width="9.140625" style="10"/>
    <col min="2253" max="2253" width="37.42578125" style="10" customWidth="1"/>
    <col min="2254" max="2254" width="13.5703125" style="10" customWidth="1"/>
    <col min="2255" max="2255" width="14.42578125" style="10" customWidth="1"/>
    <col min="2256" max="2256" width="8.42578125" style="10" bestFit="1" customWidth="1"/>
    <col min="2257" max="2257" width="16.85546875" style="10" customWidth="1"/>
    <col min="2258" max="2258" width="9.140625" style="10"/>
    <col min="2259" max="2259" width="11.28515625" style="10" customWidth="1"/>
    <col min="2260" max="2508" width="9.140625" style="10"/>
    <col min="2509" max="2509" width="37.42578125" style="10" customWidth="1"/>
    <col min="2510" max="2510" width="13.5703125" style="10" customWidth="1"/>
    <col min="2511" max="2511" width="14.42578125" style="10" customWidth="1"/>
    <col min="2512" max="2512" width="8.42578125" style="10" bestFit="1" customWidth="1"/>
    <col min="2513" max="2513" width="16.85546875" style="10" customWidth="1"/>
    <col min="2514" max="2514" width="9.140625" style="10"/>
    <col min="2515" max="2515" width="11.28515625" style="10" customWidth="1"/>
    <col min="2516" max="2764" width="9.140625" style="10"/>
    <col min="2765" max="2765" width="37.42578125" style="10" customWidth="1"/>
    <col min="2766" max="2766" width="13.5703125" style="10" customWidth="1"/>
    <col min="2767" max="2767" width="14.42578125" style="10" customWidth="1"/>
    <col min="2768" max="2768" width="8.42578125" style="10" bestFit="1" customWidth="1"/>
    <col min="2769" max="2769" width="16.85546875" style="10" customWidth="1"/>
    <col min="2770" max="2770" width="9.140625" style="10"/>
    <col min="2771" max="2771" width="11.28515625" style="10" customWidth="1"/>
    <col min="2772" max="3020" width="9.140625" style="10"/>
    <col min="3021" max="3021" width="37.42578125" style="10" customWidth="1"/>
    <col min="3022" max="3022" width="13.5703125" style="10" customWidth="1"/>
    <col min="3023" max="3023" width="14.42578125" style="10" customWidth="1"/>
    <col min="3024" max="3024" width="8.42578125" style="10" bestFit="1" customWidth="1"/>
    <col min="3025" max="3025" width="16.85546875" style="10" customWidth="1"/>
    <col min="3026" max="3026" width="9.140625" style="10"/>
    <col min="3027" max="3027" width="11.28515625" style="10" customWidth="1"/>
    <col min="3028" max="3276" width="9.140625" style="10"/>
    <col min="3277" max="3277" width="37.42578125" style="10" customWidth="1"/>
    <col min="3278" max="3278" width="13.5703125" style="10" customWidth="1"/>
    <col min="3279" max="3279" width="14.42578125" style="10" customWidth="1"/>
    <col min="3280" max="3280" width="8.42578125" style="10" bestFit="1" customWidth="1"/>
    <col min="3281" max="3281" width="16.85546875" style="10" customWidth="1"/>
    <col min="3282" max="3282" width="9.140625" style="10"/>
    <col min="3283" max="3283" width="11.28515625" style="10" customWidth="1"/>
    <col min="3284" max="3532" width="9.140625" style="10"/>
    <col min="3533" max="3533" width="37.42578125" style="10" customWidth="1"/>
    <col min="3534" max="3534" width="13.5703125" style="10" customWidth="1"/>
    <col min="3535" max="3535" width="14.42578125" style="10" customWidth="1"/>
    <col min="3536" max="3536" width="8.42578125" style="10" bestFit="1" customWidth="1"/>
    <col min="3537" max="3537" width="16.85546875" style="10" customWidth="1"/>
    <col min="3538" max="3538" width="9.140625" style="10"/>
    <col min="3539" max="3539" width="11.28515625" style="10" customWidth="1"/>
    <col min="3540" max="3788" width="9.140625" style="10"/>
    <col min="3789" max="3789" width="37.42578125" style="10" customWidth="1"/>
    <col min="3790" max="3790" width="13.5703125" style="10" customWidth="1"/>
    <col min="3791" max="3791" width="14.42578125" style="10" customWidth="1"/>
    <col min="3792" max="3792" width="8.42578125" style="10" bestFit="1" customWidth="1"/>
    <col min="3793" max="3793" width="16.85546875" style="10" customWidth="1"/>
    <col min="3794" max="3794" width="9.140625" style="10"/>
    <col min="3795" max="3795" width="11.28515625" style="10" customWidth="1"/>
    <col min="3796" max="4044" width="9.140625" style="10"/>
    <col min="4045" max="4045" width="37.42578125" style="10" customWidth="1"/>
    <col min="4046" max="4046" width="13.5703125" style="10" customWidth="1"/>
    <col min="4047" max="4047" width="14.42578125" style="10" customWidth="1"/>
    <col min="4048" max="4048" width="8.42578125" style="10" bestFit="1" customWidth="1"/>
    <col min="4049" max="4049" width="16.85546875" style="10" customWidth="1"/>
    <col min="4050" max="4050" width="9.140625" style="10"/>
    <col min="4051" max="4051" width="11.28515625" style="10" customWidth="1"/>
    <col min="4052" max="4300" width="9.140625" style="10"/>
    <col min="4301" max="4301" width="37.42578125" style="10" customWidth="1"/>
    <col min="4302" max="4302" width="13.5703125" style="10" customWidth="1"/>
    <col min="4303" max="4303" width="14.42578125" style="10" customWidth="1"/>
    <col min="4304" max="4304" width="8.42578125" style="10" bestFit="1" customWidth="1"/>
    <col min="4305" max="4305" width="16.85546875" style="10" customWidth="1"/>
    <col min="4306" max="4306" width="9.140625" style="10"/>
    <col min="4307" max="4307" width="11.28515625" style="10" customWidth="1"/>
    <col min="4308" max="4556" width="9.140625" style="10"/>
    <col min="4557" max="4557" width="37.42578125" style="10" customWidth="1"/>
    <col min="4558" max="4558" width="13.5703125" style="10" customWidth="1"/>
    <col min="4559" max="4559" width="14.42578125" style="10" customWidth="1"/>
    <col min="4560" max="4560" width="8.42578125" style="10" bestFit="1" customWidth="1"/>
    <col min="4561" max="4561" width="16.85546875" style="10" customWidth="1"/>
    <col min="4562" max="4562" width="9.140625" style="10"/>
    <col min="4563" max="4563" width="11.28515625" style="10" customWidth="1"/>
    <col min="4564" max="4812" width="9.140625" style="10"/>
    <col min="4813" max="4813" width="37.42578125" style="10" customWidth="1"/>
    <col min="4814" max="4814" width="13.5703125" style="10" customWidth="1"/>
    <col min="4815" max="4815" width="14.42578125" style="10" customWidth="1"/>
    <col min="4816" max="4816" width="8.42578125" style="10" bestFit="1" customWidth="1"/>
    <col min="4817" max="4817" width="16.85546875" style="10" customWidth="1"/>
    <col min="4818" max="4818" width="9.140625" style="10"/>
    <col min="4819" max="4819" width="11.28515625" style="10" customWidth="1"/>
    <col min="4820" max="5068" width="9.140625" style="10"/>
    <col min="5069" max="5069" width="37.42578125" style="10" customWidth="1"/>
    <col min="5070" max="5070" width="13.5703125" style="10" customWidth="1"/>
    <col min="5071" max="5071" width="14.42578125" style="10" customWidth="1"/>
    <col min="5072" max="5072" width="8.42578125" style="10" bestFit="1" customWidth="1"/>
    <col min="5073" max="5073" width="16.85546875" style="10" customWidth="1"/>
    <col min="5074" max="5074" width="9.140625" style="10"/>
    <col min="5075" max="5075" width="11.28515625" style="10" customWidth="1"/>
    <col min="5076" max="5324" width="9.140625" style="10"/>
    <col min="5325" max="5325" width="37.42578125" style="10" customWidth="1"/>
    <col min="5326" max="5326" width="13.5703125" style="10" customWidth="1"/>
    <col min="5327" max="5327" width="14.42578125" style="10" customWidth="1"/>
    <col min="5328" max="5328" width="8.42578125" style="10" bestFit="1" customWidth="1"/>
    <col min="5329" max="5329" width="16.85546875" style="10" customWidth="1"/>
    <col min="5330" max="5330" width="9.140625" style="10"/>
    <col min="5331" max="5331" width="11.28515625" style="10" customWidth="1"/>
    <col min="5332" max="5580" width="9.140625" style="10"/>
    <col min="5581" max="5581" width="37.42578125" style="10" customWidth="1"/>
    <col min="5582" max="5582" width="13.5703125" style="10" customWidth="1"/>
    <col min="5583" max="5583" width="14.42578125" style="10" customWidth="1"/>
    <col min="5584" max="5584" width="8.42578125" style="10" bestFit="1" customWidth="1"/>
    <col min="5585" max="5585" width="16.85546875" style="10" customWidth="1"/>
    <col min="5586" max="5586" width="9.140625" style="10"/>
    <col min="5587" max="5587" width="11.28515625" style="10" customWidth="1"/>
    <col min="5588" max="5836" width="9.140625" style="10"/>
    <col min="5837" max="5837" width="37.42578125" style="10" customWidth="1"/>
    <col min="5838" max="5838" width="13.5703125" style="10" customWidth="1"/>
    <col min="5839" max="5839" width="14.42578125" style="10" customWidth="1"/>
    <col min="5840" max="5840" width="8.42578125" style="10" bestFit="1" customWidth="1"/>
    <col min="5841" max="5841" width="16.85546875" style="10" customWidth="1"/>
    <col min="5842" max="5842" width="9.140625" style="10"/>
    <col min="5843" max="5843" width="11.28515625" style="10" customWidth="1"/>
    <col min="5844" max="6092" width="9.140625" style="10"/>
    <col min="6093" max="6093" width="37.42578125" style="10" customWidth="1"/>
    <col min="6094" max="6094" width="13.5703125" style="10" customWidth="1"/>
    <col min="6095" max="6095" width="14.42578125" style="10" customWidth="1"/>
    <col min="6096" max="6096" width="8.42578125" style="10" bestFit="1" customWidth="1"/>
    <col min="6097" max="6097" width="16.85546875" style="10" customWidth="1"/>
    <col min="6098" max="6098" width="9.140625" style="10"/>
    <col min="6099" max="6099" width="11.28515625" style="10" customWidth="1"/>
    <col min="6100" max="6348" width="9.140625" style="10"/>
    <col min="6349" max="6349" width="37.42578125" style="10" customWidth="1"/>
    <col min="6350" max="6350" width="13.5703125" style="10" customWidth="1"/>
    <col min="6351" max="6351" width="14.42578125" style="10" customWidth="1"/>
    <col min="6352" max="6352" width="8.42578125" style="10" bestFit="1" customWidth="1"/>
    <col min="6353" max="6353" width="16.85546875" style="10" customWidth="1"/>
    <col min="6354" max="6354" width="9.140625" style="10"/>
    <col min="6355" max="6355" width="11.28515625" style="10" customWidth="1"/>
    <col min="6356" max="6604" width="9.140625" style="10"/>
    <col min="6605" max="6605" width="37.42578125" style="10" customWidth="1"/>
    <col min="6606" max="6606" width="13.5703125" style="10" customWidth="1"/>
    <col min="6607" max="6607" width="14.42578125" style="10" customWidth="1"/>
    <col min="6608" max="6608" width="8.42578125" style="10" bestFit="1" customWidth="1"/>
    <col min="6609" max="6609" width="16.85546875" style="10" customWidth="1"/>
    <col min="6610" max="6610" width="9.140625" style="10"/>
    <col min="6611" max="6611" width="11.28515625" style="10" customWidth="1"/>
    <col min="6612" max="6860" width="9.140625" style="10"/>
    <col min="6861" max="6861" width="37.42578125" style="10" customWidth="1"/>
    <col min="6862" max="6862" width="13.5703125" style="10" customWidth="1"/>
    <col min="6863" max="6863" width="14.42578125" style="10" customWidth="1"/>
    <col min="6864" max="6864" width="8.42578125" style="10" bestFit="1" customWidth="1"/>
    <col min="6865" max="6865" width="16.85546875" style="10" customWidth="1"/>
    <col min="6866" max="6866" width="9.140625" style="10"/>
    <col min="6867" max="6867" width="11.28515625" style="10" customWidth="1"/>
    <col min="6868" max="7116" width="9.140625" style="10"/>
    <col min="7117" max="7117" width="37.42578125" style="10" customWidth="1"/>
    <col min="7118" max="7118" width="13.5703125" style="10" customWidth="1"/>
    <col min="7119" max="7119" width="14.42578125" style="10" customWidth="1"/>
    <col min="7120" max="7120" width="8.42578125" style="10" bestFit="1" customWidth="1"/>
    <col min="7121" max="7121" width="16.85546875" style="10" customWidth="1"/>
    <col min="7122" max="7122" width="9.140625" style="10"/>
    <col min="7123" max="7123" width="11.28515625" style="10" customWidth="1"/>
    <col min="7124" max="7372" width="9.140625" style="10"/>
    <col min="7373" max="7373" width="37.42578125" style="10" customWidth="1"/>
    <col min="7374" max="7374" width="13.5703125" style="10" customWidth="1"/>
    <col min="7375" max="7375" width="14.42578125" style="10" customWidth="1"/>
    <col min="7376" max="7376" width="8.42578125" style="10" bestFit="1" customWidth="1"/>
    <col min="7377" max="7377" width="16.85546875" style="10" customWidth="1"/>
    <col min="7378" max="7378" width="9.140625" style="10"/>
    <col min="7379" max="7379" width="11.28515625" style="10" customWidth="1"/>
    <col min="7380" max="7628" width="9.140625" style="10"/>
    <col min="7629" max="7629" width="37.42578125" style="10" customWidth="1"/>
    <col min="7630" max="7630" width="13.5703125" style="10" customWidth="1"/>
    <col min="7631" max="7631" width="14.42578125" style="10" customWidth="1"/>
    <col min="7632" max="7632" width="8.42578125" style="10" bestFit="1" customWidth="1"/>
    <col min="7633" max="7633" width="16.85546875" style="10" customWidth="1"/>
    <col min="7634" max="7634" width="9.140625" style="10"/>
    <col min="7635" max="7635" width="11.28515625" style="10" customWidth="1"/>
    <col min="7636" max="7884" width="9.140625" style="10"/>
    <col min="7885" max="7885" width="37.42578125" style="10" customWidth="1"/>
    <col min="7886" max="7886" width="13.5703125" style="10" customWidth="1"/>
    <col min="7887" max="7887" width="14.42578125" style="10" customWidth="1"/>
    <col min="7888" max="7888" width="8.42578125" style="10" bestFit="1" customWidth="1"/>
    <col min="7889" max="7889" width="16.85546875" style="10" customWidth="1"/>
    <col min="7890" max="7890" width="9.140625" style="10"/>
    <col min="7891" max="7891" width="11.28515625" style="10" customWidth="1"/>
    <col min="7892" max="8140" width="9.140625" style="10"/>
    <col min="8141" max="8141" width="37.42578125" style="10" customWidth="1"/>
    <col min="8142" max="8142" width="13.5703125" style="10" customWidth="1"/>
    <col min="8143" max="8143" width="14.42578125" style="10" customWidth="1"/>
    <col min="8144" max="8144" width="8.42578125" style="10" bestFit="1" customWidth="1"/>
    <col min="8145" max="8145" width="16.85546875" style="10" customWidth="1"/>
    <col min="8146" max="8146" width="9.140625" style="10"/>
    <col min="8147" max="8147" width="11.28515625" style="10" customWidth="1"/>
    <col min="8148" max="8396" width="9.140625" style="10"/>
    <col min="8397" max="8397" width="37.42578125" style="10" customWidth="1"/>
    <col min="8398" max="8398" width="13.5703125" style="10" customWidth="1"/>
    <col min="8399" max="8399" width="14.42578125" style="10" customWidth="1"/>
    <col min="8400" max="8400" width="8.42578125" style="10" bestFit="1" customWidth="1"/>
    <col min="8401" max="8401" width="16.85546875" style="10" customWidth="1"/>
    <col min="8402" max="8402" width="9.140625" style="10"/>
    <col min="8403" max="8403" width="11.28515625" style="10" customWidth="1"/>
    <col min="8404" max="8652" width="9.140625" style="10"/>
    <col min="8653" max="8653" width="37.42578125" style="10" customWidth="1"/>
    <col min="8654" max="8654" width="13.5703125" style="10" customWidth="1"/>
    <col min="8655" max="8655" width="14.42578125" style="10" customWidth="1"/>
    <col min="8656" max="8656" width="8.42578125" style="10" bestFit="1" customWidth="1"/>
    <col min="8657" max="8657" width="16.85546875" style="10" customWidth="1"/>
    <col min="8658" max="8658" width="9.140625" style="10"/>
    <col min="8659" max="8659" width="11.28515625" style="10" customWidth="1"/>
    <col min="8660" max="8908" width="9.140625" style="10"/>
    <col min="8909" max="8909" width="37.42578125" style="10" customWidth="1"/>
    <col min="8910" max="8910" width="13.5703125" style="10" customWidth="1"/>
    <col min="8911" max="8911" width="14.42578125" style="10" customWidth="1"/>
    <col min="8912" max="8912" width="8.42578125" style="10" bestFit="1" customWidth="1"/>
    <col min="8913" max="8913" width="16.85546875" style="10" customWidth="1"/>
    <col min="8914" max="8914" width="9.140625" style="10"/>
    <col min="8915" max="8915" width="11.28515625" style="10" customWidth="1"/>
    <col min="8916" max="9164" width="9.140625" style="10"/>
    <col min="9165" max="9165" width="37.42578125" style="10" customWidth="1"/>
    <col min="9166" max="9166" width="13.5703125" style="10" customWidth="1"/>
    <col min="9167" max="9167" width="14.42578125" style="10" customWidth="1"/>
    <col min="9168" max="9168" width="8.42578125" style="10" bestFit="1" customWidth="1"/>
    <col min="9169" max="9169" width="16.85546875" style="10" customWidth="1"/>
    <col min="9170" max="9170" width="9.140625" style="10"/>
    <col min="9171" max="9171" width="11.28515625" style="10" customWidth="1"/>
    <col min="9172" max="9420" width="9.140625" style="10"/>
    <col min="9421" max="9421" width="37.42578125" style="10" customWidth="1"/>
    <col min="9422" max="9422" width="13.5703125" style="10" customWidth="1"/>
    <col min="9423" max="9423" width="14.42578125" style="10" customWidth="1"/>
    <col min="9424" max="9424" width="8.42578125" style="10" bestFit="1" customWidth="1"/>
    <col min="9425" max="9425" width="16.85546875" style="10" customWidth="1"/>
    <col min="9426" max="9426" width="9.140625" style="10"/>
    <col min="9427" max="9427" width="11.28515625" style="10" customWidth="1"/>
    <col min="9428" max="9676" width="9.140625" style="10"/>
    <col min="9677" max="9677" width="37.42578125" style="10" customWidth="1"/>
    <col min="9678" max="9678" width="13.5703125" style="10" customWidth="1"/>
    <col min="9679" max="9679" width="14.42578125" style="10" customWidth="1"/>
    <col min="9680" max="9680" width="8.42578125" style="10" bestFit="1" customWidth="1"/>
    <col min="9681" max="9681" width="16.85546875" style="10" customWidth="1"/>
    <col min="9682" max="9682" width="9.140625" style="10"/>
    <col min="9683" max="9683" width="11.28515625" style="10" customWidth="1"/>
    <col min="9684" max="9932" width="9.140625" style="10"/>
    <col min="9933" max="9933" width="37.42578125" style="10" customWidth="1"/>
    <col min="9934" max="9934" width="13.5703125" style="10" customWidth="1"/>
    <col min="9935" max="9935" width="14.42578125" style="10" customWidth="1"/>
    <col min="9936" max="9936" width="8.42578125" style="10" bestFit="1" customWidth="1"/>
    <col min="9937" max="9937" width="16.85546875" style="10" customWidth="1"/>
    <col min="9938" max="9938" width="9.140625" style="10"/>
    <col min="9939" max="9939" width="11.28515625" style="10" customWidth="1"/>
    <col min="9940" max="10188" width="9.140625" style="10"/>
    <col min="10189" max="10189" width="37.42578125" style="10" customWidth="1"/>
    <col min="10190" max="10190" width="13.5703125" style="10" customWidth="1"/>
    <col min="10191" max="10191" width="14.42578125" style="10" customWidth="1"/>
    <col min="10192" max="10192" width="8.42578125" style="10" bestFit="1" customWidth="1"/>
    <col min="10193" max="10193" width="16.85546875" style="10" customWidth="1"/>
    <col min="10194" max="10194" width="9.140625" style="10"/>
    <col min="10195" max="10195" width="11.28515625" style="10" customWidth="1"/>
    <col min="10196" max="10444" width="9.140625" style="10"/>
    <col min="10445" max="10445" width="37.42578125" style="10" customWidth="1"/>
    <col min="10446" max="10446" width="13.5703125" style="10" customWidth="1"/>
    <col min="10447" max="10447" width="14.42578125" style="10" customWidth="1"/>
    <col min="10448" max="10448" width="8.42578125" style="10" bestFit="1" customWidth="1"/>
    <col min="10449" max="10449" width="16.85546875" style="10" customWidth="1"/>
    <col min="10450" max="10450" width="9.140625" style="10"/>
    <col min="10451" max="10451" width="11.28515625" style="10" customWidth="1"/>
    <col min="10452" max="10700" width="9.140625" style="10"/>
    <col min="10701" max="10701" width="37.42578125" style="10" customWidth="1"/>
    <col min="10702" max="10702" width="13.5703125" style="10" customWidth="1"/>
    <col min="10703" max="10703" width="14.42578125" style="10" customWidth="1"/>
    <col min="10704" max="10704" width="8.42578125" style="10" bestFit="1" customWidth="1"/>
    <col min="10705" max="10705" width="16.85546875" style="10" customWidth="1"/>
    <col min="10706" max="10706" width="9.140625" style="10"/>
    <col min="10707" max="10707" width="11.28515625" style="10" customWidth="1"/>
    <col min="10708" max="10956" width="9.140625" style="10"/>
    <col min="10957" max="10957" width="37.42578125" style="10" customWidth="1"/>
    <col min="10958" max="10958" width="13.5703125" style="10" customWidth="1"/>
    <col min="10959" max="10959" width="14.42578125" style="10" customWidth="1"/>
    <col min="10960" max="10960" width="8.42578125" style="10" bestFit="1" customWidth="1"/>
    <col min="10961" max="10961" width="16.85546875" style="10" customWidth="1"/>
    <col min="10962" max="10962" width="9.140625" style="10"/>
    <col min="10963" max="10963" width="11.28515625" style="10" customWidth="1"/>
    <col min="10964" max="11212" width="9.140625" style="10"/>
    <col min="11213" max="11213" width="37.42578125" style="10" customWidth="1"/>
    <col min="11214" max="11214" width="13.5703125" style="10" customWidth="1"/>
    <col min="11215" max="11215" width="14.42578125" style="10" customWidth="1"/>
    <col min="11216" max="11216" width="8.42578125" style="10" bestFit="1" customWidth="1"/>
    <col min="11217" max="11217" width="16.85546875" style="10" customWidth="1"/>
    <col min="11218" max="11218" width="9.140625" style="10"/>
    <col min="11219" max="11219" width="11.28515625" style="10" customWidth="1"/>
    <col min="11220" max="11468" width="9.140625" style="10"/>
    <col min="11469" max="11469" width="37.42578125" style="10" customWidth="1"/>
    <col min="11470" max="11470" width="13.5703125" style="10" customWidth="1"/>
    <col min="11471" max="11471" width="14.42578125" style="10" customWidth="1"/>
    <col min="11472" max="11472" width="8.42578125" style="10" bestFit="1" customWidth="1"/>
    <col min="11473" max="11473" width="16.85546875" style="10" customWidth="1"/>
    <col min="11474" max="11474" width="9.140625" style="10"/>
    <col min="11475" max="11475" width="11.28515625" style="10" customWidth="1"/>
    <col min="11476" max="11724" width="9.140625" style="10"/>
    <col min="11725" max="11725" width="37.42578125" style="10" customWidth="1"/>
    <col min="11726" max="11726" width="13.5703125" style="10" customWidth="1"/>
    <col min="11727" max="11727" width="14.42578125" style="10" customWidth="1"/>
    <col min="11728" max="11728" width="8.42578125" style="10" bestFit="1" customWidth="1"/>
    <col min="11729" max="11729" width="16.85546875" style="10" customWidth="1"/>
    <col min="11730" max="11730" width="9.140625" style="10"/>
    <col min="11731" max="11731" width="11.28515625" style="10" customWidth="1"/>
    <col min="11732" max="11980" width="9.140625" style="10"/>
    <col min="11981" max="11981" width="37.42578125" style="10" customWidth="1"/>
    <col min="11982" max="11982" width="13.5703125" style="10" customWidth="1"/>
    <col min="11983" max="11983" width="14.42578125" style="10" customWidth="1"/>
    <col min="11984" max="11984" width="8.42578125" style="10" bestFit="1" customWidth="1"/>
    <col min="11985" max="11985" width="16.85546875" style="10" customWidth="1"/>
    <col min="11986" max="11986" width="9.140625" style="10"/>
    <col min="11987" max="11987" width="11.28515625" style="10" customWidth="1"/>
    <col min="11988" max="12236" width="9.140625" style="10"/>
    <col min="12237" max="12237" width="37.42578125" style="10" customWidth="1"/>
    <col min="12238" max="12238" width="13.5703125" style="10" customWidth="1"/>
    <col min="12239" max="12239" width="14.42578125" style="10" customWidth="1"/>
    <col min="12240" max="12240" width="8.42578125" style="10" bestFit="1" customWidth="1"/>
    <col min="12241" max="12241" width="16.85546875" style="10" customWidth="1"/>
    <col min="12242" max="12242" width="9.140625" style="10"/>
    <col min="12243" max="12243" width="11.28515625" style="10" customWidth="1"/>
    <col min="12244" max="12492" width="9.140625" style="10"/>
    <col min="12493" max="12493" width="37.42578125" style="10" customWidth="1"/>
    <col min="12494" max="12494" width="13.5703125" style="10" customWidth="1"/>
    <col min="12495" max="12495" width="14.42578125" style="10" customWidth="1"/>
    <col min="12496" max="12496" width="8.42578125" style="10" bestFit="1" customWidth="1"/>
    <col min="12497" max="12497" width="16.85546875" style="10" customWidth="1"/>
    <col min="12498" max="12498" width="9.140625" style="10"/>
    <col min="12499" max="12499" width="11.28515625" style="10" customWidth="1"/>
    <col min="12500" max="12748" width="9.140625" style="10"/>
    <col min="12749" max="12749" width="37.42578125" style="10" customWidth="1"/>
    <col min="12750" max="12750" width="13.5703125" style="10" customWidth="1"/>
    <col min="12751" max="12751" width="14.42578125" style="10" customWidth="1"/>
    <col min="12752" max="12752" width="8.42578125" style="10" bestFit="1" customWidth="1"/>
    <col min="12753" max="12753" width="16.85546875" style="10" customWidth="1"/>
    <col min="12754" max="12754" width="9.140625" style="10"/>
    <col min="12755" max="12755" width="11.28515625" style="10" customWidth="1"/>
    <col min="12756" max="13004" width="9.140625" style="10"/>
    <col min="13005" max="13005" width="37.42578125" style="10" customWidth="1"/>
    <col min="13006" max="13006" width="13.5703125" style="10" customWidth="1"/>
    <col min="13007" max="13007" width="14.42578125" style="10" customWidth="1"/>
    <col min="13008" max="13008" width="8.42578125" style="10" bestFit="1" customWidth="1"/>
    <col min="13009" max="13009" width="16.85546875" style="10" customWidth="1"/>
    <col min="13010" max="13010" width="9.140625" style="10"/>
    <col min="13011" max="13011" width="11.28515625" style="10" customWidth="1"/>
    <col min="13012" max="13260" width="9.140625" style="10"/>
    <col min="13261" max="13261" width="37.42578125" style="10" customWidth="1"/>
    <col min="13262" max="13262" width="13.5703125" style="10" customWidth="1"/>
    <col min="13263" max="13263" width="14.42578125" style="10" customWidth="1"/>
    <col min="13264" max="13264" width="8.42578125" style="10" bestFit="1" customWidth="1"/>
    <col min="13265" max="13265" width="16.85546875" style="10" customWidth="1"/>
    <col min="13266" max="13266" width="9.140625" style="10"/>
    <col min="13267" max="13267" width="11.28515625" style="10" customWidth="1"/>
    <col min="13268" max="13516" width="9.140625" style="10"/>
    <col min="13517" max="13517" width="37.42578125" style="10" customWidth="1"/>
    <col min="13518" max="13518" width="13.5703125" style="10" customWidth="1"/>
    <col min="13519" max="13519" width="14.42578125" style="10" customWidth="1"/>
    <col min="13520" max="13520" width="8.42578125" style="10" bestFit="1" customWidth="1"/>
    <col min="13521" max="13521" width="16.85546875" style="10" customWidth="1"/>
    <col min="13522" max="13522" width="9.140625" style="10"/>
    <col min="13523" max="13523" width="11.28515625" style="10" customWidth="1"/>
    <col min="13524" max="13772" width="9.140625" style="10"/>
    <col min="13773" max="13773" width="37.42578125" style="10" customWidth="1"/>
    <col min="13774" max="13774" width="13.5703125" style="10" customWidth="1"/>
    <col min="13775" max="13775" width="14.42578125" style="10" customWidth="1"/>
    <col min="13776" max="13776" width="8.42578125" style="10" bestFit="1" customWidth="1"/>
    <col min="13777" max="13777" width="16.85546875" style="10" customWidth="1"/>
    <col min="13778" max="13778" width="9.140625" style="10"/>
    <col min="13779" max="13779" width="11.28515625" style="10" customWidth="1"/>
    <col min="13780" max="14028" width="9.140625" style="10"/>
    <col min="14029" max="14029" width="37.42578125" style="10" customWidth="1"/>
    <col min="14030" max="14030" width="13.5703125" style="10" customWidth="1"/>
    <col min="14031" max="14031" width="14.42578125" style="10" customWidth="1"/>
    <col min="14032" max="14032" width="8.42578125" style="10" bestFit="1" customWidth="1"/>
    <col min="14033" max="14033" width="16.85546875" style="10" customWidth="1"/>
    <col min="14034" max="14034" width="9.140625" style="10"/>
    <col min="14035" max="14035" width="11.28515625" style="10" customWidth="1"/>
    <col min="14036" max="14284" width="9.140625" style="10"/>
    <col min="14285" max="14285" width="37.42578125" style="10" customWidth="1"/>
    <col min="14286" max="14286" width="13.5703125" style="10" customWidth="1"/>
    <col min="14287" max="14287" width="14.42578125" style="10" customWidth="1"/>
    <col min="14288" max="14288" width="8.42578125" style="10" bestFit="1" customWidth="1"/>
    <col min="14289" max="14289" width="16.85546875" style="10" customWidth="1"/>
    <col min="14290" max="14290" width="9.140625" style="10"/>
    <col min="14291" max="14291" width="11.28515625" style="10" customWidth="1"/>
    <col min="14292" max="14540" width="9.140625" style="10"/>
    <col min="14541" max="14541" width="37.42578125" style="10" customWidth="1"/>
    <col min="14542" max="14542" width="13.5703125" style="10" customWidth="1"/>
    <col min="14543" max="14543" width="14.42578125" style="10" customWidth="1"/>
    <col min="14544" max="14544" width="8.42578125" style="10" bestFit="1" customWidth="1"/>
    <col min="14545" max="14545" width="16.85546875" style="10" customWidth="1"/>
    <col min="14546" max="14546" width="9.140625" style="10"/>
    <col min="14547" max="14547" width="11.28515625" style="10" customWidth="1"/>
    <col min="14548" max="14796" width="9.140625" style="10"/>
    <col min="14797" max="14797" width="37.42578125" style="10" customWidth="1"/>
    <col min="14798" max="14798" width="13.5703125" style="10" customWidth="1"/>
    <col min="14799" max="14799" width="14.42578125" style="10" customWidth="1"/>
    <col min="14800" max="14800" width="8.42578125" style="10" bestFit="1" customWidth="1"/>
    <col min="14801" max="14801" width="16.85546875" style="10" customWidth="1"/>
    <col min="14802" max="14802" width="9.140625" style="10"/>
    <col min="14803" max="14803" width="11.28515625" style="10" customWidth="1"/>
    <col min="14804" max="15052" width="9.140625" style="10"/>
    <col min="15053" max="15053" width="37.42578125" style="10" customWidth="1"/>
    <col min="15054" max="15054" width="13.5703125" style="10" customWidth="1"/>
    <col min="15055" max="15055" width="14.42578125" style="10" customWidth="1"/>
    <col min="15056" max="15056" width="8.42578125" style="10" bestFit="1" customWidth="1"/>
    <col min="15057" max="15057" width="16.85546875" style="10" customWidth="1"/>
    <col min="15058" max="15058" width="9.140625" style="10"/>
    <col min="15059" max="15059" width="11.28515625" style="10" customWidth="1"/>
    <col min="15060" max="15308" width="9.140625" style="10"/>
    <col min="15309" max="15309" width="37.42578125" style="10" customWidth="1"/>
    <col min="15310" max="15310" width="13.5703125" style="10" customWidth="1"/>
    <col min="15311" max="15311" width="14.42578125" style="10" customWidth="1"/>
    <col min="15312" max="15312" width="8.42578125" style="10" bestFit="1" customWidth="1"/>
    <col min="15313" max="15313" width="16.85546875" style="10" customWidth="1"/>
    <col min="15314" max="15314" width="9.140625" style="10"/>
    <col min="15315" max="15315" width="11.28515625" style="10" customWidth="1"/>
    <col min="15316" max="15564" width="9.140625" style="10"/>
    <col min="15565" max="15565" width="37.42578125" style="10" customWidth="1"/>
    <col min="15566" max="15566" width="13.5703125" style="10" customWidth="1"/>
    <col min="15567" max="15567" width="14.42578125" style="10" customWidth="1"/>
    <col min="15568" max="15568" width="8.42578125" style="10" bestFit="1" customWidth="1"/>
    <col min="15569" max="15569" width="16.85546875" style="10" customWidth="1"/>
    <col min="15570" max="15570" width="9.140625" style="10"/>
    <col min="15571" max="15571" width="11.28515625" style="10" customWidth="1"/>
    <col min="15572" max="15820" width="9.140625" style="10"/>
    <col min="15821" max="15821" width="37.42578125" style="10" customWidth="1"/>
    <col min="15822" max="15822" width="13.5703125" style="10" customWidth="1"/>
    <col min="15823" max="15823" width="14.42578125" style="10" customWidth="1"/>
    <col min="15824" max="15824" width="8.42578125" style="10" bestFit="1" customWidth="1"/>
    <col min="15825" max="15825" width="16.85546875" style="10" customWidth="1"/>
    <col min="15826" max="15826" width="9.140625" style="10"/>
    <col min="15827" max="15827" width="11.28515625" style="10" customWidth="1"/>
    <col min="15828" max="16076" width="9.140625" style="10"/>
    <col min="16077" max="16077" width="37.42578125" style="10" customWidth="1"/>
    <col min="16078" max="16078" width="13.5703125" style="10" customWidth="1"/>
    <col min="16079" max="16079" width="14.42578125" style="10" customWidth="1"/>
    <col min="16080" max="16080" width="8.42578125" style="10" bestFit="1" customWidth="1"/>
    <col min="16081" max="16081" width="16.85546875" style="10" customWidth="1"/>
    <col min="16082" max="16082" width="9.140625" style="10"/>
    <col min="16083" max="16083" width="11.28515625" style="10" customWidth="1"/>
    <col min="16084" max="16384" width="9.140625" style="10"/>
  </cols>
  <sheetData>
    <row r="1" spans="1:20" ht="15.75" x14ac:dyDescent="0.2">
      <c r="A1" s="685" t="s">
        <v>46</v>
      </c>
      <c r="B1" s="686"/>
      <c r="C1" s="686"/>
      <c r="D1" s="687"/>
      <c r="E1" s="687"/>
      <c r="F1" s="688"/>
      <c r="G1" s="9"/>
    </row>
    <row r="2" spans="1:20" ht="25.5" x14ac:dyDescent="0.2">
      <c r="A2" s="12" t="s">
        <v>47</v>
      </c>
      <c r="B2" s="313" t="str">
        <f>'BOM R2D CatWalk'!I145</f>
        <v>WELDMENT, 30 FT LIFT ARM, PC4100</v>
      </c>
      <c r="C2" s="13"/>
      <c r="D2" s="13" t="s">
        <v>48</v>
      </c>
      <c r="E2" s="347"/>
      <c r="F2" s="85"/>
    </row>
    <row r="3" spans="1:20" ht="15.75" customHeight="1" thickBot="1" x14ac:dyDescent="0.25">
      <c r="A3" s="12" t="s">
        <v>49</v>
      </c>
      <c r="B3" s="313" t="str">
        <f>'BOM R2D CatWalk'!G145</f>
        <v>AY30144</v>
      </c>
      <c r="C3" s="13"/>
      <c r="D3" s="13" t="s">
        <v>50</v>
      </c>
      <c r="E3" s="705">
        <f>'BOM R2D CatWalk'!K145</f>
        <v>1</v>
      </c>
      <c r="F3" s="706"/>
      <c r="G3" s="9"/>
    </row>
    <row r="4" spans="1:20" ht="16.5" customHeight="1" thickBot="1" x14ac:dyDescent="0.25">
      <c r="A4" s="12" t="s">
        <v>51</v>
      </c>
      <c r="B4" s="86">
        <f>'BOM R2D CatWalk'!N145</f>
        <v>1095</v>
      </c>
      <c r="C4" s="16"/>
      <c r="D4" s="147"/>
      <c r="E4" s="147"/>
      <c r="F4" s="17"/>
      <c r="G4" s="9"/>
      <c r="J4" s="707" t="s">
        <v>685</v>
      </c>
      <c r="K4" s="708"/>
      <c r="L4" s="708"/>
      <c r="M4" s="708"/>
      <c r="N4" s="708"/>
      <c r="O4" s="708"/>
      <c r="P4" s="708"/>
      <c r="Q4" s="359" t="str">
        <f>'RM Details'!H123</f>
        <v>AY30144</v>
      </c>
      <c r="R4" s="359"/>
      <c r="S4" s="359"/>
      <c r="T4" s="360"/>
    </row>
    <row r="5" spans="1:20" ht="25.5" customHeight="1" thickBot="1" x14ac:dyDescent="0.25">
      <c r="A5" s="691" t="s">
        <v>52</v>
      </c>
      <c r="B5" s="692"/>
      <c r="C5" s="692"/>
      <c r="D5" s="693"/>
      <c r="E5" s="693"/>
      <c r="F5" s="694"/>
      <c r="G5" s="18"/>
      <c r="J5" s="391" t="s">
        <v>0</v>
      </c>
      <c r="K5" s="391" t="s">
        <v>13</v>
      </c>
      <c r="L5" s="391" t="s">
        <v>154</v>
      </c>
      <c r="M5" s="391" t="s">
        <v>544</v>
      </c>
      <c r="N5" s="392" t="s">
        <v>551</v>
      </c>
      <c r="O5" s="392" t="s">
        <v>552</v>
      </c>
      <c r="P5" s="391" t="s">
        <v>548</v>
      </c>
      <c r="Q5" s="391" t="s">
        <v>34</v>
      </c>
      <c r="R5" s="391" t="s">
        <v>549</v>
      </c>
      <c r="S5" s="391" t="s">
        <v>547</v>
      </c>
      <c r="T5" s="391" t="s">
        <v>156</v>
      </c>
    </row>
    <row r="6" spans="1:20" ht="21" customHeight="1" thickBot="1" x14ac:dyDescent="0.25">
      <c r="A6" s="695" t="s">
        <v>53</v>
      </c>
      <c r="B6" s="696"/>
      <c r="C6" s="696"/>
      <c r="D6" s="697"/>
      <c r="E6" s="697"/>
      <c r="F6" s="698"/>
      <c r="G6" s="18"/>
      <c r="H6" s="19"/>
      <c r="I6" s="19"/>
      <c r="J6" s="143">
        <v>1</v>
      </c>
      <c r="K6" s="143" t="s">
        <v>21</v>
      </c>
      <c r="L6" s="143">
        <v>6</v>
      </c>
      <c r="M6" s="143" t="s">
        <v>542</v>
      </c>
      <c r="N6" s="145">
        <f>'RM Details'!E125</f>
        <v>1.173732</v>
      </c>
      <c r="O6" s="145">
        <f>'RM Details'!F125</f>
        <v>1.2911052000000001</v>
      </c>
      <c r="P6" s="145"/>
      <c r="Q6" s="145"/>
      <c r="R6" s="145">
        <f t="shared" ref="R6:R10" si="0">IF(P6&gt;O6,P6,IF(P6&lt;O6,O6))</f>
        <v>1.2911052000000001</v>
      </c>
      <c r="S6" s="145">
        <v>100</v>
      </c>
      <c r="T6" s="145">
        <f t="shared" ref="T6:T10" si="1">S6*R6</f>
        <v>129.11052000000001</v>
      </c>
    </row>
    <row r="7" spans="1:20" ht="26.25" thickBot="1" x14ac:dyDescent="0.25">
      <c r="A7" s="20" t="s">
        <v>54</v>
      </c>
      <c r="B7" s="21" t="s">
        <v>688</v>
      </c>
      <c r="C7" s="21" t="s">
        <v>687</v>
      </c>
      <c r="D7" s="21" t="s">
        <v>540</v>
      </c>
      <c r="E7" s="21" t="s">
        <v>271</v>
      </c>
      <c r="F7" s="394" t="s">
        <v>388</v>
      </c>
      <c r="G7" s="18"/>
      <c r="H7" s="1"/>
      <c r="I7" s="1"/>
      <c r="J7" s="143">
        <v>5</v>
      </c>
      <c r="K7" s="143" t="s">
        <v>286</v>
      </c>
      <c r="L7" s="143">
        <v>25</v>
      </c>
      <c r="M7" s="143" t="s">
        <v>542</v>
      </c>
      <c r="N7" s="145">
        <f>'RM Details'!E126</f>
        <v>104</v>
      </c>
      <c r="O7" s="145">
        <f>'RM Details'!F126</f>
        <v>154.3938</v>
      </c>
      <c r="P7" s="145"/>
      <c r="Q7" s="145"/>
      <c r="R7" s="145">
        <f>IF(P7&gt;O7,P7,IF(P7&lt;O7,O7))</f>
        <v>154.3938</v>
      </c>
      <c r="S7" s="145">
        <v>90</v>
      </c>
      <c r="T7" s="145">
        <f>S7*R7</f>
        <v>13895.441999999999</v>
      </c>
    </row>
    <row r="8" spans="1:20" ht="17.25" customHeight="1" x14ac:dyDescent="0.2">
      <c r="A8" s="23" t="s">
        <v>55</v>
      </c>
      <c r="B8" s="24">
        <f>R6+R7</f>
        <v>155.6849052</v>
      </c>
      <c r="C8" s="25">
        <f>R8+R9+R10</f>
        <v>149.76233139999999</v>
      </c>
      <c r="D8" s="25">
        <f>R11+R12</f>
        <v>935.68669699999998</v>
      </c>
      <c r="E8" s="148">
        <f>R13</f>
        <v>110.88660000000002</v>
      </c>
      <c r="F8" s="26">
        <f>R14</f>
        <v>35.61</v>
      </c>
      <c r="G8" s="18">
        <f>SUM(C8:F8)</f>
        <v>1231.9456283999998</v>
      </c>
      <c r="H8" s="1"/>
      <c r="J8" s="143">
        <v>2</v>
      </c>
      <c r="K8" s="143" t="s">
        <v>21</v>
      </c>
      <c r="L8" s="143">
        <v>10</v>
      </c>
      <c r="M8" s="143" t="s">
        <v>543</v>
      </c>
      <c r="N8" s="145">
        <f>'RM Details'!E127</f>
        <v>85.734849999999994</v>
      </c>
      <c r="O8" s="145">
        <f>'RM Details'!F127</f>
        <v>138.7654862</v>
      </c>
      <c r="P8" s="145"/>
      <c r="Q8" s="145"/>
      <c r="R8" s="145">
        <f t="shared" si="0"/>
        <v>138.7654862</v>
      </c>
      <c r="S8" s="145">
        <v>90</v>
      </c>
      <c r="T8" s="145">
        <f t="shared" si="1"/>
        <v>12488.893758</v>
      </c>
    </row>
    <row r="9" spans="1:20" ht="18" customHeight="1" x14ac:dyDescent="0.2">
      <c r="A9" s="27" t="s">
        <v>56</v>
      </c>
      <c r="B9" s="77">
        <f>N6+N7</f>
        <v>105.173732</v>
      </c>
      <c r="C9" s="28">
        <f>N8+N9+N10</f>
        <v>90.642049999999998</v>
      </c>
      <c r="D9" s="28">
        <f>N11+N12</f>
        <v>850.62427000000002</v>
      </c>
      <c r="E9" s="149">
        <f>N13</f>
        <v>100.80600000000001</v>
      </c>
      <c r="F9" s="74">
        <f>N14</f>
        <v>2.4000000000000004</v>
      </c>
      <c r="G9" s="18">
        <f>SUM(C9:F9)</f>
        <v>1044.4723200000001</v>
      </c>
      <c r="H9" s="1"/>
      <c r="J9" s="143">
        <v>3</v>
      </c>
      <c r="K9" s="143" t="s">
        <v>21</v>
      </c>
      <c r="L9" s="143">
        <v>12</v>
      </c>
      <c r="M9" s="143" t="s">
        <v>543</v>
      </c>
      <c r="N9" s="145">
        <f>'RM Details'!E128</f>
        <v>4</v>
      </c>
      <c r="O9" s="145">
        <f>'RM Details'!F128</f>
        <v>4.7872440000000003</v>
      </c>
      <c r="P9" s="145"/>
      <c r="Q9" s="145"/>
      <c r="R9" s="145">
        <f t="shared" si="0"/>
        <v>4.7872440000000003</v>
      </c>
      <c r="S9" s="145">
        <v>100</v>
      </c>
      <c r="T9" s="145">
        <f t="shared" si="1"/>
        <v>478.7244</v>
      </c>
    </row>
    <row r="10" spans="1:20" ht="15.75" x14ac:dyDescent="0.2">
      <c r="A10" s="29" t="s">
        <v>57</v>
      </c>
      <c r="B10" s="30">
        <f t="shared" ref="B10" si="2">(B8-B9)*80%</f>
        <v>40.408938560000003</v>
      </c>
      <c r="C10" s="30">
        <f t="shared" ref="C10" si="3">(C8-C9)*80%</f>
        <v>47.296225120000003</v>
      </c>
      <c r="D10" s="30">
        <f t="shared" ref="D10:E10" si="4">(D8-D9)*80%</f>
        <v>68.049941599999968</v>
      </c>
      <c r="E10" s="30">
        <f t="shared" si="4"/>
        <v>8.0644800000000032</v>
      </c>
      <c r="F10" s="30">
        <f t="shared" ref="F10" si="5">(F8-F9)*80%</f>
        <v>26.568000000000001</v>
      </c>
      <c r="G10" s="31">
        <f>(G8-G9)/G9</f>
        <v>0.17949093031014907</v>
      </c>
      <c r="H10" s="32"/>
      <c r="J10" s="143">
        <v>4</v>
      </c>
      <c r="K10" s="143" t="s">
        <v>21</v>
      </c>
      <c r="L10" s="143">
        <v>20</v>
      </c>
      <c r="M10" s="143" t="s">
        <v>543</v>
      </c>
      <c r="N10" s="145">
        <f>'RM Details'!E129</f>
        <v>0.90720000000000001</v>
      </c>
      <c r="O10" s="145">
        <f>'RM Details'!F129</f>
        <v>6.2096011999999998</v>
      </c>
      <c r="P10" s="145"/>
      <c r="Q10" s="145"/>
      <c r="R10" s="145">
        <f t="shared" si="0"/>
        <v>6.2096011999999998</v>
      </c>
      <c r="S10" s="145">
        <v>100</v>
      </c>
      <c r="T10" s="145">
        <f t="shared" si="1"/>
        <v>620.96011999999996</v>
      </c>
    </row>
    <row r="11" spans="1:20" ht="31.5" x14ac:dyDescent="0.25">
      <c r="A11" s="33" t="s">
        <v>58</v>
      </c>
      <c r="B11" s="35">
        <v>90</v>
      </c>
      <c r="C11" s="35">
        <v>90</v>
      </c>
      <c r="D11" s="35">
        <v>200</v>
      </c>
      <c r="E11" s="35">
        <v>130</v>
      </c>
      <c r="F11" s="35">
        <v>150</v>
      </c>
      <c r="G11" s="18">
        <f>SUMPRODUCT(B11:F11,B8:F8)</f>
        <v>234384.34869400001</v>
      </c>
      <c r="H11"/>
      <c r="J11" s="143">
        <v>6</v>
      </c>
      <c r="K11" s="143" t="s">
        <v>550</v>
      </c>
      <c r="L11" s="116" t="s">
        <v>714</v>
      </c>
      <c r="M11" s="143" t="s">
        <v>540</v>
      </c>
      <c r="N11" s="145">
        <f>'RM Details'!E130</f>
        <v>739.35911999999996</v>
      </c>
      <c r="O11" s="145">
        <f>'RM Details'!F130</f>
        <v>813.29503199999999</v>
      </c>
      <c r="P11" s="145">
        <f>28.1*6</f>
        <v>168.60000000000002</v>
      </c>
      <c r="Q11" s="145" t="s">
        <v>541</v>
      </c>
      <c r="R11" s="145">
        <f t="shared" ref="R11" si="6">IF(P11&gt;O11,P11,IF(P11&lt;O11,O11))</f>
        <v>813.29503199999999</v>
      </c>
      <c r="S11" s="145">
        <v>110</v>
      </c>
      <c r="T11" s="145">
        <f t="shared" ref="T11:T14" si="7">S11*R11</f>
        <v>89462.453519999995</v>
      </c>
    </row>
    <row r="12" spans="1:20" ht="32.25" thickBot="1" x14ac:dyDescent="0.3">
      <c r="A12" s="29" t="s">
        <v>59</v>
      </c>
      <c r="B12" s="353">
        <v>30</v>
      </c>
      <c r="C12" s="353">
        <v>30</v>
      </c>
      <c r="D12" s="353">
        <v>30</v>
      </c>
      <c r="E12" s="353">
        <v>30</v>
      </c>
      <c r="F12" s="353">
        <v>30</v>
      </c>
      <c r="G12" s="18"/>
      <c r="H12"/>
      <c r="I12"/>
      <c r="J12" s="143">
        <v>7</v>
      </c>
      <c r="K12" s="143" t="s">
        <v>550</v>
      </c>
      <c r="L12" s="144" t="s">
        <v>690</v>
      </c>
      <c r="M12" s="143" t="s">
        <v>540</v>
      </c>
      <c r="N12" s="145">
        <f>'RM Details'!E131</f>
        <v>111.26515000000001</v>
      </c>
      <c r="O12" s="145">
        <f>'RM Details'!F131</f>
        <v>122.39166500000002</v>
      </c>
      <c r="P12" s="145">
        <f>28.1*6</f>
        <v>168.60000000000002</v>
      </c>
      <c r="Q12" s="145" t="s">
        <v>541</v>
      </c>
      <c r="R12" s="145">
        <f>O12</f>
        <v>122.39166500000002</v>
      </c>
      <c r="S12" s="145">
        <v>110</v>
      </c>
      <c r="T12" s="145">
        <f t="shared" si="7"/>
        <v>13463.083150000002</v>
      </c>
    </row>
    <row r="13" spans="1:20" ht="16.5" thickBot="1" x14ac:dyDescent="0.3">
      <c r="A13" s="36" t="s">
        <v>60</v>
      </c>
      <c r="B13" s="349">
        <f>(B8*B11)-(B10*B12)</f>
        <v>12799.373311199999</v>
      </c>
      <c r="C13" s="349">
        <f t="shared" ref="C13:F13" si="8">(C8*C11)-(C10*C12)</f>
        <v>12059.7230724</v>
      </c>
      <c r="D13" s="349">
        <f t="shared" si="8"/>
        <v>185095.84115200001</v>
      </c>
      <c r="E13" s="349">
        <f t="shared" si="8"/>
        <v>14173.323600000002</v>
      </c>
      <c r="F13" s="349">
        <f t="shared" si="8"/>
        <v>4544.46</v>
      </c>
      <c r="G13" s="37">
        <f>SUM(B13:F13)</f>
        <v>228672.7211356</v>
      </c>
      <c r="H13"/>
      <c r="I13"/>
      <c r="J13" s="143">
        <v>8</v>
      </c>
      <c r="K13" s="143" t="s">
        <v>286</v>
      </c>
      <c r="L13" s="143" t="s">
        <v>409</v>
      </c>
      <c r="M13" s="143" t="s">
        <v>271</v>
      </c>
      <c r="N13" s="145">
        <f>'RM Details'!E132</f>
        <v>100.80600000000001</v>
      </c>
      <c r="O13" s="145">
        <f>'RM Details'!F132</f>
        <v>110.88660000000002</v>
      </c>
      <c r="P13" s="145">
        <f>4.24*6</f>
        <v>25.44</v>
      </c>
      <c r="Q13" s="145" t="s">
        <v>709</v>
      </c>
      <c r="R13" s="145">
        <f t="shared" ref="R13:R14" si="9">IF(P13&lt;O13,O13,IF(P13&gt;O13,P13))</f>
        <v>110.88660000000002</v>
      </c>
      <c r="S13" s="145">
        <v>130</v>
      </c>
      <c r="T13" s="145">
        <f t="shared" si="7"/>
        <v>14415.258000000002</v>
      </c>
    </row>
    <row r="14" spans="1:20" ht="16.5" thickBot="1" x14ac:dyDescent="0.25">
      <c r="A14" s="38" t="s">
        <v>61</v>
      </c>
      <c r="B14" s="680">
        <f>SUM(B13:F13)</f>
        <v>228672.7211356</v>
      </c>
      <c r="C14" s="682"/>
      <c r="D14" s="683"/>
      <c r="E14" s="683"/>
      <c r="F14" s="684"/>
      <c r="G14" s="39">
        <f>G13/G8</f>
        <v>185.61916683984722</v>
      </c>
      <c r="H14" s="32"/>
      <c r="I14" s="32"/>
      <c r="J14" s="143">
        <v>9</v>
      </c>
      <c r="K14" s="143" t="s">
        <v>44</v>
      </c>
      <c r="L14" s="143" t="s">
        <v>389</v>
      </c>
      <c r="M14" s="393" t="s">
        <v>388</v>
      </c>
      <c r="N14" s="145">
        <f>'RM Details'!E133</f>
        <v>2.4000000000000004</v>
      </c>
      <c r="O14" s="145">
        <f>'RM Details'!F133</f>
        <v>2.6400000000000006</v>
      </c>
      <c r="P14" s="143">
        <f>35.61*1</f>
        <v>35.61</v>
      </c>
      <c r="Q14" s="143"/>
      <c r="R14" s="145">
        <f t="shared" si="9"/>
        <v>35.61</v>
      </c>
      <c r="S14" s="145">
        <v>250</v>
      </c>
      <c r="T14" s="145">
        <f t="shared" si="7"/>
        <v>8902.5</v>
      </c>
    </row>
    <row r="15" spans="1:20" ht="21.75" thickBot="1" x14ac:dyDescent="0.3">
      <c r="A15" s="663" t="s">
        <v>62</v>
      </c>
      <c r="B15" s="664"/>
      <c r="C15" s="664"/>
      <c r="D15" s="665"/>
      <c r="E15" s="665"/>
      <c r="F15" s="666"/>
      <c r="G15" s="18"/>
      <c r="H15"/>
      <c r="I15"/>
      <c r="J15" s="371"/>
      <c r="K15" s="372"/>
      <c r="L15" s="372" t="s">
        <v>45</v>
      </c>
      <c r="M15" s="372"/>
      <c r="N15" s="373">
        <f>SUM(N6:N14)</f>
        <v>1149.6460520000001</v>
      </c>
      <c r="O15" s="373">
        <f>SUM(O6:O14)</f>
        <v>1354.6605336000002</v>
      </c>
      <c r="P15" s="372"/>
      <c r="Q15" s="372"/>
      <c r="R15" s="373">
        <f>SUM(R6:R14)</f>
        <v>1387.6305336</v>
      </c>
      <c r="S15" s="375">
        <f>T15/R15</f>
        <v>110.87708272665527</v>
      </c>
      <c r="T15" s="373">
        <f>SUM(T6:T14)</f>
        <v>153856.425468</v>
      </c>
    </row>
    <row r="16" spans="1:20" ht="24.75" customHeight="1" x14ac:dyDescent="0.2">
      <c r="A16" s="317" t="s">
        <v>63</v>
      </c>
      <c r="B16" s="41"/>
      <c r="C16" s="42"/>
      <c r="D16" s="150"/>
      <c r="E16" s="150"/>
      <c r="F16" s="43"/>
      <c r="G16" s="18"/>
      <c r="H16" s="32"/>
      <c r="I16" s="32"/>
    </row>
    <row r="17" spans="1:9" ht="20.25" customHeight="1" x14ac:dyDescent="0.2">
      <c r="A17" s="667" t="s">
        <v>64</v>
      </c>
      <c r="B17" s="668"/>
      <c r="C17" s="668"/>
      <c r="D17" s="151"/>
      <c r="E17" s="151"/>
      <c r="F17" s="45">
        <f>SUM(F16:F16)</f>
        <v>0</v>
      </c>
      <c r="G17" s="84"/>
    </row>
    <row r="18" spans="1:9" ht="13.5" thickBot="1" x14ac:dyDescent="0.25">
      <c r="A18" s="669" t="s">
        <v>65</v>
      </c>
      <c r="B18" s="670"/>
      <c r="C18" s="670"/>
      <c r="D18" s="152"/>
      <c r="E18" s="152"/>
      <c r="F18" s="46">
        <f>B14+F17</f>
        <v>228672.7211356</v>
      </c>
      <c r="G18" s="18"/>
    </row>
    <row r="19" spans="1:9" ht="22.5" customHeight="1" x14ac:dyDescent="0.2">
      <c r="A19" s="671" t="s">
        <v>66</v>
      </c>
      <c r="B19" s="672"/>
      <c r="C19" s="672"/>
      <c r="D19" s="673"/>
      <c r="E19" s="673"/>
      <c r="F19" s="674"/>
      <c r="G19" s="18"/>
    </row>
    <row r="20" spans="1:9" x14ac:dyDescent="0.2">
      <c r="A20" s="47" t="s">
        <v>54</v>
      </c>
      <c r="B20" s="48" t="s">
        <v>23</v>
      </c>
      <c r="C20" s="49" t="s">
        <v>67</v>
      </c>
      <c r="D20" s="50"/>
      <c r="E20" s="50"/>
      <c r="F20" s="51" t="s">
        <v>68</v>
      </c>
      <c r="G20" s="18"/>
    </row>
    <row r="21" spans="1:9" ht="18" customHeight="1" x14ac:dyDescent="0.2">
      <c r="A21" s="52" t="s">
        <v>69</v>
      </c>
      <c r="B21" s="53">
        <f>'BOM R2D CatWalk'!X145</f>
        <v>85.711400077272259</v>
      </c>
      <c r="C21" s="54">
        <v>35</v>
      </c>
      <c r="D21" s="55"/>
      <c r="E21" s="55"/>
      <c r="F21" s="45">
        <f t="shared" ref="F21:F27" si="10">B21*C21</f>
        <v>2999.8990027045293</v>
      </c>
      <c r="G21" s="56"/>
      <c r="H21" s="69">
        <f>F21/$G$9</f>
        <v>2.8721670696879062</v>
      </c>
      <c r="I21" s="69"/>
    </row>
    <row r="22" spans="1:9" ht="20.25" customHeight="1" x14ac:dyDescent="0.2">
      <c r="A22" s="52" t="s">
        <v>70</v>
      </c>
      <c r="B22" s="53">
        <f>'BOM R2D CatWalk'!AB145/60</f>
        <v>4.166666666666667</v>
      </c>
      <c r="C22" s="54">
        <v>1000</v>
      </c>
      <c r="D22" s="55"/>
      <c r="E22" s="55"/>
      <c r="F22" s="45">
        <f t="shared" si="10"/>
        <v>4166.666666666667</v>
      </c>
      <c r="G22" s="56"/>
      <c r="H22" s="69">
        <f t="shared" ref="H22:H35" si="11">F22/$G$9</f>
        <v>3.9892552314518652</v>
      </c>
      <c r="I22" s="69"/>
    </row>
    <row r="23" spans="1:9" ht="18" customHeight="1" x14ac:dyDescent="0.2">
      <c r="A23" s="52" t="s">
        <v>71</v>
      </c>
      <c r="B23" s="53">
        <f>'BOM R2D CatWalk'!Z145</f>
        <v>0</v>
      </c>
      <c r="C23" s="54">
        <v>100</v>
      </c>
      <c r="D23" s="55"/>
      <c r="E23" s="55"/>
      <c r="F23" s="45">
        <f t="shared" si="10"/>
        <v>0</v>
      </c>
      <c r="G23" s="79"/>
      <c r="H23" s="69">
        <f t="shared" si="11"/>
        <v>0</v>
      </c>
      <c r="I23" s="69"/>
    </row>
    <row r="24" spans="1:9" ht="18" customHeight="1" x14ac:dyDescent="0.2">
      <c r="A24" s="52" t="s">
        <v>72</v>
      </c>
      <c r="B24" s="53">
        <v>132</v>
      </c>
      <c r="C24" s="54">
        <v>250</v>
      </c>
      <c r="D24" s="55"/>
      <c r="E24" s="55"/>
      <c r="F24" s="45">
        <f t="shared" si="10"/>
        <v>33000</v>
      </c>
      <c r="G24" s="56"/>
      <c r="H24" s="69">
        <f t="shared" si="11"/>
        <v>31.594901433098769</v>
      </c>
      <c r="I24" s="69"/>
    </row>
    <row r="25" spans="1:9" ht="18" customHeight="1" x14ac:dyDescent="0.2">
      <c r="A25" s="52" t="s">
        <v>73</v>
      </c>
      <c r="B25" s="53">
        <f>B24/12</f>
        <v>11</v>
      </c>
      <c r="C25" s="54">
        <v>250</v>
      </c>
      <c r="D25" s="55"/>
      <c r="E25" s="55"/>
      <c r="F25" s="45">
        <f t="shared" si="10"/>
        <v>2750</v>
      </c>
      <c r="G25" s="56"/>
      <c r="H25" s="69">
        <f t="shared" si="11"/>
        <v>2.6329084527582309</v>
      </c>
      <c r="I25" s="69"/>
    </row>
    <row r="26" spans="1:9" ht="18" customHeight="1" x14ac:dyDescent="0.2">
      <c r="A26" s="52" t="s">
        <v>74</v>
      </c>
      <c r="B26" s="53">
        <f>G9/95</f>
        <v>10.994445473684211</v>
      </c>
      <c r="C26" s="54">
        <v>1200</v>
      </c>
      <c r="D26" s="55"/>
      <c r="E26" s="55"/>
      <c r="F26" s="45">
        <f t="shared" si="10"/>
        <v>13193.334568421053</v>
      </c>
      <c r="G26" s="56"/>
      <c r="H26" s="69">
        <f t="shared" si="11"/>
        <v>12.631578947368419</v>
      </c>
      <c r="I26" s="69"/>
    </row>
    <row r="27" spans="1:9" x14ac:dyDescent="0.2">
      <c r="A27" s="57" t="s">
        <v>75</v>
      </c>
      <c r="B27" s="58"/>
      <c r="C27" s="59">
        <v>250</v>
      </c>
      <c r="D27" s="60"/>
      <c r="E27" s="60"/>
      <c r="F27" s="61">
        <f t="shared" si="10"/>
        <v>0</v>
      </c>
      <c r="G27" s="84" t="s">
        <v>76</v>
      </c>
      <c r="H27" s="69">
        <f t="shared" si="11"/>
        <v>0</v>
      </c>
      <c r="I27" s="69"/>
    </row>
    <row r="28" spans="1:9" ht="18" customHeight="1" x14ac:dyDescent="0.2">
      <c r="A28" s="52" t="s">
        <v>77</v>
      </c>
      <c r="B28" s="53"/>
      <c r="C28" s="54">
        <v>5</v>
      </c>
      <c r="D28" s="55"/>
      <c r="E28" s="55"/>
      <c r="F28" s="62">
        <f>C28*G9</f>
        <v>5222.3616000000002</v>
      </c>
      <c r="G28" s="18"/>
      <c r="H28" s="69">
        <f t="shared" si="11"/>
        <v>5</v>
      </c>
      <c r="I28" s="69"/>
    </row>
    <row r="29" spans="1:9" ht="18" customHeight="1" x14ac:dyDescent="0.2">
      <c r="A29" s="52" t="s">
        <v>78</v>
      </c>
      <c r="B29" s="53">
        <v>0</v>
      </c>
      <c r="C29" s="54">
        <v>50</v>
      </c>
      <c r="D29" s="55"/>
      <c r="E29" s="55"/>
      <c r="F29" s="62">
        <f>B29*C29</f>
        <v>0</v>
      </c>
      <c r="G29" s="18"/>
      <c r="H29" s="69">
        <f t="shared" si="11"/>
        <v>0</v>
      </c>
      <c r="I29" s="69"/>
    </row>
    <row r="30" spans="1:9" ht="18" customHeight="1" x14ac:dyDescent="0.2">
      <c r="A30" s="52" t="s">
        <v>79</v>
      </c>
      <c r="B30" s="54">
        <f>'BOM R2D CatWalk'!AI145</f>
        <v>21.382169649999998</v>
      </c>
      <c r="C30" s="54">
        <v>1250</v>
      </c>
      <c r="D30" s="55"/>
      <c r="E30" s="55"/>
      <c r="F30" s="62">
        <f>B30*C30</f>
        <v>26727.712062499999</v>
      </c>
      <c r="G30" s="63" t="s">
        <v>133</v>
      </c>
      <c r="H30" s="69">
        <f t="shared" si="11"/>
        <v>25.589679640816136</v>
      </c>
      <c r="I30" s="69"/>
    </row>
    <row r="31" spans="1:9" ht="18" customHeight="1" x14ac:dyDescent="0.2">
      <c r="A31" s="52" t="s">
        <v>710</v>
      </c>
      <c r="B31" s="54">
        <v>4</v>
      </c>
      <c r="C31" s="54">
        <v>250</v>
      </c>
      <c r="D31" s="55"/>
      <c r="E31" s="55"/>
      <c r="F31" s="45">
        <f>B31*C31</f>
        <v>1000</v>
      </c>
      <c r="G31" s="63"/>
      <c r="H31" s="69">
        <f t="shared" si="11"/>
        <v>0.95742125554844759</v>
      </c>
      <c r="I31" s="69"/>
    </row>
    <row r="32" spans="1:9" ht="18" customHeight="1" x14ac:dyDescent="0.2">
      <c r="A32" s="52" t="s">
        <v>135</v>
      </c>
      <c r="B32" s="54"/>
      <c r="C32" s="54">
        <v>4.5</v>
      </c>
      <c r="D32" s="55"/>
      <c r="E32" s="55"/>
      <c r="F32" s="45">
        <f>C32*G9</f>
        <v>4700.1254400000007</v>
      </c>
      <c r="G32" s="63"/>
      <c r="H32" s="69">
        <f t="shared" si="11"/>
        <v>4.5</v>
      </c>
      <c r="I32" s="69"/>
    </row>
    <row r="33" spans="1:14" ht="19.5" customHeight="1" x14ac:dyDescent="0.2">
      <c r="A33" s="47" t="s">
        <v>152</v>
      </c>
      <c r="B33" s="64"/>
      <c r="C33" s="65"/>
      <c r="D33" s="66"/>
      <c r="E33" s="66"/>
      <c r="F33" s="67">
        <f>SUM(F21:F32)</f>
        <v>93760.099340292247</v>
      </c>
      <c r="G33" s="18"/>
      <c r="H33" s="69">
        <f t="shared" si="11"/>
        <v>89.767912030729775</v>
      </c>
      <c r="I33" s="69"/>
    </row>
    <row r="34" spans="1:14" ht="22.5" customHeight="1" x14ac:dyDescent="0.2">
      <c r="A34" s="675" t="s">
        <v>80</v>
      </c>
      <c r="B34" s="676"/>
      <c r="C34" s="677"/>
      <c r="D34" s="315"/>
      <c r="E34" s="315"/>
      <c r="F34" s="154">
        <f>F18+F33</f>
        <v>322432.82047589228</v>
      </c>
      <c r="G34" s="68"/>
      <c r="H34" s="69"/>
      <c r="I34" s="69"/>
    </row>
    <row r="35" spans="1:14" x14ac:dyDescent="0.2">
      <c r="A35" s="83" t="s">
        <v>126</v>
      </c>
      <c r="B35" s="83"/>
      <c r="C35" s="318"/>
      <c r="D35" s="156">
        <v>0.1</v>
      </c>
      <c r="E35" s="156"/>
      <c r="F35" s="155">
        <f>F34*D35</f>
        <v>32243.282047589229</v>
      </c>
      <c r="G35" s="70"/>
      <c r="H35" s="69">
        <f t="shared" si="11"/>
        <v>30.870403581005601</v>
      </c>
      <c r="I35" s="69"/>
    </row>
    <row r="36" spans="1:14" x14ac:dyDescent="0.2">
      <c r="A36" s="83" t="s">
        <v>127</v>
      </c>
      <c r="B36" s="83"/>
      <c r="C36" s="318"/>
      <c r="D36" s="318"/>
      <c r="E36" s="318"/>
      <c r="F36" s="155">
        <f>SUM(F34:F35)</f>
        <v>354676.10252348153</v>
      </c>
      <c r="G36" s="70"/>
      <c r="H36" s="69">
        <f>F36/G9</f>
        <v>339.57443939106162</v>
      </c>
      <c r="I36" s="69">
        <f>F36/G8</f>
        <v>287.89915264695588</v>
      </c>
    </row>
    <row r="39" spans="1:14" ht="12.75" customHeight="1" thickBot="1" x14ac:dyDescent="0.25">
      <c r="G39" s="11" t="s">
        <v>81</v>
      </c>
      <c r="H39" s="44"/>
      <c r="I39" s="44"/>
    </row>
    <row r="40" spans="1:14" ht="12.75" customHeight="1" x14ac:dyDescent="0.2">
      <c r="A40" s="709" t="s">
        <v>691</v>
      </c>
      <c r="B40" s="710"/>
      <c r="C40" s="710"/>
      <c r="D40" s="153"/>
      <c r="E40" s="153"/>
      <c r="F40" s="71" t="s">
        <v>83</v>
      </c>
      <c r="G40" s="11" t="s">
        <v>81</v>
      </c>
      <c r="H40" s="44"/>
      <c r="I40" s="44"/>
    </row>
    <row r="41" spans="1:14" x14ac:dyDescent="0.2">
      <c r="A41" s="654" t="s">
        <v>134</v>
      </c>
      <c r="B41" s="655"/>
      <c r="C41" s="655"/>
      <c r="D41" s="316"/>
      <c r="E41" s="316"/>
      <c r="F41" s="72"/>
    </row>
    <row r="42" spans="1:14" ht="13.5" thickBot="1" x14ac:dyDescent="0.25">
      <c r="A42" s="656" t="s">
        <v>84</v>
      </c>
      <c r="B42" s="657"/>
      <c r="C42" s="657"/>
      <c r="D42" s="314"/>
      <c r="E42" s="314"/>
      <c r="F42" s="261" t="s">
        <v>85</v>
      </c>
    </row>
    <row r="43" spans="1:14" ht="20.100000000000001" customHeight="1" x14ac:dyDescent="0.2">
      <c r="H43" s="44"/>
      <c r="I43" s="44"/>
    </row>
    <row r="44" spans="1:14" s="44" customFormat="1" ht="18" customHeight="1" thickBot="1" x14ac:dyDescent="0.25">
      <c r="A44" s="10"/>
      <c r="B44" s="10"/>
      <c r="C44" s="10"/>
      <c r="D44" s="10"/>
      <c r="E44" s="10"/>
      <c r="F44" s="70"/>
      <c r="G44" s="14"/>
      <c r="H44" s="10"/>
      <c r="I44" s="10"/>
      <c r="J44" s="10"/>
    </row>
    <row r="45" spans="1:14" s="44" customFormat="1" ht="15.75" thickBot="1" x14ac:dyDescent="0.25">
      <c r="A45" s="658" t="s">
        <v>161</v>
      </c>
      <c r="B45" s="659"/>
      <c r="C45" s="659"/>
      <c r="D45" s="660"/>
      <c r="E45" s="10"/>
      <c r="F45" s="70"/>
      <c r="G45" s="14"/>
      <c r="H45" s="10"/>
      <c r="I45" s="10"/>
      <c r="J45" s="10"/>
    </row>
    <row r="46" spans="1:14" s="44" customFormat="1" ht="19.5" customHeight="1" thickBot="1" x14ac:dyDescent="0.25">
      <c r="A46" s="282" t="s">
        <v>125</v>
      </c>
      <c r="B46" s="283" t="s">
        <v>159</v>
      </c>
      <c r="C46" s="283" t="s">
        <v>155</v>
      </c>
      <c r="D46" s="284" t="s">
        <v>156</v>
      </c>
      <c r="F46" s="70"/>
      <c r="G46" s="14"/>
      <c r="H46" s="10"/>
      <c r="I46" s="10"/>
      <c r="J46" s="10"/>
      <c r="K46" s="10"/>
      <c r="L46" s="10"/>
      <c r="M46" s="10"/>
      <c r="N46" s="10"/>
    </row>
    <row r="47" spans="1:14" s="44" customFormat="1" ht="15.75" x14ac:dyDescent="0.2">
      <c r="A47" s="288" t="s">
        <v>124</v>
      </c>
      <c r="B47" s="289">
        <f>B4*1.6</f>
        <v>1752</v>
      </c>
      <c r="C47" s="290">
        <v>100</v>
      </c>
      <c r="D47" s="291">
        <f>B47*C47</f>
        <v>175200</v>
      </c>
      <c r="F47" s="70"/>
      <c r="G47" s="14"/>
      <c r="H47" s="10"/>
      <c r="I47" s="10"/>
      <c r="J47" s="10"/>
      <c r="K47" s="10"/>
      <c r="L47" s="10"/>
      <c r="M47" s="10"/>
      <c r="N47" s="10"/>
    </row>
    <row r="48" spans="1:14" s="44" customFormat="1" ht="15.75" x14ac:dyDescent="0.2">
      <c r="A48" s="274" t="s">
        <v>711</v>
      </c>
      <c r="B48" s="80">
        <f>B4*0.25</f>
        <v>273.75</v>
      </c>
      <c r="C48" s="81">
        <v>200</v>
      </c>
      <c r="D48" s="273">
        <f>B48*C48</f>
        <v>54750</v>
      </c>
      <c r="F48" s="70"/>
      <c r="G48" s="14"/>
      <c r="H48" s="10"/>
      <c r="I48" s="10"/>
      <c r="J48" s="10"/>
      <c r="K48" s="10"/>
      <c r="L48" s="10"/>
      <c r="M48" s="10"/>
      <c r="N48" s="10"/>
    </row>
    <row r="49" spans="1:14" s="44" customFormat="1" ht="15.75" x14ac:dyDescent="0.2">
      <c r="A49" s="274" t="s">
        <v>162</v>
      </c>
      <c r="B49" s="80">
        <f>SUM(B47:B48)</f>
        <v>2025.75</v>
      </c>
      <c r="C49" s="81">
        <v>4.5</v>
      </c>
      <c r="D49" s="273">
        <f>B49*C49</f>
        <v>9115.875</v>
      </c>
      <c r="F49" s="70"/>
      <c r="G49" s="14"/>
      <c r="H49" s="10"/>
      <c r="I49" s="10"/>
      <c r="J49" s="10"/>
      <c r="K49" s="10"/>
      <c r="L49" s="10"/>
      <c r="M49" s="10"/>
      <c r="N49" s="10"/>
    </row>
    <row r="50" spans="1:14" s="44" customFormat="1" ht="15.75" x14ac:dyDescent="0.2">
      <c r="A50" s="292" t="s">
        <v>163</v>
      </c>
      <c r="B50" s="286"/>
      <c r="C50" s="287"/>
      <c r="D50" s="293">
        <f>SUM(D47:D49)</f>
        <v>239065.875</v>
      </c>
      <c r="F50" s="70"/>
      <c r="G50" s="14"/>
      <c r="H50" s="10"/>
      <c r="I50" s="10"/>
      <c r="J50" s="10"/>
      <c r="K50" s="10"/>
      <c r="L50" s="10"/>
      <c r="M50" s="10"/>
      <c r="N50" s="10"/>
    </row>
    <row r="51" spans="1:14" s="44" customFormat="1" ht="15.75" x14ac:dyDescent="0.2">
      <c r="A51" s="274" t="s">
        <v>158</v>
      </c>
      <c r="B51" s="80">
        <v>8</v>
      </c>
      <c r="C51" s="81">
        <f>75000/30</f>
        <v>2500</v>
      </c>
      <c r="D51" s="273">
        <f>B51*C51</f>
        <v>20000</v>
      </c>
      <c r="E51" s="294"/>
      <c r="F51" s="70"/>
      <c r="G51" s="14"/>
      <c r="H51" s="10"/>
      <c r="I51" s="10"/>
      <c r="J51" s="10"/>
      <c r="K51" s="10"/>
      <c r="L51" s="10"/>
      <c r="M51" s="10"/>
      <c r="N51" s="10"/>
    </row>
    <row r="52" spans="1:14" s="44" customFormat="1" ht="16.5" thickBot="1" x14ac:dyDescent="0.25">
      <c r="A52" s="275" t="s">
        <v>126</v>
      </c>
      <c r="B52" s="276"/>
      <c r="C52" s="285">
        <v>2.5499999999999998E-2</v>
      </c>
      <c r="D52" s="277">
        <f>(D50+D51)*C52</f>
        <v>6606.1798124999996</v>
      </c>
      <c r="F52" s="70"/>
      <c r="G52" s="14"/>
      <c r="H52" s="10"/>
      <c r="I52" s="10"/>
      <c r="J52" s="10"/>
      <c r="K52" s="10"/>
      <c r="L52" s="10"/>
      <c r="M52" s="10"/>
      <c r="N52" s="10"/>
    </row>
    <row r="53" spans="1:14" s="265" customFormat="1" ht="16.5" thickBot="1" x14ac:dyDescent="0.25">
      <c r="A53" s="278" t="s">
        <v>160</v>
      </c>
      <c r="B53" s="279"/>
      <c r="C53" s="280"/>
      <c r="D53" s="281">
        <f>SUM(D50:D52)</f>
        <v>265672.05481250002</v>
      </c>
      <c r="E53" s="295"/>
      <c r="F53" s="262"/>
      <c r="G53" s="263"/>
      <c r="H53" s="264"/>
      <c r="I53" s="264"/>
      <c r="J53" s="264"/>
      <c r="K53" s="264"/>
      <c r="L53" s="264"/>
      <c r="M53" s="264"/>
      <c r="N53" s="264"/>
    </row>
    <row r="54" spans="1:14" s="44" customFormat="1" ht="25.5" customHeight="1" x14ac:dyDescent="0.2">
      <c r="A54" s="10"/>
      <c r="B54" s="10"/>
      <c r="C54" s="10"/>
      <c r="D54" s="10"/>
      <c r="E54" s="10"/>
      <c r="F54" s="70"/>
      <c r="G54" s="14"/>
      <c r="H54" s="10"/>
      <c r="I54" s="10"/>
      <c r="J54" s="10"/>
      <c r="K54" s="10"/>
      <c r="L54" s="10"/>
      <c r="M54" s="10"/>
      <c r="N54" s="10"/>
    </row>
  </sheetData>
  <sheetProtection selectLockedCells="1" selectUnlockedCells="1"/>
  <mergeCells count="15">
    <mergeCell ref="A45:D45"/>
    <mergeCell ref="A42:C42"/>
    <mergeCell ref="E3:F3"/>
    <mergeCell ref="A17:C17"/>
    <mergeCell ref="A18:C18"/>
    <mergeCell ref="A19:F19"/>
    <mergeCell ref="A34:C34"/>
    <mergeCell ref="A40:C40"/>
    <mergeCell ref="A41:C41"/>
    <mergeCell ref="A15:F15"/>
    <mergeCell ref="A1:F1"/>
    <mergeCell ref="J4:P4"/>
    <mergeCell ref="A5:F5"/>
    <mergeCell ref="A6:F6"/>
    <mergeCell ref="B14:F1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7A19-7AB6-452B-90F4-119D56E20B24}">
  <sheetPr>
    <pageSetUpPr fitToPage="1"/>
  </sheetPr>
  <dimension ref="A1:S54"/>
  <sheetViews>
    <sheetView topLeftCell="A37" zoomScale="85" zoomScaleNormal="85" zoomScaleSheetLayoutView="100" workbookViewId="0">
      <selection activeCell="H77" sqref="H77"/>
    </sheetView>
  </sheetViews>
  <sheetFormatPr defaultRowHeight="12.75" x14ac:dyDescent="0.2"/>
  <cols>
    <col min="1" max="1" width="38.42578125" style="10" customWidth="1"/>
    <col min="2" max="2" width="31.5703125" style="10" bestFit="1" customWidth="1"/>
    <col min="3" max="3" width="17.42578125" style="10" bestFit="1" customWidth="1"/>
    <col min="4" max="4" width="20" style="10" bestFit="1" customWidth="1"/>
    <col min="5" max="5" width="18.5703125" style="70" bestFit="1" customWidth="1"/>
    <col min="6" max="6" width="21.140625" style="14" customWidth="1"/>
    <col min="7" max="7" width="10.140625" style="10" customWidth="1"/>
    <col min="8" max="8" width="8.85546875" style="10" customWidth="1"/>
    <col min="9" max="9" width="7.7109375" style="10" bestFit="1" customWidth="1"/>
    <col min="10" max="10" width="6.7109375" style="10" bestFit="1" customWidth="1"/>
    <col min="11" max="11" width="20" style="10" bestFit="1" customWidth="1"/>
    <col min="12" max="12" width="15.5703125" style="10" bestFit="1" customWidth="1"/>
    <col min="13" max="13" width="10.28515625" style="10" bestFit="1" customWidth="1"/>
    <col min="14" max="14" width="13.28515625" style="10" customWidth="1"/>
    <col min="15" max="15" width="17.140625" style="10" bestFit="1" customWidth="1"/>
    <col min="16" max="16" width="11.5703125" style="10" bestFit="1" customWidth="1"/>
    <col min="17" max="17" width="15.140625" style="10" bestFit="1" customWidth="1"/>
    <col min="18" max="18" width="10.42578125" style="10" bestFit="1" customWidth="1"/>
    <col min="19" max="19" width="13.140625" style="10" bestFit="1" customWidth="1"/>
    <col min="20" max="20" width="23.85546875" style="10" customWidth="1"/>
    <col min="21" max="203" width="9.140625" style="10"/>
    <col min="204" max="204" width="37.42578125" style="10" customWidth="1"/>
    <col min="205" max="205" width="13.5703125" style="10" customWidth="1"/>
    <col min="206" max="206" width="14.42578125" style="10" customWidth="1"/>
    <col min="207" max="207" width="8.42578125" style="10" bestFit="1" customWidth="1"/>
    <col min="208" max="208" width="16.85546875" style="10" customWidth="1"/>
    <col min="209" max="209" width="9.140625" style="10"/>
    <col min="210" max="210" width="11.28515625" style="10" customWidth="1"/>
    <col min="211" max="459" width="9.140625" style="10"/>
    <col min="460" max="460" width="37.42578125" style="10" customWidth="1"/>
    <col min="461" max="461" width="13.5703125" style="10" customWidth="1"/>
    <col min="462" max="462" width="14.42578125" style="10" customWidth="1"/>
    <col min="463" max="463" width="8.42578125" style="10" bestFit="1" customWidth="1"/>
    <col min="464" max="464" width="16.85546875" style="10" customWidth="1"/>
    <col min="465" max="465" width="9.140625" style="10"/>
    <col min="466" max="466" width="11.28515625" style="10" customWidth="1"/>
    <col min="467" max="715" width="9.140625" style="10"/>
    <col min="716" max="716" width="37.42578125" style="10" customWidth="1"/>
    <col min="717" max="717" width="13.5703125" style="10" customWidth="1"/>
    <col min="718" max="718" width="14.42578125" style="10" customWidth="1"/>
    <col min="719" max="719" width="8.42578125" style="10" bestFit="1" customWidth="1"/>
    <col min="720" max="720" width="16.85546875" style="10" customWidth="1"/>
    <col min="721" max="721" width="9.140625" style="10"/>
    <col min="722" max="722" width="11.28515625" style="10" customWidth="1"/>
    <col min="723" max="971" width="9.140625" style="10"/>
    <col min="972" max="972" width="37.42578125" style="10" customWidth="1"/>
    <col min="973" max="973" width="13.5703125" style="10" customWidth="1"/>
    <col min="974" max="974" width="14.42578125" style="10" customWidth="1"/>
    <col min="975" max="975" width="8.42578125" style="10" bestFit="1" customWidth="1"/>
    <col min="976" max="976" width="16.85546875" style="10" customWidth="1"/>
    <col min="977" max="977" width="9.140625" style="10"/>
    <col min="978" max="978" width="11.28515625" style="10" customWidth="1"/>
    <col min="979" max="1227" width="9.140625" style="10"/>
    <col min="1228" max="1228" width="37.42578125" style="10" customWidth="1"/>
    <col min="1229" max="1229" width="13.5703125" style="10" customWidth="1"/>
    <col min="1230" max="1230" width="14.42578125" style="10" customWidth="1"/>
    <col min="1231" max="1231" width="8.42578125" style="10" bestFit="1" customWidth="1"/>
    <col min="1232" max="1232" width="16.85546875" style="10" customWidth="1"/>
    <col min="1233" max="1233" width="9.140625" style="10"/>
    <col min="1234" max="1234" width="11.28515625" style="10" customWidth="1"/>
    <col min="1235" max="1483" width="9.140625" style="10"/>
    <col min="1484" max="1484" width="37.42578125" style="10" customWidth="1"/>
    <col min="1485" max="1485" width="13.5703125" style="10" customWidth="1"/>
    <col min="1486" max="1486" width="14.42578125" style="10" customWidth="1"/>
    <col min="1487" max="1487" width="8.42578125" style="10" bestFit="1" customWidth="1"/>
    <col min="1488" max="1488" width="16.85546875" style="10" customWidth="1"/>
    <col min="1489" max="1489" width="9.140625" style="10"/>
    <col min="1490" max="1490" width="11.28515625" style="10" customWidth="1"/>
    <col min="1491" max="1739" width="9.140625" style="10"/>
    <col min="1740" max="1740" width="37.42578125" style="10" customWidth="1"/>
    <col min="1741" max="1741" width="13.5703125" style="10" customWidth="1"/>
    <col min="1742" max="1742" width="14.42578125" style="10" customWidth="1"/>
    <col min="1743" max="1743" width="8.42578125" style="10" bestFit="1" customWidth="1"/>
    <col min="1744" max="1744" width="16.85546875" style="10" customWidth="1"/>
    <col min="1745" max="1745" width="9.140625" style="10"/>
    <col min="1746" max="1746" width="11.28515625" style="10" customWidth="1"/>
    <col min="1747" max="1995" width="9.140625" style="10"/>
    <col min="1996" max="1996" width="37.42578125" style="10" customWidth="1"/>
    <col min="1997" max="1997" width="13.5703125" style="10" customWidth="1"/>
    <col min="1998" max="1998" width="14.42578125" style="10" customWidth="1"/>
    <col min="1999" max="1999" width="8.42578125" style="10" bestFit="1" customWidth="1"/>
    <col min="2000" max="2000" width="16.85546875" style="10" customWidth="1"/>
    <col min="2001" max="2001" width="9.140625" style="10"/>
    <col min="2002" max="2002" width="11.28515625" style="10" customWidth="1"/>
    <col min="2003" max="2251" width="9.140625" style="10"/>
    <col min="2252" max="2252" width="37.42578125" style="10" customWidth="1"/>
    <col min="2253" max="2253" width="13.5703125" style="10" customWidth="1"/>
    <col min="2254" max="2254" width="14.42578125" style="10" customWidth="1"/>
    <col min="2255" max="2255" width="8.42578125" style="10" bestFit="1" customWidth="1"/>
    <col min="2256" max="2256" width="16.85546875" style="10" customWidth="1"/>
    <col min="2257" max="2257" width="9.140625" style="10"/>
    <col min="2258" max="2258" width="11.28515625" style="10" customWidth="1"/>
    <col min="2259" max="2507" width="9.140625" style="10"/>
    <col min="2508" max="2508" width="37.42578125" style="10" customWidth="1"/>
    <col min="2509" max="2509" width="13.5703125" style="10" customWidth="1"/>
    <col min="2510" max="2510" width="14.42578125" style="10" customWidth="1"/>
    <col min="2511" max="2511" width="8.42578125" style="10" bestFit="1" customWidth="1"/>
    <col min="2512" max="2512" width="16.85546875" style="10" customWidth="1"/>
    <col min="2513" max="2513" width="9.140625" style="10"/>
    <col min="2514" max="2514" width="11.28515625" style="10" customWidth="1"/>
    <col min="2515" max="2763" width="9.140625" style="10"/>
    <col min="2764" max="2764" width="37.42578125" style="10" customWidth="1"/>
    <col min="2765" max="2765" width="13.5703125" style="10" customWidth="1"/>
    <col min="2766" max="2766" width="14.42578125" style="10" customWidth="1"/>
    <col min="2767" max="2767" width="8.42578125" style="10" bestFit="1" customWidth="1"/>
    <col min="2768" max="2768" width="16.85546875" style="10" customWidth="1"/>
    <col min="2769" max="2769" width="9.140625" style="10"/>
    <col min="2770" max="2770" width="11.28515625" style="10" customWidth="1"/>
    <col min="2771" max="3019" width="9.140625" style="10"/>
    <col min="3020" max="3020" width="37.42578125" style="10" customWidth="1"/>
    <col min="3021" max="3021" width="13.5703125" style="10" customWidth="1"/>
    <col min="3022" max="3022" width="14.42578125" style="10" customWidth="1"/>
    <col min="3023" max="3023" width="8.42578125" style="10" bestFit="1" customWidth="1"/>
    <col min="3024" max="3024" width="16.85546875" style="10" customWidth="1"/>
    <col min="3025" max="3025" width="9.140625" style="10"/>
    <col min="3026" max="3026" width="11.28515625" style="10" customWidth="1"/>
    <col min="3027" max="3275" width="9.140625" style="10"/>
    <col min="3276" max="3276" width="37.42578125" style="10" customWidth="1"/>
    <col min="3277" max="3277" width="13.5703125" style="10" customWidth="1"/>
    <col min="3278" max="3278" width="14.42578125" style="10" customWidth="1"/>
    <col min="3279" max="3279" width="8.42578125" style="10" bestFit="1" customWidth="1"/>
    <col min="3280" max="3280" width="16.85546875" style="10" customWidth="1"/>
    <col min="3281" max="3281" width="9.140625" style="10"/>
    <col min="3282" max="3282" width="11.28515625" style="10" customWidth="1"/>
    <col min="3283" max="3531" width="9.140625" style="10"/>
    <col min="3532" max="3532" width="37.42578125" style="10" customWidth="1"/>
    <col min="3533" max="3533" width="13.5703125" style="10" customWidth="1"/>
    <col min="3534" max="3534" width="14.42578125" style="10" customWidth="1"/>
    <col min="3535" max="3535" width="8.42578125" style="10" bestFit="1" customWidth="1"/>
    <col min="3536" max="3536" width="16.85546875" style="10" customWidth="1"/>
    <col min="3537" max="3537" width="9.140625" style="10"/>
    <col min="3538" max="3538" width="11.28515625" style="10" customWidth="1"/>
    <col min="3539" max="3787" width="9.140625" style="10"/>
    <col min="3788" max="3788" width="37.42578125" style="10" customWidth="1"/>
    <col min="3789" max="3789" width="13.5703125" style="10" customWidth="1"/>
    <col min="3790" max="3790" width="14.42578125" style="10" customWidth="1"/>
    <col min="3791" max="3791" width="8.42578125" style="10" bestFit="1" customWidth="1"/>
    <col min="3792" max="3792" width="16.85546875" style="10" customWidth="1"/>
    <col min="3793" max="3793" width="9.140625" style="10"/>
    <col min="3794" max="3794" width="11.28515625" style="10" customWidth="1"/>
    <col min="3795" max="4043" width="9.140625" style="10"/>
    <col min="4044" max="4044" width="37.42578125" style="10" customWidth="1"/>
    <col min="4045" max="4045" width="13.5703125" style="10" customWidth="1"/>
    <col min="4046" max="4046" width="14.42578125" style="10" customWidth="1"/>
    <col min="4047" max="4047" width="8.42578125" style="10" bestFit="1" customWidth="1"/>
    <col min="4048" max="4048" width="16.85546875" style="10" customWidth="1"/>
    <col min="4049" max="4049" width="9.140625" style="10"/>
    <col min="4050" max="4050" width="11.28515625" style="10" customWidth="1"/>
    <col min="4051" max="4299" width="9.140625" style="10"/>
    <col min="4300" max="4300" width="37.42578125" style="10" customWidth="1"/>
    <col min="4301" max="4301" width="13.5703125" style="10" customWidth="1"/>
    <col min="4302" max="4302" width="14.42578125" style="10" customWidth="1"/>
    <col min="4303" max="4303" width="8.42578125" style="10" bestFit="1" customWidth="1"/>
    <col min="4304" max="4304" width="16.85546875" style="10" customWidth="1"/>
    <col min="4305" max="4305" width="9.140625" style="10"/>
    <col min="4306" max="4306" width="11.28515625" style="10" customWidth="1"/>
    <col min="4307" max="4555" width="9.140625" style="10"/>
    <col min="4556" max="4556" width="37.42578125" style="10" customWidth="1"/>
    <col min="4557" max="4557" width="13.5703125" style="10" customWidth="1"/>
    <col min="4558" max="4558" width="14.42578125" style="10" customWidth="1"/>
    <col min="4559" max="4559" width="8.42578125" style="10" bestFit="1" customWidth="1"/>
    <col min="4560" max="4560" width="16.85546875" style="10" customWidth="1"/>
    <col min="4561" max="4561" width="9.140625" style="10"/>
    <col min="4562" max="4562" width="11.28515625" style="10" customWidth="1"/>
    <col min="4563" max="4811" width="9.140625" style="10"/>
    <col min="4812" max="4812" width="37.42578125" style="10" customWidth="1"/>
    <col min="4813" max="4813" width="13.5703125" style="10" customWidth="1"/>
    <col min="4814" max="4814" width="14.42578125" style="10" customWidth="1"/>
    <col min="4815" max="4815" width="8.42578125" style="10" bestFit="1" customWidth="1"/>
    <col min="4816" max="4816" width="16.85546875" style="10" customWidth="1"/>
    <col min="4817" max="4817" width="9.140625" style="10"/>
    <col min="4818" max="4818" width="11.28515625" style="10" customWidth="1"/>
    <col min="4819" max="5067" width="9.140625" style="10"/>
    <col min="5068" max="5068" width="37.42578125" style="10" customWidth="1"/>
    <col min="5069" max="5069" width="13.5703125" style="10" customWidth="1"/>
    <col min="5070" max="5070" width="14.42578125" style="10" customWidth="1"/>
    <col min="5071" max="5071" width="8.42578125" style="10" bestFit="1" customWidth="1"/>
    <col min="5072" max="5072" width="16.85546875" style="10" customWidth="1"/>
    <col min="5073" max="5073" width="9.140625" style="10"/>
    <col min="5074" max="5074" width="11.28515625" style="10" customWidth="1"/>
    <col min="5075" max="5323" width="9.140625" style="10"/>
    <col min="5324" max="5324" width="37.42578125" style="10" customWidth="1"/>
    <col min="5325" max="5325" width="13.5703125" style="10" customWidth="1"/>
    <col min="5326" max="5326" width="14.42578125" style="10" customWidth="1"/>
    <col min="5327" max="5327" width="8.42578125" style="10" bestFit="1" customWidth="1"/>
    <col min="5328" max="5328" width="16.85546875" style="10" customWidth="1"/>
    <col min="5329" max="5329" width="9.140625" style="10"/>
    <col min="5330" max="5330" width="11.28515625" style="10" customWidth="1"/>
    <col min="5331" max="5579" width="9.140625" style="10"/>
    <col min="5580" max="5580" width="37.42578125" style="10" customWidth="1"/>
    <col min="5581" max="5581" width="13.5703125" style="10" customWidth="1"/>
    <col min="5582" max="5582" width="14.42578125" style="10" customWidth="1"/>
    <col min="5583" max="5583" width="8.42578125" style="10" bestFit="1" customWidth="1"/>
    <col min="5584" max="5584" width="16.85546875" style="10" customWidth="1"/>
    <col min="5585" max="5585" width="9.140625" style="10"/>
    <col min="5586" max="5586" width="11.28515625" style="10" customWidth="1"/>
    <col min="5587" max="5835" width="9.140625" style="10"/>
    <col min="5836" max="5836" width="37.42578125" style="10" customWidth="1"/>
    <col min="5837" max="5837" width="13.5703125" style="10" customWidth="1"/>
    <col min="5838" max="5838" width="14.42578125" style="10" customWidth="1"/>
    <col min="5839" max="5839" width="8.42578125" style="10" bestFit="1" customWidth="1"/>
    <col min="5840" max="5840" width="16.85546875" style="10" customWidth="1"/>
    <col min="5841" max="5841" width="9.140625" style="10"/>
    <col min="5842" max="5842" width="11.28515625" style="10" customWidth="1"/>
    <col min="5843" max="6091" width="9.140625" style="10"/>
    <col min="6092" max="6092" width="37.42578125" style="10" customWidth="1"/>
    <col min="6093" max="6093" width="13.5703125" style="10" customWidth="1"/>
    <col min="6094" max="6094" width="14.42578125" style="10" customWidth="1"/>
    <col min="6095" max="6095" width="8.42578125" style="10" bestFit="1" customWidth="1"/>
    <col min="6096" max="6096" width="16.85546875" style="10" customWidth="1"/>
    <col min="6097" max="6097" width="9.140625" style="10"/>
    <col min="6098" max="6098" width="11.28515625" style="10" customWidth="1"/>
    <col min="6099" max="6347" width="9.140625" style="10"/>
    <col min="6348" max="6348" width="37.42578125" style="10" customWidth="1"/>
    <col min="6349" max="6349" width="13.5703125" style="10" customWidth="1"/>
    <col min="6350" max="6350" width="14.42578125" style="10" customWidth="1"/>
    <col min="6351" max="6351" width="8.42578125" style="10" bestFit="1" customWidth="1"/>
    <col min="6352" max="6352" width="16.85546875" style="10" customWidth="1"/>
    <col min="6353" max="6353" width="9.140625" style="10"/>
    <col min="6354" max="6354" width="11.28515625" style="10" customWidth="1"/>
    <col min="6355" max="6603" width="9.140625" style="10"/>
    <col min="6604" max="6604" width="37.42578125" style="10" customWidth="1"/>
    <col min="6605" max="6605" width="13.5703125" style="10" customWidth="1"/>
    <col min="6606" max="6606" width="14.42578125" style="10" customWidth="1"/>
    <col min="6607" max="6607" width="8.42578125" style="10" bestFit="1" customWidth="1"/>
    <col min="6608" max="6608" width="16.85546875" style="10" customWidth="1"/>
    <col min="6609" max="6609" width="9.140625" style="10"/>
    <col min="6610" max="6610" width="11.28515625" style="10" customWidth="1"/>
    <col min="6611" max="6859" width="9.140625" style="10"/>
    <col min="6860" max="6860" width="37.42578125" style="10" customWidth="1"/>
    <col min="6861" max="6861" width="13.5703125" style="10" customWidth="1"/>
    <col min="6862" max="6862" width="14.42578125" style="10" customWidth="1"/>
    <col min="6863" max="6863" width="8.42578125" style="10" bestFit="1" customWidth="1"/>
    <col min="6864" max="6864" width="16.85546875" style="10" customWidth="1"/>
    <col min="6865" max="6865" width="9.140625" style="10"/>
    <col min="6866" max="6866" width="11.28515625" style="10" customWidth="1"/>
    <col min="6867" max="7115" width="9.140625" style="10"/>
    <col min="7116" max="7116" width="37.42578125" style="10" customWidth="1"/>
    <col min="7117" max="7117" width="13.5703125" style="10" customWidth="1"/>
    <col min="7118" max="7118" width="14.42578125" style="10" customWidth="1"/>
    <col min="7119" max="7119" width="8.42578125" style="10" bestFit="1" customWidth="1"/>
    <col min="7120" max="7120" width="16.85546875" style="10" customWidth="1"/>
    <col min="7121" max="7121" width="9.140625" style="10"/>
    <col min="7122" max="7122" width="11.28515625" style="10" customWidth="1"/>
    <col min="7123" max="7371" width="9.140625" style="10"/>
    <col min="7372" max="7372" width="37.42578125" style="10" customWidth="1"/>
    <col min="7373" max="7373" width="13.5703125" style="10" customWidth="1"/>
    <col min="7374" max="7374" width="14.42578125" style="10" customWidth="1"/>
    <col min="7375" max="7375" width="8.42578125" style="10" bestFit="1" customWidth="1"/>
    <col min="7376" max="7376" width="16.85546875" style="10" customWidth="1"/>
    <col min="7377" max="7377" width="9.140625" style="10"/>
    <col min="7378" max="7378" width="11.28515625" style="10" customWidth="1"/>
    <col min="7379" max="7627" width="9.140625" style="10"/>
    <col min="7628" max="7628" width="37.42578125" style="10" customWidth="1"/>
    <col min="7629" max="7629" width="13.5703125" style="10" customWidth="1"/>
    <col min="7630" max="7630" width="14.42578125" style="10" customWidth="1"/>
    <col min="7631" max="7631" width="8.42578125" style="10" bestFit="1" customWidth="1"/>
    <col min="7632" max="7632" width="16.85546875" style="10" customWidth="1"/>
    <col min="7633" max="7633" width="9.140625" style="10"/>
    <col min="7634" max="7634" width="11.28515625" style="10" customWidth="1"/>
    <col min="7635" max="7883" width="9.140625" style="10"/>
    <col min="7884" max="7884" width="37.42578125" style="10" customWidth="1"/>
    <col min="7885" max="7885" width="13.5703125" style="10" customWidth="1"/>
    <col min="7886" max="7886" width="14.42578125" style="10" customWidth="1"/>
    <col min="7887" max="7887" width="8.42578125" style="10" bestFit="1" customWidth="1"/>
    <col min="7888" max="7888" width="16.85546875" style="10" customWidth="1"/>
    <col min="7889" max="7889" width="9.140625" style="10"/>
    <col min="7890" max="7890" width="11.28515625" style="10" customWidth="1"/>
    <col min="7891" max="8139" width="9.140625" style="10"/>
    <col min="8140" max="8140" width="37.42578125" style="10" customWidth="1"/>
    <col min="8141" max="8141" width="13.5703125" style="10" customWidth="1"/>
    <col min="8142" max="8142" width="14.42578125" style="10" customWidth="1"/>
    <col min="8143" max="8143" width="8.42578125" style="10" bestFit="1" customWidth="1"/>
    <col min="8144" max="8144" width="16.85546875" style="10" customWidth="1"/>
    <col min="8145" max="8145" width="9.140625" style="10"/>
    <col min="8146" max="8146" width="11.28515625" style="10" customWidth="1"/>
    <col min="8147" max="8395" width="9.140625" style="10"/>
    <col min="8396" max="8396" width="37.42578125" style="10" customWidth="1"/>
    <col min="8397" max="8397" width="13.5703125" style="10" customWidth="1"/>
    <col min="8398" max="8398" width="14.42578125" style="10" customWidth="1"/>
    <col min="8399" max="8399" width="8.42578125" style="10" bestFit="1" customWidth="1"/>
    <col min="8400" max="8400" width="16.85546875" style="10" customWidth="1"/>
    <col min="8401" max="8401" width="9.140625" style="10"/>
    <col min="8402" max="8402" width="11.28515625" style="10" customWidth="1"/>
    <col min="8403" max="8651" width="9.140625" style="10"/>
    <col min="8652" max="8652" width="37.42578125" style="10" customWidth="1"/>
    <col min="8653" max="8653" width="13.5703125" style="10" customWidth="1"/>
    <col min="8654" max="8654" width="14.42578125" style="10" customWidth="1"/>
    <col min="8655" max="8655" width="8.42578125" style="10" bestFit="1" customWidth="1"/>
    <col min="8656" max="8656" width="16.85546875" style="10" customWidth="1"/>
    <col min="8657" max="8657" width="9.140625" style="10"/>
    <col min="8658" max="8658" width="11.28515625" style="10" customWidth="1"/>
    <col min="8659" max="8907" width="9.140625" style="10"/>
    <col min="8908" max="8908" width="37.42578125" style="10" customWidth="1"/>
    <col min="8909" max="8909" width="13.5703125" style="10" customWidth="1"/>
    <col min="8910" max="8910" width="14.42578125" style="10" customWidth="1"/>
    <col min="8911" max="8911" width="8.42578125" style="10" bestFit="1" customWidth="1"/>
    <col min="8912" max="8912" width="16.85546875" style="10" customWidth="1"/>
    <col min="8913" max="8913" width="9.140625" style="10"/>
    <col min="8914" max="8914" width="11.28515625" style="10" customWidth="1"/>
    <col min="8915" max="9163" width="9.140625" style="10"/>
    <col min="9164" max="9164" width="37.42578125" style="10" customWidth="1"/>
    <col min="9165" max="9165" width="13.5703125" style="10" customWidth="1"/>
    <col min="9166" max="9166" width="14.42578125" style="10" customWidth="1"/>
    <col min="9167" max="9167" width="8.42578125" style="10" bestFit="1" customWidth="1"/>
    <col min="9168" max="9168" width="16.85546875" style="10" customWidth="1"/>
    <col min="9169" max="9169" width="9.140625" style="10"/>
    <col min="9170" max="9170" width="11.28515625" style="10" customWidth="1"/>
    <col min="9171" max="9419" width="9.140625" style="10"/>
    <col min="9420" max="9420" width="37.42578125" style="10" customWidth="1"/>
    <col min="9421" max="9421" width="13.5703125" style="10" customWidth="1"/>
    <col min="9422" max="9422" width="14.42578125" style="10" customWidth="1"/>
    <col min="9423" max="9423" width="8.42578125" style="10" bestFit="1" customWidth="1"/>
    <col min="9424" max="9424" width="16.85546875" style="10" customWidth="1"/>
    <col min="9425" max="9425" width="9.140625" style="10"/>
    <col min="9426" max="9426" width="11.28515625" style="10" customWidth="1"/>
    <col min="9427" max="9675" width="9.140625" style="10"/>
    <col min="9676" max="9676" width="37.42578125" style="10" customWidth="1"/>
    <col min="9677" max="9677" width="13.5703125" style="10" customWidth="1"/>
    <col min="9678" max="9678" width="14.42578125" style="10" customWidth="1"/>
    <col min="9679" max="9679" width="8.42578125" style="10" bestFit="1" customWidth="1"/>
    <col min="9680" max="9680" width="16.85546875" style="10" customWidth="1"/>
    <col min="9681" max="9681" width="9.140625" style="10"/>
    <col min="9682" max="9682" width="11.28515625" style="10" customWidth="1"/>
    <col min="9683" max="9931" width="9.140625" style="10"/>
    <col min="9932" max="9932" width="37.42578125" style="10" customWidth="1"/>
    <col min="9933" max="9933" width="13.5703125" style="10" customWidth="1"/>
    <col min="9934" max="9934" width="14.42578125" style="10" customWidth="1"/>
    <col min="9935" max="9935" width="8.42578125" style="10" bestFit="1" customWidth="1"/>
    <col min="9936" max="9936" width="16.85546875" style="10" customWidth="1"/>
    <col min="9937" max="9937" width="9.140625" style="10"/>
    <col min="9938" max="9938" width="11.28515625" style="10" customWidth="1"/>
    <col min="9939" max="10187" width="9.140625" style="10"/>
    <col min="10188" max="10188" width="37.42578125" style="10" customWidth="1"/>
    <col min="10189" max="10189" width="13.5703125" style="10" customWidth="1"/>
    <col min="10190" max="10190" width="14.42578125" style="10" customWidth="1"/>
    <col min="10191" max="10191" width="8.42578125" style="10" bestFit="1" customWidth="1"/>
    <col min="10192" max="10192" width="16.85546875" style="10" customWidth="1"/>
    <col min="10193" max="10193" width="9.140625" style="10"/>
    <col min="10194" max="10194" width="11.28515625" style="10" customWidth="1"/>
    <col min="10195" max="10443" width="9.140625" style="10"/>
    <col min="10444" max="10444" width="37.42578125" style="10" customWidth="1"/>
    <col min="10445" max="10445" width="13.5703125" style="10" customWidth="1"/>
    <col min="10446" max="10446" width="14.42578125" style="10" customWidth="1"/>
    <col min="10447" max="10447" width="8.42578125" style="10" bestFit="1" customWidth="1"/>
    <col min="10448" max="10448" width="16.85546875" style="10" customWidth="1"/>
    <col min="10449" max="10449" width="9.140625" style="10"/>
    <col min="10450" max="10450" width="11.28515625" style="10" customWidth="1"/>
    <col min="10451" max="10699" width="9.140625" style="10"/>
    <col min="10700" max="10700" width="37.42578125" style="10" customWidth="1"/>
    <col min="10701" max="10701" width="13.5703125" style="10" customWidth="1"/>
    <col min="10702" max="10702" width="14.42578125" style="10" customWidth="1"/>
    <col min="10703" max="10703" width="8.42578125" style="10" bestFit="1" customWidth="1"/>
    <col min="10704" max="10704" width="16.85546875" style="10" customWidth="1"/>
    <col min="10705" max="10705" width="9.140625" style="10"/>
    <col min="10706" max="10706" width="11.28515625" style="10" customWidth="1"/>
    <col min="10707" max="10955" width="9.140625" style="10"/>
    <col min="10956" max="10956" width="37.42578125" style="10" customWidth="1"/>
    <col min="10957" max="10957" width="13.5703125" style="10" customWidth="1"/>
    <col min="10958" max="10958" width="14.42578125" style="10" customWidth="1"/>
    <col min="10959" max="10959" width="8.42578125" style="10" bestFit="1" customWidth="1"/>
    <col min="10960" max="10960" width="16.85546875" style="10" customWidth="1"/>
    <col min="10961" max="10961" width="9.140625" style="10"/>
    <col min="10962" max="10962" width="11.28515625" style="10" customWidth="1"/>
    <col min="10963" max="11211" width="9.140625" style="10"/>
    <col min="11212" max="11212" width="37.42578125" style="10" customWidth="1"/>
    <col min="11213" max="11213" width="13.5703125" style="10" customWidth="1"/>
    <col min="11214" max="11214" width="14.42578125" style="10" customWidth="1"/>
    <col min="11215" max="11215" width="8.42578125" style="10" bestFit="1" customWidth="1"/>
    <col min="11216" max="11216" width="16.85546875" style="10" customWidth="1"/>
    <col min="11217" max="11217" width="9.140625" style="10"/>
    <col min="11218" max="11218" width="11.28515625" style="10" customWidth="1"/>
    <col min="11219" max="11467" width="9.140625" style="10"/>
    <col min="11468" max="11468" width="37.42578125" style="10" customWidth="1"/>
    <col min="11469" max="11469" width="13.5703125" style="10" customWidth="1"/>
    <col min="11470" max="11470" width="14.42578125" style="10" customWidth="1"/>
    <col min="11471" max="11471" width="8.42578125" style="10" bestFit="1" customWidth="1"/>
    <col min="11472" max="11472" width="16.85546875" style="10" customWidth="1"/>
    <col min="11473" max="11473" width="9.140625" style="10"/>
    <col min="11474" max="11474" width="11.28515625" style="10" customWidth="1"/>
    <col min="11475" max="11723" width="9.140625" style="10"/>
    <col min="11724" max="11724" width="37.42578125" style="10" customWidth="1"/>
    <col min="11725" max="11725" width="13.5703125" style="10" customWidth="1"/>
    <col min="11726" max="11726" width="14.42578125" style="10" customWidth="1"/>
    <col min="11727" max="11727" width="8.42578125" style="10" bestFit="1" customWidth="1"/>
    <col min="11728" max="11728" width="16.85546875" style="10" customWidth="1"/>
    <col min="11729" max="11729" width="9.140625" style="10"/>
    <col min="11730" max="11730" width="11.28515625" style="10" customWidth="1"/>
    <col min="11731" max="11979" width="9.140625" style="10"/>
    <col min="11980" max="11980" width="37.42578125" style="10" customWidth="1"/>
    <col min="11981" max="11981" width="13.5703125" style="10" customWidth="1"/>
    <col min="11982" max="11982" width="14.42578125" style="10" customWidth="1"/>
    <col min="11983" max="11983" width="8.42578125" style="10" bestFit="1" customWidth="1"/>
    <col min="11984" max="11984" width="16.85546875" style="10" customWidth="1"/>
    <col min="11985" max="11985" width="9.140625" style="10"/>
    <col min="11986" max="11986" width="11.28515625" style="10" customWidth="1"/>
    <col min="11987" max="12235" width="9.140625" style="10"/>
    <col min="12236" max="12236" width="37.42578125" style="10" customWidth="1"/>
    <col min="12237" max="12237" width="13.5703125" style="10" customWidth="1"/>
    <col min="12238" max="12238" width="14.42578125" style="10" customWidth="1"/>
    <col min="12239" max="12239" width="8.42578125" style="10" bestFit="1" customWidth="1"/>
    <col min="12240" max="12240" width="16.85546875" style="10" customWidth="1"/>
    <col min="12241" max="12241" width="9.140625" style="10"/>
    <col min="12242" max="12242" width="11.28515625" style="10" customWidth="1"/>
    <col min="12243" max="12491" width="9.140625" style="10"/>
    <col min="12492" max="12492" width="37.42578125" style="10" customWidth="1"/>
    <col min="12493" max="12493" width="13.5703125" style="10" customWidth="1"/>
    <col min="12494" max="12494" width="14.42578125" style="10" customWidth="1"/>
    <col min="12495" max="12495" width="8.42578125" style="10" bestFit="1" customWidth="1"/>
    <col min="12496" max="12496" width="16.85546875" style="10" customWidth="1"/>
    <col min="12497" max="12497" width="9.140625" style="10"/>
    <col min="12498" max="12498" width="11.28515625" style="10" customWidth="1"/>
    <col min="12499" max="12747" width="9.140625" style="10"/>
    <col min="12748" max="12748" width="37.42578125" style="10" customWidth="1"/>
    <col min="12749" max="12749" width="13.5703125" style="10" customWidth="1"/>
    <col min="12750" max="12750" width="14.42578125" style="10" customWidth="1"/>
    <col min="12751" max="12751" width="8.42578125" style="10" bestFit="1" customWidth="1"/>
    <col min="12752" max="12752" width="16.85546875" style="10" customWidth="1"/>
    <col min="12753" max="12753" width="9.140625" style="10"/>
    <col min="12754" max="12754" width="11.28515625" style="10" customWidth="1"/>
    <col min="12755" max="13003" width="9.140625" style="10"/>
    <col min="13004" max="13004" width="37.42578125" style="10" customWidth="1"/>
    <col min="13005" max="13005" width="13.5703125" style="10" customWidth="1"/>
    <col min="13006" max="13006" width="14.42578125" style="10" customWidth="1"/>
    <col min="13007" max="13007" width="8.42578125" style="10" bestFit="1" customWidth="1"/>
    <col min="13008" max="13008" width="16.85546875" style="10" customWidth="1"/>
    <col min="13009" max="13009" width="9.140625" style="10"/>
    <col min="13010" max="13010" width="11.28515625" style="10" customWidth="1"/>
    <col min="13011" max="13259" width="9.140625" style="10"/>
    <col min="13260" max="13260" width="37.42578125" style="10" customWidth="1"/>
    <col min="13261" max="13261" width="13.5703125" style="10" customWidth="1"/>
    <col min="13262" max="13262" width="14.42578125" style="10" customWidth="1"/>
    <col min="13263" max="13263" width="8.42578125" style="10" bestFit="1" customWidth="1"/>
    <col min="13264" max="13264" width="16.85546875" style="10" customWidth="1"/>
    <col min="13265" max="13265" width="9.140625" style="10"/>
    <col min="13266" max="13266" width="11.28515625" style="10" customWidth="1"/>
    <col min="13267" max="13515" width="9.140625" style="10"/>
    <col min="13516" max="13516" width="37.42578125" style="10" customWidth="1"/>
    <col min="13517" max="13517" width="13.5703125" style="10" customWidth="1"/>
    <col min="13518" max="13518" width="14.42578125" style="10" customWidth="1"/>
    <col min="13519" max="13519" width="8.42578125" style="10" bestFit="1" customWidth="1"/>
    <col min="13520" max="13520" width="16.85546875" style="10" customWidth="1"/>
    <col min="13521" max="13521" width="9.140625" style="10"/>
    <col min="13522" max="13522" width="11.28515625" style="10" customWidth="1"/>
    <col min="13523" max="13771" width="9.140625" style="10"/>
    <col min="13772" max="13772" width="37.42578125" style="10" customWidth="1"/>
    <col min="13773" max="13773" width="13.5703125" style="10" customWidth="1"/>
    <col min="13774" max="13774" width="14.42578125" style="10" customWidth="1"/>
    <col min="13775" max="13775" width="8.42578125" style="10" bestFit="1" customWidth="1"/>
    <col min="13776" max="13776" width="16.85546875" style="10" customWidth="1"/>
    <col min="13777" max="13777" width="9.140625" style="10"/>
    <col min="13778" max="13778" width="11.28515625" style="10" customWidth="1"/>
    <col min="13779" max="14027" width="9.140625" style="10"/>
    <col min="14028" max="14028" width="37.42578125" style="10" customWidth="1"/>
    <col min="14029" max="14029" width="13.5703125" style="10" customWidth="1"/>
    <col min="14030" max="14030" width="14.42578125" style="10" customWidth="1"/>
    <col min="14031" max="14031" width="8.42578125" style="10" bestFit="1" customWidth="1"/>
    <col min="14032" max="14032" width="16.85546875" style="10" customWidth="1"/>
    <col min="14033" max="14033" width="9.140625" style="10"/>
    <col min="14034" max="14034" width="11.28515625" style="10" customWidth="1"/>
    <col min="14035" max="14283" width="9.140625" style="10"/>
    <col min="14284" max="14284" width="37.42578125" style="10" customWidth="1"/>
    <col min="14285" max="14285" width="13.5703125" style="10" customWidth="1"/>
    <col min="14286" max="14286" width="14.42578125" style="10" customWidth="1"/>
    <col min="14287" max="14287" width="8.42578125" style="10" bestFit="1" customWidth="1"/>
    <col min="14288" max="14288" width="16.85546875" style="10" customWidth="1"/>
    <col min="14289" max="14289" width="9.140625" style="10"/>
    <col min="14290" max="14290" width="11.28515625" style="10" customWidth="1"/>
    <col min="14291" max="14539" width="9.140625" style="10"/>
    <col min="14540" max="14540" width="37.42578125" style="10" customWidth="1"/>
    <col min="14541" max="14541" width="13.5703125" style="10" customWidth="1"/>
    <col min="14542" max="14542" width="14.42578125" style="10" customWidth="1"/>
    <col min="14543" max="14543" width="8.42578125" style="10" bestFit="1" customWidth="1"/>
    <col min="14544" max="14544" width="16.85546875" style="10" customWidth="1"/>
    <col min="14545" max="14545" width="9.140625" style="10"/>
    <col min="14546" max="14546" width="11.28515625" style="10" customWidth="1"/>
    <col min="14547" max="14795" width="9.140625" style="10"/>
    <col min="14796" max="14796" width="37.42578125" style="10" customWidth="1"/>
    <col min="14797" max="14797" width="13.5703125" style="10" customWidth="1"/>
    <col min="14798" max="14798" width="14.42578125" style="10" customWidth="1"/>
    <col min="14799" max="14799" width="8.42578125" style="10" bestFit="1" customWidth="1"/>
    <col min="14800" max="14800" width="16.85546875" style="10" customWidth="1"/>
    <col min="14801" max="14801" width="9.140625" style="10"/>
    <col min="14802" max="14802" width="11.28515625" style="10" customWidth="1"/>
    <col min="14803" max="15051" width="9.140625" style="10"/>
    <col min="15052" max="15052" width="37.42578125" style="10" customWidth="1"/>
    <col min="15053" max="15053" width="13.5703125" style="10" customWidth="1"/>
    <col min="15054" max="15054" width="14.42578125" style="10" customWidth="1"/>
    <col min="15055" max="15055" width="8.42578125" style="10" bestFit="1" customWidth="1"/>
    <col min="15056" max="15056" width="16.85546875" style="10" customWidth="1"/>
    <col min="15057" max="15057" width="9.140625" style="10"/>
    <col min="15058" max="15058" width="11.28515625" style="10" customWidth="1"/>
    <col min="15059" max="15307" width="9.140625" style="10"/>
    <col min="15308" max="15308" width="37.42578125" style="10" customWidth="1"/>
    <col min="15309" max="15309" width="13.5703125" style="10" customWidth="1"/>
    <col min="15310" max="15310" width="14.42578125" style="10" customWidth="1"/>
    <col min="15311" max="15311" width="8.42578125" style="10" bestFit="1" customWidth="1"/>
    <col min="15312" max="15312" width="16.85546875" style="10" customWidth="1"/>
    <col min="15313" max="15313" width="9.140625" style="10"/>
    <col min="15314" max="15314" width="11.28515625" style="10" customWidth="1"/>
    <col min="15315" max="15563" width="9.140625" style="10"/>
    <col min="15564" max="15564" width="37.42578125" style="10" customWidth="1"/>
    <col min="15565" max="15565" width="13.5703125" style="10" customWidth="1"/>
    <col min="15566" max="15566" width="14.42578125" style="10" customWidth="1"/>
    <col min="15567" max="15567" width="8.42578125" style="10" bestFit="1" customWidth="1"/>
    <col min="15568" max="15568" width="16.85546875" style="10" customWidth="1"/>
    <col min="15569" max="15569" width="9.140625" style="10"/>
    <col min="15570" max="15570" width="11.28515625" style="10" customWidth="1"/>
    <col min="15571" max="15819" width="9.140625" style="10"/>
    <col min="15820" max="15820" width="37.42578125" style="10" customWidth="1"/>
    <col min="15821" max="15821" width="13.5703125" style="10" customWidth="1"/>
    <col min="15822" max="15822" width="14.42578125" style="10" customWidth="1"/>
    <col min="15823" max="15823" width="8.42578125" style="10" bestFit="1" customWidth="1"/>
    <col min="15824" max="15824" width="16.85546875" style="10" customWidth="1"/>
    <col min="15825" max="15825" width="9.140625" style="10"/>
    <col min="15826" max="15826" width="11.28515625" style="10" customWidth="1"/>
    <col min="15827" max="16075" width="9.140625" style="10"/>
    <col min="16076" max="16076" width="37.42578125" style="10" customWidth="1"/>
    <col min="16077" max="16077" width="13.5703125" style="10" customWidth="1"/>
    <col min="16078" max="16078" width="14.42578125" style="10" customWidth="1"/>
    <col min="16079" max="16079" width="8.42578125" style="10" bestFit="1" customWidth="1"/>
    <col min="16080" max="16080" width="16.85546875" style="10" customWidth="1"/>
    <col min="16081" max="16081" width="9.140625" style="10"/>
    <col min="16082" max="16082" width="11.28515625" style="10" customWidth="1"/>
    <col min="16083" max="16384" width="9.140625" style="10"/>
  </cols>
  <sheetData>
    <row r="1" spans="1:19" ht="15.75" x14ac:dyDescent="0.2">
      <c r="A1" s="685" t="s">
        <v>46</v>
      </c>
      <c r="B1" s="686"/>
      <c r="C1" s="686"/>
      <c r="D1" s="687"/>
      <c r="E1" s="688"/>
      <c r="F1" s="9"/>
    </row>
    <row r="2" spans="1:19" ht="25.5" x14ac:dyDescent="0.2">
      <c r="A2" s="12" t="s">
        <v>47</v>
      </c>
      <c r="B2" s="313" t="str">
        <f>'BOM R2D CatWalk'!I128</f>
        <v>WELDMENT, RAMP, SHEAVE SUB B, PC4100</v>
      </c>
      <c r="C2" s="13"/>
      <c r="D2" s="13" t="s">
        <v>48</v>
      </c>
      <c r="E2" s="85"/>
    </row>
    <row r="3" spans="1:19" ht="13.5" thickBot="1" x14ac:dyDescent="0.25">
      <c r="A3" s="12" t="s">
        <v>49</v>
      </c>
      <c r="B3" s="313" t="str">
        <f>'BOM R2D CatWalk'!G128</f>
        <v>AY30134</v>
      </c>
      <c r="C3" s="13"/>
      <c r="D3" s="13" t="s">
        <v>50</v>
      </c>
      <c r="E3" s="15">
        <f>'BOM R2D CatWalk'!K128</f>
        <v>1</v>
      </c>
      <c r="F3" s="9"/>
    </row>
    <row r="4" spans="1:19" ht="16.5" customHeight="1" thickBot="1" x14ac:dyDescent="0.25">
      <c r="A4" s="12" t="s">
        <v>51</v>
      </c>
      <c r="B4" s="86">
        <f>'BOM R2D CatWalk'!N128</f>
        <v>363</v>
      </c>
      <c r="C4" s="16"/>
      <c r="D4" s="147"/>
      <c r="E4" s="17"/>
      <c r="F4" s="9"/>
      <c r="I4" s="707" t="s">
        <v>685</v>
      </c>
      <c r="J4" s="708"/>
      <c r="K4" s="708"/>
      <c r="L4" s="708"/>
      <c r="M4" s="708"/>
      <c r="N4" s="708"/>
      <c r="O4" s="708"/>
      <c r="P4" s="359" t="str">
        <f>'RM Details'!H108</f>
        <v>AY30134</v>
      </c>
      <c r="Q4" s="359"/>
      <c r="R4" s="359"/>
      <c r="S4" s="360"/>
    </row>
    <row r="5" spans="1:19" ht="25.5" customHeight="1" thickBot="1" x14ac:dyDescent="0.25">
      <c r="A5" s="691" t="s">
        <v>52</v>
      </c>
      <c r="B5" s="692"/>
      <c r="C5" s="692"/>
      <c r="D5" s="693"/>
      <c r="E5" s="694"/>
      <c r="F5" s="18"/>
      <c r="I5" s="391" t="s">
        <v>0</v>
      </c>
      <c r="J5" s="391" t="s">
        <v>13</v>
      </c>
      <c r="K5" s="391" t="s">
        <v>154</v>
      </c>
      <c r="L5" s="391" t="s">
        <v>544</v>
      </c>
      <c r="M5" s="392" t="s">
        <v>551</v>
      </c>
      <c r="N5" s="392" t="s">
        <v>552</v>
      </c>
      <c r="O5" s="391" t="s">
        <v>548</v>
      </c>
      <c r="P5" s="391" t="s">
        <v>34</v>
      </c>
      <c r="Q5" s="391" t="s">
        <v>549</v>
      </c>
      <c r="R5" s="391" t="s">
        <v>547</v>
      </c>
      <c r="S5" s="391" t="s">
        <v>156</v>
      </c>
    </row>
    <row r="6" spans="1:19" ht="21" customHeight="1" thickBot="1" x14ac:dyDescent="0.25">
      <c r="A6" s="695" t="s">
        <v>53</v>
      </c>
      <c r="B6" s="696"/>
      <c r="C6" s="696"/>
      <c r="D6" s="697"/>
      <c r="E6" s="698"/>
      <c r="F6" s="18"/>
      <c r="G6" s="19"/>
      <c r="H6" s="19"/>
      <c r="I6" s="389">
        <v>1</v>
      </c>
      <c r="J6" s="389" t="s">
        <v>21</v>
      </c>
      <c r="K6" s="389">
        <v>12</v>
      </c>
      <c r="L6" s="389" t="s">
        <v>543</v>
      </c>
      <c r="M6" s="390">
        <f>'RM Details'!E110</f>
        <v>96.25744358</v>
      </c>
      <c r="N6" s="390">
        <f>'RM Details'!F110</f>
        <v>153.65011926</v>
      </c>
      <c r="O6" s="390"/>
      <c r="P6" s="390"/>
      <c r="Q6" s="390">
        <f t="shared" ref="Q6:Q11" si="0">IF(O6&gt;N6,O6,IF(O6&lt;N6,N6))</f>
        <v>153.65011926</v>
      </c>
      <c r="R6" s="390">
        <v>90</v>
      </c>
      <c r="S6" s="390">
        <f t="shared" ref="S6:S11" si="1">R6*Q6</f>
        <v>13828.5107334</v>
      </c>
    </row>
    <row r="7" spans="1:19" ht="26.25" thickBot="1" x14ac:dyDescent="0.25">
      <c r="A7" s="20" t="s">
        <v>54</v>
      </c>
      <c r="B7" s="21"/>
      <c r="C7" s="21" t="s">
        <v>687</v>
      </c>
      <c r="D7" s="21" t="s">
        <v>688</v>
      </c>
      <c r="E7" s="21" t="s">
        <v>271</v>
      </c>
      <c r="F7" s="18"/>
      <c r="G7" s="1"/>
      <c r="H7" s="1"/>
      <c r="I7" s="389">
        <v>2</v>
      </c>
      <c r="J7" s="389" t="s">
        <v>21</v>
      </c>
      <c r="K7" s="389">
        <v>20</v>
      </c>
      <c r="L7" s="389" t="s">
        <v>543</v>
      </c>
      <c r="M7" s="390">
        <f>'RM Details'!E111</f>
        <v>168.89231039999999</v>
      </c>
      <c r="N7" s="390">
        <f>'RM Details'!F111</f>
        <v>387.04487800000004</v>
      </c>
      <c r="O7" s="390"/>
      <c r="P7" s="390"/>
      <c r="Q7" s="390">
        <f t="shared" si="0"/>
        <v>387.04487800000004</v>
      </c>
      <c r="R7" s="390">
        <v>90</v>
      </c>
      <c r="S7" s="390">
        <f t="shared" si="1"/>
        <v>34834.039020000004</v>
      </c>
    </row>
    <row r="8" spans="1:19" ht="17.25" customHeight="1" x14ac:dyDescent="0.2">
      <c r="A8" s="23" t="s">
        <v>55</v>
      </c>
      <c r="B8" s="24"/>
      <c r="C8" s="25">
        <f>Q6+Q7</f>
        <v>540.69499726000004</v>
      </c>
      <c r="D8" s="25">
        <f>Q8+Q9</f>
        <v>71.611782000000005</v>
      </c>
      <c r="E8" s="26">
        <f>Q10+Q11</f>
        <v>288</v>
      </c>
      <c r="F8" s="18">
        <f>SUM(C8:E8)</f>
        <v>900.30677925999998</v>
      </c>
      <c r="G8" s="1"/>
      <c r="I8" s="389">
        <v>3</v>
      </c>
      <c r="J8" s="389" t="s">
        <v>21</v>
      </c>
      <c r="K8" s="389">
        <v>20</v>
      </c>
      <c r="L8" s="389" t="s">
        <v>542</v>
      </c>
      <c r="M8" s="390">
        <f>'RM Details'!E112</f>
        <v>42</v>
      </c>
      <c r="N8" s="390">
        <f>'RM Details'!F112</f>
        <v>63.824739000000001</v>
      </c>
      <c r="O8" s="390"/>
      <c r="P8" s="390"/>
      <c r="Q8" s="390">
        <f t="shared" si="0"/>
        <v>63.824739000000001</v>
      </c>
      <c r="R8" s="390">
        <v>90</v>
      </c>
      <c r="S8" s="390">
        <f t="shared" si="1"/>
        <v>5744.2265100000004</v>
      </c>
    </row>
    <row r="9" spans="1:19" ht="18" customHeight="1" x14ac:dyDescent="0.2">
      <c r="A9" s="27" t="s">
        <v>56</v>
      </c>
      <c r="B9" s="77"/>
      <c r="C9" s="28">
        <f>M6+M7</f>
        <v>265.14975398000001</v>
      </c>
      <c r="D9" s="28">
        <f>M8+M9</f>
        <v>46.6</v>
      </c>
      <c r="E9" s="74">
        <f>M10+M11</f>
        <v>58.676352000000001</v>
      </c>
      <c r="F9" s="18">
        <f>SUM(C9:E9)</f>
        <v>370.42610598000005</v>
      </c>
      <c r="G9" s="1"/>
      <c r="I9" s="389">
        <v>4</v>
      </c>
      <c r="J9" s="389" t="s">
        <v>21</v>
      </c>
      <c r="K9" s="389">
        <v>25</v>
      </c>
      <c r="L9" s="389" t="s">
        <v>542</v>
      </c>
      <c r="M9" s="390">
        <f>'RM Details'!E113</f>
        <v>4.5999999999999996</v>
      </c>
      <c r="N9" s="390">
        <f>'RM Details'!F113</f>
        <v>7.7870429999999997</v>
      </c>
      <c r="O9" s="390"/>
      <c r="P9" s="390"/>
      <c r="Q9" s="390">
        <f t="shared" si="0"/>
        <v>7.7870429999999997</v>
      </c>
      <c r="R9" s="390">
        <v>90</v>
      </c>
      <c r="S9" s="390">
        <f t="shared" si="1"/>
        <v>700.83386999999993</v>
      </c>
    </row>
    <row r="10" spans="1:19" ht="15" x14ac:dyDescent="0.2">
      <c r="A10" s="29" t="s">
        <v>57</v>
      </c>
      <c r="B10" s="78"/>
      <c r="C10" s="30">
        <f t="shared" ref="C10:D10" si="2">(C8-C9)*80%</f>
        <v>220.43619462400002</v>
      </c>
      <c r="D10" s="30">
        <f t="shared" si="2"/>
        <v>20.009425600000004</v>
      </c>
      <c r="E10" s="30">
        <f t="shared" ref="E10" si="3">(E8-E9)*80%</f>
        <v>183.45891840000002</v>
      </c>
      <c r="F10" s="31">
        <f>(F8-F9)/F9</f>
        <v>1.4304625530593922</v>
      </c>
      <c r="G10" s="32"/>
      <c r="I10" s="389">
        <v>5</v>
      </c>
      <c r="J10" s="389" t="s">
        <v>286</v>
      </c>
      <c r="K10" s="389" t="s">
        <v>299</v>
      </c>
      <c r="L10" s="389" t="s">
        <v>271</v>
      </c>
      <c r="M10" s="390">
        <f>'RM Details'!E114</f>
        <v>58.4</v>
      </c>
      <c r="N10" s="390">
        <f>'RM Details'!F114</f>
        <v>64.240000000000009</v>
      </c>
      <c r="O10" s="390">
        <f>42.56*6</f>
        <v>255.36</v>
      </c>
      <c r="P10" s="390"/>
      <c r="Q10" s="390">
        <f t="shared" si="0"/>
        <v>255.36</v>
      </c>
      <c r="R10" s="390">
        <v>110</v>
      </c>
      <c r="S10" s="390">
        <f t="shared" si="1"/>
        <v>28089.600000000002</v>
      </c>
    </row>
    <row r="11" spans="1:19" ht="15" x14ac:dyDescent="0.25">
      <c r="A11" s="33" t="s">
        <v>58</v>
      </c>
      <c r="B11" s="34"/>
      <c r="C11" s="35">
        <v>90</v>
      </c>
      <c r="D11" s="35">
        <v>90</v>
      </c>
      <c r="E11" s="35">
        <v>110</v>
      </c>
      <c r="F11" s="18">
        <f>SUMPRODUCT(B11:E11,B8:E8)</f>
        <v>86787.610133400012</v>
      </c>
      <c r="G11"/>
      <c r="I11" s="389">
        <v>6</v>
      </c>
      <c r="J11" s="389" t="s">
        <v>286</v>
      </c>
      <c r="K11" s="389" t="s">
        <v>377</v>
      </c>
      <c r="L11" s="389" t="s">
        <v>271</v>
      </c>
      <c r="M11" s="390">
        <f>'RM Details'!E115</f>
        <v>0.27635200000000004</v>
      </c>
      <c r="N11" s="390">
        <f>'RM Details'!F115</f>
        <v>0.30398720000000007</v>
      </c>
      <c r="O11" s="390">
        <f>5.44*6</f>
        <v>32.64</v>
      </c>
      <c r="P11" s="390"/>
      <c r="Q11" s="390">
        <f t="shared" si="0"/>
        <v>32.64</v>
      </c>
      <c r="R11" s="390">
        <v>110</v>
      </c>
      <c r="S11" s="390">
        <f t="shared" si="1"/>
        <v>3590.4</v>
      </c>
    </row>
    <row r="12" spans="1:19" ht="21.75" thickBot="1" x14ac:dyDescent="0.3">
      <c r="A12" s="29" t="s">
        <v>59</v>
      </c>
      <c r="B12" s="352"/>
      <c r="C12" s="353">
        <v>30</v>
      </c>
      <c r="D12" s="353">
        <v>30</v>
      </c>
      <c r="E12" s="353">
        <v>30</v>
      </c>
      <c r="F12" s="18"/>
      <c r="G12"/>
      <c r="H12"/>
      <c r="I12" s="371"/>
      <c r="J12" s="372"/>
      <c r="K12" s="372" t="s">
        <v>45</v>
      </c>
      <c r="L12" s="372"/>
      <c r="M12" s="373">
        <f>SUM(M6:M11)</f>
        <v>370.42610597999999</v>
      </c>
      <c r="N12" s="373">
        <f>SUM(N6:N11)</f>
        <v>676.85076646000016</v>
      </c>
      <c r="O12" s="374"/>
      <c r="P12" s="374"/>
      <c r="Q12" s="373">
        <f>SUM(Q6:Q11)</f>
        <v>900.3067792600001</v>
      </c>
      <c r="R12" s="375">
        <f>S12/Q12</f>
        <v>96.397819201955116</v>
      </c>
      <c r="S12" s="376">
        <f>SUM(S6:S11)</f>
        <v>86787.610133399998</v>
      </c>
    </row>
    <row r="13" spans="1:19" ht="15.75" thickBot="1" x14ac:dyDescent="0.3">
      <c r="A13" s="36" t="s">
        <v>60</v>
      </c>
      <c r="B13" s="349"/>
      <c r="C13" s="349">
        <f>(C8*C11)-(C10*C12)</f>
        <v>42049.463914680004</v>
      </c>
      <c r="D13" s="349">
        <f>(D8*D11)-(D10*D12)</f>
        <v>5844.7776120000008</v>
      </c>
      <c r="E13" s="349">
        <f>(E8*E11)-(E10*E12)</f>
        <v>26176.232447999999</v>
      </c>
      <c r="F13" s="37">
        <f>SUM(B13:E13)</f>
        <v>74070.473974680004</v>
      </c>
      <c r="G13"/>
      <c r="H13"/>
    </row>
    <row r="14" spans="1:19" ht="15.75" thickBot="1" x14ac:dyDescent="0.25">
      <c r="A14" s="38" t="s">
        <v>61</v>
      </c>
      <c r="B14" s="680">
        <f>SUM(B13:E13)</f>
        <v>74070.473974680004</v>
      </c>
      <c r="C14" s="682"/>
      <c r="D14" s="683"/>
      <c r="E14" s="684"/>
      <c r="F14" s="39">
        <f>F13/F8</f>
        <v>82.272482759223081</v>
      </c>
      <c r="G14" s="32"/>
      <c r="H14" s="32"/>
    </row>
    <row r="15" spans="1:19" ht="15" x14ac:dyDescent="0.25">
      <c r="A15" s="663" t="s">
        <v>62</v>
      </c>
      <c r="B15" s="664"/>
      <c r="C15" s="664"/>
      <c r="D15" s="665"/>
      <c r="E15" s="666"/>
      <c r="F15" s="18"/>
      <c r="G15"/>
      <c r="H15"/>
    </row>
    <row r="16" spans="1:19" ht="24.75" customHeight="1" x14ac:dyDescent="0.2">
      <c r="A16" s="317" t="s">
        <v>63</v>
      </c>
      <c r="B16" s="41"/>
      <c r="C16" s="42"/>
      <c r="D16" s="150"/>
      <c r="E16" s="43"/>
      <c r="F16" s="18"/>
      <c r="G16" s="32"/>
      <c r="H16" s="32"/>
    </row>
    <row r="17" spans="1:8" ht="20.25" customHeight="1" x14ac:dyDescent="0.2">
      <c r="A17" s="667" t="s">
        <v>64</v>
      </c>
      <c r="B17" s="668"/>
      <c r="C17" s="668"/>
      <c r="D17" s="151"/>
      <c r="E17" s="45">
        <f>SUM(E16:E16)</f>
        <v>0</v>
      </c>
      <c r="F17" s="84"/>
    </row>
    <row r="18" spans="1:8" ht="13.5" thickBot="1" x14ac:dyDescent="0.25">
      <c r="A18" s="669" t="s">
        <v>65</v>
      </c>
      <c r="B18" s="670"/>
      <c r="C18" s="670"/>
      <c r="D18" s="152"/>
      <c r="E18" s="46">
        <f>B14+E17</f>
        <v>74070.473974680004</v>
      </c>
      <c r="F18" s="18"/>
    </row>
    <row r="19" spans="1:8" ht="22.5" customHeight="1" x14ac:dyDescent="0.2">
      <c r="A19" s="671" t="s">
        <v>66</v>
      </c>
      <c r="B19" s="672"/>
      <c r="C19" s="672"/>
      <c r="D19" s="673"/>
      <c r="E19" s="674"/>
      <c r="F19" s="18"/>
    </row>
    <row r="20" spans="1:8" x14ac:dyDescent="0.2">
      <c r="A20" s="47" t="s">
        <v>54</v>
      </c>
      <c r="B20" s="48" t="s">
        <v>23</v>
      </c>
      <c r="C20" s="49" t="s">
        <v>67</v>
      </c>
      <c r="D20" s="50"/>
      <c r="E20" s="51" t="s">
        <v>68</v>
      </c>
      <c r="F20" s="18"/>
    </row>
    <row r="21" spans="1:8" ht="18" customHeight="1" x14ac:dyDescent="0.2">
      <c r="A21" s="52" t="s">
        <v>69</v>
      </c>
      <c r="B21" s="53">
        <f>'BOM R2D CatWalk'!X128</f>
        <v>37.58327692307693</v>
      </c>
      <c r="C21" s="54">
        <v>35</v>
      </c>
      <c r="D21" s="55"/>
      <c r="E21" s="45">
        <f t="shared" ref="E21:E27" si="4">B21*C21</f>
        <v>1315.4146923076926</v>
      </c>
      <c r="F21" s="56"/>
      <c r="G21" s="69">
        <f>E21/$F$9</f>
        <v>3.5510852800928512</v>
      </c>
      <c r="H21" s="69"/>
    </row>
    <row r="22" spans="1:8" ht="20.25" customHeight="1" x14ac:dyDescent="0.2">
      <c r="A22" s="52" t="s">
        <v>70</v>
      </c>
      <c r="B22" s="53">
        <f>'BOM R2D CatWalk'!AB128/60</f>
        <v>3</v>
      </c>
      <c r="C22" s="54">
        <v>2000</v>
      </c>
      <c r="D22" s="55"/>
      <c r="E22" s="45">
        <f t="shared" si="4"/>
        <v>6000</v>
      </c>
      <c r="F22" s="56"/>
      <c r="G22" s="69">
        <f t="shared" ref="G22:G35" si="5">E22/$F$9</f>
        <v>16.197562491246096</v>
      </c>
      <c r="H22" s="69"/>
    </row>
    <row r="23" spans="1:8" ht="18" customHeight="1" x14ac:dyDescent="0.2">
      <c r="A23" s="52" t="s">
        <v>71</v>
      </c>
      <c r="B23" s="53">
        <f>'BOM R2D CatWalk'!Z128</f>
        <v>0</v>
      </c>
      <c r="C23" s="54">
        <v>100</v>
      </c>
      <c r="D23" s="55"/>
      <c r="E23" s="45">
        <f t="shared" si="4"/>
        <v>0</v>
      </c>
      <c r="F23" s="79"/>
      <c r="G23" s="69">
        <f t="shared" si="5"/>
        <v>0</v>
      </c>
      <c r="H23" s="69"/>
    </row>
    <row r="24" spans="1:8" ht="18" customHeight="1" x14ac:dyDescent="0.2">
      <c r="A24" s="52" t="s">
        <v>72</v>
      </c>
      <c r="B24" s="53">
        <v>45</v>
      </c>
      <c r="C24" s="54">
        <v>300</v>
      </c>
      <c r="D24" s="55"/>
      <c r="E24" s="45">
        <f t="shared" si="4"/>
        <v>13500</v>
      </c>
      <c r="F24" s="56"/>
      <c r="G24" s="69">
        <f t="shared" si="5"/>
        <v>36.444515605303714</v>
      </c>
      <c r="H24" s="69"/>
    </row>
    <row r="25" spans="1:8" ht="18" customHeight="1" x14ac:dyDescent="0.2">
      <c r="A25" s="52" t="s">
        <v>73</v>
      </c>
      <c r="B25" s="53">
        <f>B24/12</f>
        <v>3.75</v>
      </c>
      <c r="C25" s="54">
        <v>250</v>
      </c>
      <c r="D25" s="55"/>
      <c r="E25" s="45">
        <f t="shared" si="4"/>
        <v>937.5</v>
      </c>
      <c r="F25" s="56"/>
      <c r="G25" s="69">
        <f t="shared" si="5"/>
        <v>2.5308691392572027</v>
      </c>
      <c r="H25" s="69"/>
    </row>
    <row r="26" spans="1:8" ht="18" customHeight="1" x14ac:dyDescent="0.2">
      <c r="A26" s="52" t="s">
        <v>74</v>
      </c>
      <c r="B26" s="53">
        <f>F9/95</f>
        <v>3.8992221682105268</v>
      </c>
      <c r="C26" s="54">
        <v>1200</v>
      </c>
      <c r="D26" s="55"/>
      <c r="E26" s="45">
        <f t="shared" si="4"/>
        <v>4679.0666018526317</v>
      </c>
      <c r="F26" s="56"/>
      <c r="G26" s="69">
        <f t="shared" si="5"/>
        <v>12.631578947368419</v>
      </c>
      <c r="H26" s="69"/>
    </row>
    <row r="27" spans="1:8" x14ac:dyDescent="0.2">
      <c r="A27" s="57" t="s">
        <v>75</v>
      </c>
      <c r="B27" s="58"/>
      <c r="C27" s="59">
        <v>250</v>
      </c>
      <c r="D27" s="60"/>
      <c r="E27" s="61">
        <f t="shared" si="4"/>
        <v>0</v>
      </c>
      <c r="F27" s="84" t="s">
        <v>76</v>
      </c>
      <c r="G27" s="69">
        <f t="shared" si="5"/>
        <v>0</v>
      </c>
      <c r="H27" s="69"/>
    </row>
    <row r="28" spans="1:8" ht="18" customHeight="1" x14ac:dyDescent="0.2">
      <c r="A28" s="52" t="s">
        <v>77</v>
      </c>
      <c r="B28" s="53"/>
      <c r="C28" s="54">
        <v>5</v>
      </c>
      <c r="D28" s="55"/>
      <c r="E28" s="62">
        <f>C28*F9</f>
        <v>1852.1305299000003</v>
      </c>
      <c r="F28" s="18"/>
      <c r="G28" s="69">
        <f t="shared" si="5"/>
        <v>5</v>
      </c>
      <c r="H28" s="69"/>
    </row>
    <row r="29" spans="1:8" ht="18" customHeight="1" x14ac:dyDescent="0.2">
      <c r="A29" s="52" t="s">
        <v>78</v>
      </c>
      <c r="B29" s="53">
        <v>0</v>
      </c>
      <c r="C29" s="54">
        <v>50</v>
      </c>
      <c r="D29" s="55"/>
      <c r="E29" s="62">
        <f>B29*C29</f>
        <v>0</v>
      </c>
      <c r="F29" s="18"/>
      <c r="G29" s="69">
        <f t="shared" si="5"/>
        <v>0</v>
      </c>
      <c r="H29" s="69"/>
    </row>
    <row r="30" spans="1:8" ht="18" customHeight="1" x14ac:dyDescent="0.2">
      <c r="A30" s="52" t="s">
        <v>79</v>
      </c>
      <c r="B30" s="54">
        <f>'BOM R2D CatWalk'!AI128</f>
        <v>10.366095859999998</v>
      </c>
      <c r="C30" s="54">
        <v>1250</v>
      </c>
      <c r="D30" s="55"/>
      <c r="E30" s="62">
        <f>B30*C30</f>
        <v>12957.619824999998</v>
      </c>
      <c r="F30" s="63" t="s">
        <v>133</v>
      </c>
      <c r="G30" s="69">
        <f t="shared" si="5"/>
        <v>34.980309475541127</v>
      </c>
      <c r="H30" s="69"/>
    </row>
    <row r="31" spans="1:8" ht="18" customHeight="1" x14ac:dyDescent="0.2">
      <c r="A31" s="52" t="s">
        <v>123</v>
      </c>
      <c r="B31" s="54">
        <f>15/60</f>
        <v>0.25</v>
      </c>
      <c r="C31" s="54">
        <v>250</v>
      </c>
      <c r="D31" s="55"/>
      <c r="E31" s="45">
        <f>B31*C31</f>
        <v>62.5</v>
      </c>
      <c r="F31" s="63"/>
      <c r="G31" s="69">
        <f t="shared" si="5"/>
        <v>0.1687246092838135</v>
      </c>
      <c r="H31" s="69"/>
    </row>
    <row r="32" spans="1:8" ht="18" customHeight="1" x14ac:dyDescent="0.2">
      <c r="A32" s="52" t="s">
        <v>135</v>
      </c>
      <c r="B32" s="54"/>
      <c r="C32" s="54">
        <v>4.5</v>
      </c>
      <c r="D32" s="55"/>
      <c r="E32" s="45">
        <f>C32*F9</f>
        <v>1666.9174769100002</v>
      </c>
      <c r="F32" s="63"/>
      <c r="G32" s="69">
        <f t="shared" si="5"/>
        <v>4.5</v>
      </c>
      <c r="H32" s="69"/>
    </row>
    <row r="33" spans="1:13" ht="19.5" customHeight="1" x14ac:dyDescent="0.2">
      <c r="A33" s="47" t="s">
        <v>152</v>
      </c>
      <c r="B33" s="64"/>
      <c r="C33" s="65"/>
      <c r="D33" s="66"/>
      <c r="E33" s="67">
        <f>SUM(E21:E32)</f>
        <v>42971.149125970325</v>
      </c>
      <c r="F33" s="18"/>
      <c r="G33" s="69">
        <f t="shared" si="5"/>
        <v>116.00464554809324</v>
      </c>
      <c r="H33" s="69"/>
    </row>
    <row r="34" spans="1:13" ht="22.5" customHeight="1" x14ac:dyDescent="0.2">
      <c r="A34" s="675" t="s">
        <v>80</v>
      </c>
      <c r="B34" s="676"/>
      <c r="C34" s="677"/>
      <c r="D34" s="315"/>
      <c r="E34" s="154">
        <f>E18+E33</f>
        <v>117041.62310065032</v>
      </c>
      <c r="F34" s="68"/>
      <c r="G34" s="69"/>
      <c r="H34" s="69"/>
    </row>
    <row r="35" spans="1:13" x14ac:dyDescent="0.2">
      <c r="A35" s="83" t="s">
        <v>126</v>
      </c>
      <c r="B35" s="83"/>
      <c r="C35" s="318"/>
      <c r="D35" s="156">
        <v>0.1</v>
      </c>
      <c r="E35" s="155">
        <f>E34*D35</f>
        <v>11704.162310065032</v>
      </c>
      <c r="F35" s="70"/>
      <c r="G35" s="69">
        <f t="shared" si="5"/>
        <v>31.596483404160939</v>
      </c>
      <c r="H35" s="69"/>
    </row>
    <row r="36" spans="1:13" x14ac:dyDescent="0.2">
      <c r="A36" s="83" t="s">
        <v>127</v>
      </c>
      <c r="B36" s="83"/>
      <c r="C36" s="318"/>
      <c r="D36" s="318"/>
      <c r="E36" s="155">
        <f>SUM(E34:E35)</f>
        <v>128745.78541071535</v>
      </c>
      <c r="F36" s="70"/>
      <c r="G36" s="69">
        <f>E36/F9</f>
        <v>347.56131744577033</v>
      </c>
      <c r="H36" s="69">
        <f>E36/F8</f>
        <v>143.00212813740771</v>
      </c>
    </row>
    <row r="39" spans="1:13" ht="12.75" customHeight="1" thickBot="1" x14ac:dyDescent="0.25">
      <c r="F39" s="11" t="s">
        <v>81</v>
      </c>
      <c r="G39" s="44"/>
      <c r="H39" s="44"/>
    </row>
    <row r="40" spans="1:13" ht="12.75" customHeight="1" x14ac:dyDescent="0.2">
      <c r="A40" s="678" t="s">
        <v>82</v>
      </c>
      <c r="B40" s="679"/>
      <c r="C40" s="679"/>
      <c r="D40" s="153"/>
      <c r="E40" s="71" t="s">
        <v>83</v>
      </c>
      <c r="F40" s="11" t="s">
        <v>81</v>
      </c>
      <c r="G40" s="44"/>
      <c r="H40" s="44"/>
    </row>
    <row r="41" spans="1:13" x14ac:dyDescent="0.2">
      <c r="A41" s="654" t="s">
        <v>134</v>
      </c>
      <c r="B41" s="655"/>
      <c r="C41" s="655"/>
      <c r="D41" s="316"/>
      <c r="E41" s="72"/>
    </row>
    <row r="42" spans="1:13" ht="13.5" thickBot="1" x14ac:dyDescent="0.25">
      <c r="A42" s="656" t="s">
        <v>84</v>
      </c>
      <c r="B42" s="657"/>
      <c r="C42" s="657"/>
      <c r="D42" s="314"/>
      <c r="E42" s="261" t="s">
        <v>85</v>
      </c>
    </row>
    <row r="43" spans="1:13" ht="20.100000000000001" customHeight="1" x14ac:dyDescent="0.2">
      <c r="G43" s="44"/>
      <c r="H43" s="44"/>
    </row>
    <row r="44" spans="1:13" s="44" customFormat="1" ht="18" customHeight="1" thickBot="1" x14ac:dyDescent="0.25">
      <c r="A44" s="10"/>
      <c r="B44" s="10"/>
      <c r="C44" s="10"/>
      <c r="D44" s="10"/>
      <c r="E44" s="70"/>
      <c r="F44" s="14"/>
      <c r="G44" s="10"/>
      <c r="H44" s="10"/>
      <c r="I44" s="10"/>
    </row>
    <row r="45" spans="1:13" s="44" customFormat="1" ht="15.75" thickBot="1" x14ac:dyDescent="0.25">
      <c r="A45" s="658" t="s">
        <v>161</v>
      </c>
      <c r="B45" s="659"/>
      <c r="C45" s="659"/>
      <c r="D45" s="660"/>
      <c r="E45" s="70"/>
      <c r="F45" s="14"/>
      <c r="G45" s="10"/>
      <c r="H45" s="10"/>
      <c r="I45" s="10"/>
    </row>
    <row r="46" spans="1:13" s="44" customFormat="1" ht="19.5" customHeight="1" thickBot="1" x14ac:dyDescent="0.25">
      <c r="A46" s="282" t="s">
        <v>125</v>
      </c>
      <c r="B46" s="283" t="s">
        <v>159</v>
      </c>
      <c r="C46" s="283" t="s">
        <v>155</v>
      </c>
      <c r="D46" s="284" t="s">
        <v>156</v>
      </c>
      <c r="E46" s="70"/>
      <c r="F46" s="14"/>
      <c r="G46" s="10"/>
      <c r="H46" s="10"/>
      <c r="I46" s="10"/>
      <c r="J46" s="10"/>
      <c r="K46" s="10"/>
      <c r="L46" s="10"/>
      <c r="M46" s="10"/>
    </row>
    <row r="47" spans="1:13" s="44" customFormat="1" ht="15.75" x14ac:dyDescent="0.2">
      <c r="A47" s="288" t="s">
        <v>124</v>
      </c>
      <c r="B47" s="289">
        <f>B4*1</f>
        <v>363</v>
      </c>
      <c r="C47" s="290">
        <v>100</v>
      </c>
      <c r="D47" s="291">
        <f>B47*C47</f>
        <v>36300</v>
      </c>
      <c r="E47" s="70"/>
      <c r="F47" s="14"/>
      <c r="G47" s="10"/>
      <c r="H47" s="10"/>
      <c r="I47" s="10"/>
      <c r="J47" s="10"/>
      <c r="K47" s="10"/>
      <c r="L47" s="10"/>
      <c r="M47" s="10"/>
    </row>
    <row r="48" spans="1:13" s="44" customFormat="1" ht="15.75" x14ac:dyDescent="0.2">
      <c r="A48" s="274" t="s">
        <v>711</v>
      </c>
      <c r="B48" s="80">
        <f>B4*0.25</f>
        <v>90.75</v>
      </c>
      <c r="C48" s="81">
        <v>200</v>
      </c>
      <c r="D48" s="273">
        <f>B48*C48</f>
        <v>18150</v>
      </c>
      <c r="E48" s="70"/>
      <c r="F48" s="14"/>
      <c r="G48" s="10"/>
      <c r="H48" s="10"/>
      <c r="I48" s="10"/>
      <c r="J48" s="10"/>
      <c r="K48" s="10"/>
      <c r="L48" s="10"/>
      <c r="M48" s="10"/>
    </row>
    <row r="49" spans="1:13" s="44" customFormat="1" ht="15.75" x14ac:dyDescent="0.2">
      <c r="A49" s="274" t="s">
        <v>162</v>
      </c>
      <c r="B49" s="80">
        <f>SUM(B47:B48)</f>
        <v>453.75</v>
      </c>
      <c r="C49" s="81">
        <v>4.5</v>
      </c>
      <c r="D49" s="273">
        <f>B49*C49</f>
        <v>2041.875</v>
      </c>
      <c r="E49" s="70"/>
      <c r="F49" s="14"/>
      <c r="G49" s="10"/>
      <c r="H49" s="10"/>
      <c r="I49" s="10"/>
      <c r="J49" s="10"/>
      <c r="K49" s="10"/>
      <c r="L49" s="10"/>
      <c r="M49" s="10"/>
    </row>
    <row r="50" spans="1:13" s="44" customFormat="1" ht="15.75" x14ac:dyDescent="0.2">
      <c r="A50" s="292" t="s">
        <v>163</v>
      </c>
      <c r="B50" s="286"/>
      <c r="C50" s="287"/>
      <c r="D50" s="293">
        <f>SUM(D47:D49)</f>
        <v>56491.875</v>
      </c>
      <c r="E50" s="70"/>
      <c r="F50" s="14"/>
      <c r="G50" s="10"/>
      <c r="H50" s="10"/>
      <c r="I50" s="10"/>
      <c r="J50" s="10"/>
      <c r="K50" s="10"/>
      <c r="L50" s="10"/>
      <c r="M50" s="10"/>
    </row>
    <row r="51" spans="1:13" s="44" customFormat="1" ht="15.75" x14ac:dyDescent="0.2">
      <c r="A51" s="274" t="s">
        <v>158</v>
      </c>
      <c r="B51" s="80">
        <v>4</v>
      </c>
      <c r="C51" s="81">
        <f>75000/30</f>
        <v>2500</v>
      </c>
      <c r="D51" s="273">
        <f>B51*C51</f>
        <v>10000</v>
      </c>
      <c r="E51" s="70"/>
      <c r="F51" s="14"/>
      <c r="G51" s="10"/>
      <c r="H51" s="10"/>
      <c r="I51" s="10"/>
      <c r="J51" s="10"/>
      <c r="K51" s="10"/>
      <c r="L51" s="10"/>
      <c r="M51" s="10"/>
    </row>
    <row r="52" spans="1:13" s="44" customFormat="1" ht="16.5" thickBot="1" x14ac:dyDescent="0.25">
      <c r="A52" s="275" t="s">
        <v>126</v>
      </c>
      <c r="B52" s="276"/>
      <c r="C52" s="285">
        <v>2.5499999999999998E-2</v>
      </c>
      <c r="D52" s="277">
        <f>(D50+D51)*C52</f>
        <v>1695.5428124999999</v>
      </c>
      <c r="E52" s="70"/>
      <c r="F52" s="14"/>
      <c r="G52" s="10"/>
      <c r="H52" s="10"/>
      <c r="I52" s="10"/>
      <c r="J52" s="10"/>
      <c r="K52" s="10"/>
      <c r="L52" s="10"/>
      <c r="M52" s="10"/>
    </row>
    <row r="53" spans="1:13" s="265" customFormat="1" ht="16.5" thickBot="1" x14ac:dyDescent="0.25">
      <c r="A53" s="278" t="s">
        <v>160</v>
      </c>
      <c r="B53" s="279"/>
      <c r="C53" s="280"/>
      <c r="D53" s="281">
        <f>SUM(D50:D52)</f>
        <v>68187.417812500003</v>
      </c>
      <c r="E53" s="262"/>
      <c r="F53" s="263"/>
      <c r="G53" s="264"/>
      <c r="H53" s="264"/>
      <c r="I53" s="264"/>
      <c r="J53" s="264"/>
      <c r="K53" s="264"/>
      <c r="L53" s="264"/>
      <c r="M53" s="264"/>
    </row>
    <row r="54" spans="1:13" s="44" customFormat="1" ht="25.5" customHeight="1" x14ac:dyDescent="0.2">
      <c r="A54" s="10"/>
      <c r="B54" s="10"/>
      <c r="C54" s="10"/>
      <c r="D54" s="10"/>
      <c r="E54" s="70"/>
      <c r="F54" s="14"/>
      <c r="G54" s="10"/>
      <c r="H54" s="10"/>
      <c r="I54" s="10"/>
      <c r="J54" s="10"/>
      <c r="K54" s="10"/>
      <c r="L54" s="10"/>
      <c r="M54" s="10"/>
    </row>
  </sheetData>
  <sheetProtection selectLockedCells="1" selectUnlockedCells="1"/>
  <mergeCells count="14">
    <mergeCell ref="A15:E15"/>
    <mergeCell ref="A45:D45"/>
    <mergeCell ref="A1:E1"/>
    <mergeCell ref="I4:O4"/>
    <mergeCell ref="A5:E5"/>
    <mergeCell ref="A6:E6"/>
    <mergeCell ref="B14:E14"/>
    <mergeCell ref="A42:C42"/>
    <mergeCell ref="A17:C17"/>
    <mergeCell ref="A18:C18"/>
    <mergeCell ref="A19:E19"/>
    <mergeCell ref="A34:C34"/>
    <mergeCell ref="A40:C40"/>
    <mergeCell ref="A41:C4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9B9E-21FC-4FBF-9531-286DB2A4F3DD}">
  <sheetPr>
    <pageSetUpPr fitToPage="1"/>
  </sheetPr>
  <dimension ref="A1:S54"/>
  <sheetViews>
    <sheetView topLeftCell="A32" zoomScale="85" zoomScaleNormal="85" zoomScaleSheetLayoutView="100" workbookViewId="0">
      <selection activeCell="C52" sqref="C52"/>
    </sheetView>
  </sheetViews>
  <sheetFormatPr defaultRowHeight="12.75" x14ac:dyDescent="0.2"/>
  <cols>
    <col min="1" max="1" width="38.42578125" style="10" customWidth="1"/>
    <col min="2" max="2" width="31.5703125" style="10" bestFit="1" customWidth="1"/>
    <col min="3" max="3" width="17.42578125" style="10" bestFit="1" customWidth="1"/>
    <col min="4" max="4" width="20" style="10" bestFit="1" customWidth="1"/>
    <col min="5" max="5" width="18.5703125" style="70" bestFit="1" customWidth="1"/>
    <col min="6" max="6" width="21.140625" style="14" customWidth="1"/>
    <col min="7" max="8" width="10.140625" style="10" customWidth="1"/>
    <col min="9" max="9" width="7.7109375" style="10" bestFit="1" customWidth="1"/>
    <col min="10" max="10" width="9.28515625" style="10" bestFit="1" customWidth="1"/>
    <col min="11" max="11" width="12.5703125" style="10" bestFit="1" customWidth="1"/>
    <col min="12" max="12" width="11.140625" style="10" bestFit="1" customWidth="1"/>
    <col min="13" max="13" width="10.28515625" style="10" bestFit="1" customWidth="1"/>
    <col min="14" max="14" width="13.28515625" style="10" customWidth="1"/>
    <col min="15" max="15" width="11.7109375" style="10" bestFit="1" customWidth="1"/>
    <col min="16" max="16" width="11.5703125" style="10" bestFit="1" customWidth="1"/>
    <col min="17" max="17" width="15.140625" style="10" bestFit="1" customWidth="1"/>
    <col min="18" max="18" width="10.42578125" style="10" bestFit="1" customWidth="1"/>
    <col min="19" max="19" width="13.140625" style="10" bestFit="1" customWidth="1"/>
    <col min="20" max="20" width="23.85546875" style="10" customWidth="1"/>
    <col min="21" max="203" width="9.140625" style="10"/>
    <col min="204" max="204" width="37.42578125" style="10" customWidth="1"/>
    <col min="205" max="205" width="13.5703125" style="10" customWidth="1"/>
    <col min="206" max="206" width="14.42578125" style="10" customWidth="1"/>
    <col min="207" max="207" width="8.42578125" style="10" bestFit="1" customWidth="1"/>
    <col min="208" max="208" width="16.85546875" style="10" customWidth="1"/>
    <col min="209" max="209" width="9.140625" style="10"/>
    <col min="210" max="210" width="11.28515625" style="10" customWidth="1"/>
    <col min="211" max="459" width="9.140625" style="10"/>
    <col min="460" max="460" width="37.42578125" style="10" customWidth="1"/>
    <col min="461" max="461" width="13.5703125" style="10" customWidth="1"/>
    <col min="462" max="462" width="14.42578125" style="10" customWidth="1"/>
    <col min="463" max="463" width="8.42578125" style="10" bestFit="1" customWidth="1"/>
    <col min="464" max="464" width="16.85546875" style="10" customWidth="1"/>
    <col min="465" max="465" width="9.140625" style="10"/>
    <col min="466" max="466" width="11.28515625" style="10" customWidth="1"/>
    <col min="467" max="715" width="9.140625" style="10"/>
    <col min="716" max="716" width="37.42578125" style="10" customWidth="1"/>
    <col min="717" max="717" width="13.5703125" style="10" customWidth="1"/>
    <col min="718" max="718" width="14.42578125" style="10" customWidth="1"/>
    <col min="719" max="719" width="8.42578125" style="10" bestFit="1" customWidth="1"/>
    <col min="720" max="720" width="16.85546875" style="10" customWidth="1"/>
    <col min="721" max="721" width="9.140625" style="10"/>
    <col min="722" max="722" width="11.28515625" style="10" customWidth="1"/>
    <col min="723" max="971" width="9.140625" style="10"/>
    <col min="972" max="972" width="37.42578125" style="10" customWidth="1"/>
    <col min="973" max="973" width="13.5703125" style="10" customWidth="1"/>
    <col min="974" max="974" width="14.42578125" style="10" customWidth="1"/>
    <col min="975" max="975" width="8.42578125" style="10" bestFit="1" customWidth="1"/>
    <col min="976" max="976" width="16.85546875" style="10" customWidth="1"/>
    <col min="977" max="977" width="9.140625" style="10"/>
    <col min="978" max="978" width="11.28515625" style="10" customWidth="1"/>
    <col min="979" max="1227" width="9.140625" style="10"/>
    <col min="1228" max="1228" width="37.42578125" style="10" customWidth="1"/>
    <col min="1229" max="1229" width="13.5703125" style="10" customWidth="1"/>
    <col min="1230" max="1230" width="14.42578125" style="10" customWidth="1"/>
    <col min="1231" max="1231" width="8.42578125" style="10" bestFit="1" customWidth="1"/>
    <col min="1232" max="1232" width="16.85546875" style="10" customWidth="1"/>
    <col min="1233" max="1233" width="9.140625" style="10"/>
    <col min="1234" max="1234" width="11.28515625" style="10" customWidth="1"/>
    <col min="1235" max="1483" width="9.140625" style="10"/>
    <col min="1484" max="1484" width="37.42578125" style="10" customWidth="1"/>
    <col min="1485" max="1485" width="13.5703125" style="10" customWidth="1"/>
    <col min="1486" max="1486" width="14.42578125" style="10" customWidth="1"/>
    <col min="1487" max="1487" width="8.42578125" style="10" bestFit="1" customWidth="1"/>
    <col min="1488" max="1488" width="16.85546875" style="10" customWidth="1"/>
    <col min="1489" max="1489" width="9.140625" style="10"/>
    <col min="1490" max="1490" width="11.28515625" style="10" customWidth="1"/>
    <col min="1491" max="1739" width="9.140625" style="10"/>
    <col min="1740" max="1740" width="37.42578125" style="10" customWidth="1"/>
    <col min="1741" max="1741" width="13.5703125" style="10" customWidth="1"/>
    <col min="1742" max="1742" width="14.42578125" style="10" customWidth="1"/>
    <col min="1743" max="1743" width="8.42578125" style="10" bestFit="1" customWidth="1"/>
    <col min="1744" max="1744" width="16.85546875" style="10" customWidth="1"/>
    <col min="1745" max="1745" width="9.140625" style="10"/>
    <col min="1746" max="1746" width="11.28515625" style="10" customWidth="1"/>
    <col min="1747" max="1995" width="9.140625" style="10"/>
    <col min="1996" max="1996" width="37.42578125" style="10" customWidth="1"/>
    <col min="1997" max="1997" width="13.5703125" style="10" customWidth="1"/>
    <col min="1998" max="1998" width="14.42578125" style="10" customWidth="1"/>
    <col min="1999" max="1999" width="8.42578125" style="10" bestFit="1" customWidth="1"/>
    <col min="2000" max="2000" width="16.85546875" style="10" customWidth="1"/>
    <col min="2001" max="2001" width="9.140625" style="10"/>
    <col min="2002" max="2002" width="11.28515625" style="10" customWidth="1"/>
    <col min="2003" max="2251" width="9.140625" style="10"/>
    <col min="2252" max="2252" width="37.42578125" style="10" customWidth="1"/>
    <col min="2253" max="2253" width="13.5703125" style="10" customWidth="1"/>
    <col min="2254" max="2254" width="14.42578125" style="10" customWidth="1"/>
    <col min="2255" max="2255" width="8.42578125" style="10" bestFit="1" customWidth="1"/>
    <col min="2256" max="2256" width="16.85546875" style="10" customWidth="1"/>
    <col min="2257" max="2257" width="9.140625" style="10"/>
    <col min="2258" max="2258" width="11.28515625" style="10" customWidth="1"/>
    <col min="2259" max="2507" width="9.140625" style="10"/>
    <col min="2508" max="2508" width="37.42578125" style="10" customWidth="1"/>
    <col min="2509" max="2509" width="13.5703125" style="10" customWidth="1"/>
    <col min="2510" max="2510" width="14.42578125" style="10" customWidth="1"/>
    <col min="2511" max="2511" width="8.42578125" style="10" bestFit="1" customWidth="1"/>
    <col min="2512" max="2512" width="16.85546875" style="10" customWidth="1"/>
    <col min="2513" max="2513" width="9.140625" style="10"/>
    <col min="2514" max="2514" width="11.28515625" style="10" customWidth="1"/>
    <col min="2515" max="2763" width="9.140625" style="10"/>
    <col min="2764" max="2764" width="37.42578125" style="10" customWidth="1"/>
    <col min="2765" max="2765" width="13.5703125" style="10" customWidth="1"/>
    <col min="2766" max="2766" width="14.42578125" style="10" customWidth="1"/>
    <col min="2767" max="2767" width="8.42578125" style="10" bestFit="1" customWidth="1"/>
    <col min="2768" max="2768" width="16.85546875" style="10" customWidth="1"/>
    <col min="2769" max="2769" width="9.140625" style="10"/>
    <col min="2770" max="2770" width="11.28515625" style="10" customWidth="1"/>
    <col min="2771" max="3019" width="9.140625" style="10"/>
    <col min="3020" max="3020" width="37.42578125" style="10" customWidth="1"/>
    <col min="3021" max="3021" width="13.5703125" style="10" customWidth="1"/>
    <col min="3022" max="3022" width="14.42578125" style="10" customWidth="1"/>
    <col min="3023" max="3023" width="8.42578125" style="10" bestFit="1" customWidth="1"/>
    <col min="3024" max="3024" width="16.85546875" style="10" customWidth="1"/>
    <col min="3025" max="3025" width="9.140625" style="10"/>
    <col min="3026" max="3026" width="11.28515625" style="10" customWidth="1"/>
    <col min="3027" max="3275" width="9.140625" style="10"/>
    <col min="3276" max="3276" width="37.42578125" style="10" customWidth="1"/>
    <col min="3277" max="3277" width="13.5703125" style="10" customWidth="1"/>
    <col min="3278" max="3278" width="14.42578125" style="10" customWidth="1"/>
    <col min="3279" max="3279" width="8.42578125" style="10" bestFit="1" customWidth="1"/>
    <col min="3280" max="3280" width="16.85546875" style="10" customWidth="1"/>
    <col min="3281" max="3281" width="9.140625" style="10"/>
    <col min="3282" max="3282" width="11.28515625" style="10" customWidth="1"/>
    <col min="3283" max="3531" width="9.140625" style="10"/>
    <col min="3532" max="3532" width="37.42578125" style="10" customWidth="1"/>
    <col min="3533" max="3533" width="13.5703125" style="10" customWidth="1"/>
    <col min="3534" max="3534" width="14.42578125" style="10" customWidth="1"/>
    <col min="3535" max="3535" width="8.42578125" style="10" bestFit="1" customWidth="1"/>
    <col min="3536" max="3536" width="16.85546875" style="10" customWidth="1"/>
    <col min="3537" max="3537" width="9.140625" style="10"/>
    <col min="3538" max="3538" width="11.28515625" style="10" customWidth="1"/>
    <col min="3539" max="3787" width="9.140625" style="10"/>
    <col min="3788" max="3788" width="37.42578125" style="10" customWidth="1"/>
    <col min="3789" max="3789" width="13.5703125" style="10" customWidth="1"/>
    <col min="3790" max="3790" width="14.42578125" style="10" customWidth="1"/>
    <col min="3791" max="3791" width="8.42578125" style="10" bestFit="1" customWidth="1"/>
    <col min="3792" max="3792" width="16.85546875" style="10" customWidth="1"/>
    <col min="3793" max="3793" width="9.140625" style="10"/>
    <col min="3794" max="3794" width="11.28515625" style="10" customWidth="1"/>
    <col min="3795" max="4043" width="9.140625" style="10"/>
    <col min="4044" max="4044" width="37.42578125" style="10" customWidth="1"/>
    <col min="4045" max="4045" width="13.5703125" style="10" customWidth="1"/>
    <col min="4046" max="4046" width="14.42578125" style="10" customWidth="1"/>
    <col min="4047" max="4047" width="8.42578125" style="10" bestFit="1" customWidth="1"/>
    <col min="4048" max="4048" width="16.85546875" style="10" customWidth="1"/>
    <col min="4049" max="4049" width="9.140625" style="10"/>
    <col min="4050" max="4050" width="11.28515625" style="10" customWidth="1"/>
    <col min="4051" max="4299" width="9.140625" style="10"/>
    <col min="4300" max="4300" width="37.42578125" style="10" customWidth="1"/>
    <col min="4301" max="4301" width="13.5703125" style="10" customWidth="1"/>
    <col min="4302" max="4302" width="14.42578125" style="10" customWidth="1"/>
    <col min="4303" max="4303" width="8.42578125" style="10" bestFit="1" customWidth="1"/>
    <col min="4304" max="4304" width="16.85546875" style="10" customWidth="1"/>
    <col min="4305" max="4305" width="9.140625" style="10"/>
    <col min="4306" max="4306" width="11.28515625" style="10" customWidth="1"/>
    <col min="4307" max="4555" width="9.140625" style="10"/>
    <col min="4556" max="4556" width="37.42578125" style="10" customWidth="1"/>
    <col min="4557" max="4557" width="13.5703125" style="10" customWidth="1"/>
    <col min="4558" max="4558" width="14.42578125" style="10" customWidth="1"/>
    <col min="4559" max="4559" width="8.42578125" style="10" bestFit="1" customWidth="1"/>
    <col min="4560" max="4560" width="16.85546875" style="10" customWidth="1"/>
    <col min="4561" max="4561" width="9.140625" style="10"/>
    <col min="4562" max="4562" width="11.28515625" style="10" customWidth="1"/>
    <col min="4563" max="4811" width="9.140625" style="10"/>
    <col min="4812" max="4812" width="37.42578125" style="10" customWidth="1"/>
    <col min="4813" max="4813" width="13.5703125" style="10" customWidth="1"/>
    <col min="4814" max="4814" width="14.42578125" style="10" customWidth="1"/>
    <col min="4815" max="4815" width="8.42578125" style="10" bestFit="1" customWidth="1"/>
    <col min="4816" max="4816" width="16.85546875" style="10" customWidth="1"/>
    <col min="4817" max="4817" width="9.140625" style="10"/>
    <col min="4818" max="4818" width="11.28515625" style="10" customWidth="1"/>
    <col min="4819" max="5067" width="9.140625" style="10"/>
    <col min="5068" max="5068" width="37.42578125" style="10" customWidth="1"/>
    <col min="5069" max="5069" width="13.5703125" style="10" customWidth="1"/>
    <col min="5070" max="5070" width="14.42578125" style="10" customWidth="1"/>
    <col min="5071" max="5071" width="8.42578125" style="10" bestFit="1" customWidth="1"/>
    <col min="5072" max="5072" width="16.85546875" style="10" customWidth="1"/>
    <col min="5073" max="5073" width="9.140625" style="10"/>
    <col min="5074" max="5074" width="11.28515625" style="10" customWidth="1"/>
    <col min="5075" max="5323" width="9.140625" style="10"/>
    <col min="5324" max="5324" width="37.42578125" style="10" customWidth="1"/>
    <col min="5325" max="5325" width="13.5703125" style="10" customWidth="1"/>
    <col min="5326" max="5326" width="14.42578125" style="10" customWidth="1"/>
    <col min="5327" max="5327" width="8.42578125" style="10" bestFit="1" customWidth="1"/>
    <col min="5328" max="5328" width="16.85546875" style="10" customWidth="1"/>
    <col min="5329" max="5329" width="9.140625" style="10"/>
    <col min="5330" max="5330" width="11.28515625" style="10" customWidth="1"/>
    <col min="5331" max="5579" width="9.140625" style="10"/>
    <col min="5580" max="5580" width="37.42578125" style="10" customWidth="1"/>
    <col min="5581" max="5581" width="13.5703125" style="10" customWidth="1"/>
    <col min="5582" max="5582" width="14.42578125" style="10" customWidth="1"/>
    <col min="5583" max="5583" width="8.42578125" style="10" bestFit="1" customWidth="1"/>
    <col min="5584" max="5584" width="16.85546875" style="10" customWidth="1"/>
    <col min="5585" max="5585" width="9.140625" style="10"/>
    <col min="5586" max="5586" width="11.28515625" style="10" customWidth="1"/>
    <col min="5587" max="5835" width="9.140625" style="10"/>
    <col min="5836" max="5836" width="37.42578125" style="10" customWidth="1"/>
    <col min="5837" max="5837" width="13.5703125" style="10" customWidth="1"/>
    <col min="5838" max="5838" width="14.42578125" style="10" customWidth="1"/>
    <col min="5839" max="5839" width="8.42578125" style="10" bestFit="1" customWidth="1"/>
    <col min="5840" max="5840" width="16.85546875" style="10" customWidth="1"/>
    <col min="5841" max="5841" width="9.140625" style="10"/>
    <col min="5842" max="5842" width="11.28515625" style="10" customWidth="1"/>
    <col min="5843" max="6091" width="9.140625" style="10"/>
    <col min="6092" max="6092" width="37.42578125" style="10" customWidth="1"/>
    <col min="6093" max="6093" width="13.5703125" style="10" customWidth="1"/>
    <col min="6094" max="6094" width="14.42578125" style="10" customWidth="1"/>
    <col min="6095" max="6095" width="8.42578125" style="10" bestFit="1" customWidth="1"/>
    <col min="6096" max="6096" width="16.85546875" style="10" customWidth="1"/>
    <col min="6097" max="6097" width="9.140625" style="10"/>
    <col min="6098" max="6098" width="11.28515625" style="10" customWidth="1"/>
    <col min="6099" max="6347" width="9.140625" style="10"/>
    <col min="6348" max="6348" width="37.42578125" style="10" customWidth="1"/>
    <col min="6349" max="6349" width="13.5703125" style="10" customWidth="1"/>
    <col min="6350" max="6350" width="14.42578125" style="10" customWidth="1"/>
    <col min="6351" max="6351" width="8.42578125" style="10" bestFit="1" customWidth="1"/>
    <col min="6352" max="6352" width="16.85546875" style="10" customWidth="1"/>
    <col min="6353" max="6353" width="9.140625" style="10"/>
    <col min="6354" max="6354" width="11.28515625" style="10" customWidth="1"/>
    <col min="6355" max="6603" width="9.140625" style="10"/>
    <col min="6604" max="6604" width="37.42578125" style="10" customWidth="1"/>
    <col min="6605" max="6605" width="13.5703125" style="10" customWidth="1"/>
    <col min="6606" max="6606" width="14.42578125" style="10" customWidth="1"/>
    <col min="6607" max="6607" width="8.42578125" style="10" bestFit="1" customWidth="1"/>
    <col min="6608" max="6608" width="16.85546875" style="10" customWidth="1"/>
    <col min="6609" max="6609" width="9.140625" style="10"/>
    <col min="6610" max="6610" width="11.28515625" style="10" customWidth="1"/>
    <col min="6611" max="6859" width="9.140625" style="10"/>
    <col min="6860" max="6860" width="37.42578125" style="10" customWidth="1"/>
    <col min="6861" max="6861" width="13.5703125" style="10" customWidth="1"/>
    <col min="6862" max="6862" width="14.42578125" style="10" customWidth="1"/>
    <col min="6863" max="6863" width="8.42578125" style="10" bestFit="1" customWidth="1"/>
    <col min="6864" max="6864" width="16.85546875" style="10" customWidth="1"/>
    <col min="6865" max="6865" width="9.140625" style="10"/>
    <col min="6866" max="6866" width="11.28515625" style="10" customWidth="1"/>
    <col min="6867" max="7115" width="9.140625" style="10"/>
    <col min="7116" max="7116" width="37.42578125" style="10" customWidth="1"/>
    <col min="7117" max="7117" width="13.5703125" style="10" customWidth="1"/>
    <col min="7118" max="7118" width="14.42578125" style="10" customWidth="1"/>
    <col min="7119" max="7119" width="8.42578125" style="10" bestFit="1" customWidth="1"/>
    <col min="7120" max="7120" width="16.85546875" style="10" customWidth="1"/>
    <col min="7121" max="7121" width="9.140625" style="10"/>
    <col min="7122" max="7122" width="11.28515625" style="10" customWidth="1"/>
    <col min="7123" max="7371" width="9.140625" style="10"/>
    <col min="7372" max="7372" width="37.42578125" style="10" customWidth="1"/>
    <col min="7373" max="7373" width="13.5703125" style="10" customWidth="1"/>
    <col min="7374" max="7374" width="14.42578125" style="10" customWidth="1"/>
    <col min="7375" max="7375" width="8.42578125" style="10" bestFit="1" customWidth="1"/>
    <col min="7376" max="7376" width="16.85546875" style="10" customWidth="1"/>
    <col min="7377" max="7377" width="9.140625" style="10"/>
    <col min="7378" max="7378" width="11.28515625" style="10" customWidth="1"/>
    <col min="7379" max="7627" width="9.140625" style="10"/>
    <col min="7628" max="7628" width="37.42578125" style="10" customWidth="1"/>
    <col min="7629" max="7629" width="13.5703125" style="10" customWidth="1"/>
    <col min="7630" max="7630" width="14.42578125" style="10" customWidth="1"/>
    <col min="7631" max="7631" width="8.42578125" style="10" bestFit="1" customWidth="1"/>
    <col min="7632" max="7632" width="16.85546875" style="10" customWidth="1"/>
    <col min="7633" max="7633" width="9.140625" style="10"/>
    <col min="7634" max="7634" width="11.28515625" style="10" customWidth="1"/>
    <col min="7635" max="7883" width="9.140625" style="10"/>
    <col min="7884" max="7884" width="37.42578125" style="10" customWidth="1"/>
    <col min="7885" max="7885" width="13.5703125" style="10" customWidth="1"/>
    <col min="7886" max="7886" width="14.42578125" style="10" customWidth="1"/>
    <col min="7887" max="7887" width="8.42578125" style="10" bestFit="1" customWidth="1"/>
    <col min="7888" max="7888" width="16.85546875" style="10" customWidth="1"/>
    <col min="7889" max="7889" width="9.140625" style="10"/>
    <col min="7890" max="7890" width="11.28515625" style="10" customWidth="1"/>
    <col min="7891" max="8139" width="9.140625" style="10"/>
    <col min="8140" max="8140" width="37.42578125" style="10" customWidth="1"/>
    <col min="8141" max="8141" width="13.5703125" style="10" customWidth="1"/>
    <col min="8142" max="8142" width="14.42578125" style="10" customWidth="1"/>
    <col min="8143" max="8143" width="8.42578125" style="10" bestFit="1" customWidth="1"/>
    <col min="8144" max="8144" width="16.85546875" style="10" customWidth="1"/>
    <col min="8145" max="8145" width="9.140625" style="10"/>
    <col min="8146" max="8146" width="11.28515625" style="10" customWidth="1"/>
    <col min="8147" max="8395" width="9.140625" style="10"/>
    <col min="8396" max="8396" width="37.42578125" style="10" customWidth="1"/>
    <col min="8397" max="8397" width="13.5703125" style="10" customWidth="1"/>
    <col min="8398" max="8398" width="14.42578125" style="10" customWidth="1"/>
    <col min="8399" max="8399" width="8.42578125" style="10" bestFit="1" customWidth="1"/>
    <col min="8400" max="8400" width="16.85546875" style="10" customWidth="1"/>
    <col min="8401" max="8401" width="9.140625" style="10"/>
    <col min="8402" max="8402" width="11.28515625" style="10" customWidth="1"/>
    <col min="8403" max="8651" width="9.140625" style="10"/>
    <col min="8652" max="8652" width="37.42578125" style="10" customWidth="1"/>
    <col min="8653" max="8653" width="13.5703125" style="10" customWidth="1"/>
    <col min="8654" max="8654" width="14.42578125" style="10" customWidth="1"/>
    <col min="8655" max="8655" width="8.42578125" style="10" bestFit="1" customWidth="1"/>
    <col min="8656" max="8656" width="16.85546875" style="10" customWidth="1"/>
    <col min="8657" max="8657" width="9.140625" style="10"/>
    <col min="8658" max="8658" width="11.28515625" style="10" customWidth="1"/>
    <col min="8659" max="8907" width="9.140625" style="10"/>
    <col min="8908" max="8908" width="37.42578125" style="10" customWidth="1"/>
    <col min="8909" max="8909" width="13.5703125" style="10" customWidth="1"/>
    <col min="8910" max="8910" width="14.42578125" style="10" customWidth="1"/>
    <col min="8911" max="8911" width="8.42578125" style="10" bestFit="1" customWidth="1"/>
    <col min="8912" max="8912" width="16.85546875" style="10" customWidth="1"/>
    <col min="8913" max="8913" width="9.140625" style="10"/>
    <col min="8914" max="8914" width="11.28515625" style="10" customWidth="1"/>
    <col min="8915" max="9163" width="9.140625" style="10"/>
    <col min="9164" max="9164" width="37.42578125" style="10" customWidth="1"/>
    <col min="9165" max="9165" width="13.5703125" style="10" customWidth="1"/>
    <col min="9166" max="9166" width="14.42578125" style="10" customWidth="1"/>
    <col min="9167" max="9167" width="8.42578125" style="10" bestFit="1" customWidth="1"/>
    <col min="9168" max="9168" width="16.85546875" style="10" customWidth="1"/>
    <col min="9169" max="9169" width="9.140625" style="10"/>
    <col min="9170" max="9170" width="11.28515625" style="10" customWidth="1"/>
    <col min="9171" max="9419" width="9.140625" style="10"/>
    <col min="9420" max="9420" width="37.42578125" style="10" customWidth="1"/>
    <col min="9421" max="9421" width="13.5703125" style="10" customWidth="1"/>
    <col min="9422" max="9422" width="14.42578125" style="10" customWidth="1"/>
    <col min="9423" max="9423" width="8.42578125" style="10" bestFit="1" customWidth="1"/>
    <col min="9424" max="9424" width="16.85546875" style="10" customWidth="1"/>
    <col min="9425" max="9425" width="9.140625" style="10"/>
    <col min="9426" max="9426" width="11.28515625" style="10" customWidth="1"/>
    <col min="9427" max="9675" width="9.140625" style="10"/>
    <col min="9676" max="9676" width="37.42578125" style="10" customWidth="1"/>
    <col min="9677" max="9677" width="13.5703125" style="10" customWidth="1"/>
    <col min="9678" max="9678" width="14.42578125" style="10" customWidth="1"/>
    <col min="9679" max="9679" width="8.42578125" style="10" bestFit="1" customWidth="1"/>
    <col min="9680" max="9680" width="16.85546875" style="10" customWidth="1"/>
    <col min="9681" max="9681" width="9.140625" style="10"/>
    <col min="9682" max="9682" width="11.28515625" style="10" customWidth="1"/>
    <col min="9683" max="9931" width="9.140625" style="10"/>
    <col min="9932" max="9932" width="37.42578125" style="10" customWidth="1"/>
    <col min="9933" max="9933" width="13.5703125" style="10" customWidth="1"/>
    <col min="9934" max="9934" width="14.42578125" style="10" customWidth="1"/>
    <col min="9935" max="9935" width="8.42578125" style="10" bestFit="1" customWidth="1"/>
    <col min="9936" max="9936" width="16.85546875" style="10" customWidth="1"/>
    <col min="9937" max="9937" width="9.140625" style="10"/>
    <col min="9938" max="9938" width="11.28515625" style="10" customWidth="1"/>
    <col min="9939" max="10187" width="9.140625" style="10"/>
    <col min="10188" max="10188" width="37.42578125" style="10" customWidth="1"/>
    <col min="10189" max="10189" width="13.5703125" style="10" customWidth="1"/>
    <col min="10190" max="10190" width="14.42578125" style="10" customWidth="1"/>
    <col min="10191" max="10191" width="8.42578125" style="10" bestFit="1" customWidth="1"/>
    <col min="10192" max="10192" width="16.85546875" style="10" customWidth="1"/>
    <col min="10193" max="10193" width="9.140625" style="10"/>
    <col min="10194" max="10194" width="11.28515625" style="10" customWidth="1"/>
    <col min="10195" max="10443" width="9.140625" style="10"/>
    <col min="10444" max="10444" width="37.42578125" style="10" customWidth="1"/>
    <col min="10445" max="10445" width="13.5703125" style="10" customWidth="1"/>
    <col min="10446" max="10446" width="14.42578125" style="10" customWidth="1"/>
    <col min="10447" max="10447" width="8.42578125" style="10" bestFit="1" customWidth="1"/>
    <col min="10448" max="10448" width="16.85546875" style="10" customWidth="1"/>
    <col min="10449" max="10449" width="9.140625" style="10"/>
    <col min="10450" max="10450" width="11.28515625" style="10" customWidth="1"/>
    <col min="10451" max="10699" width="9.140625" style="10"/>
    <col min="10700" max="10700" width="37.42578125" style="10" customWidth="1"/>
    <col min="10701" max="10701" width="13.5703125" style="10" customWidth="1"/>
    <col min="10702" max="10702" width="14.42578125" style="10" customWidth="1"/>
    <col min="10703" max="10703" width="8.42578125" style="10" bestFit="1" customWidth="1"/>
    <col min="10704" max="10704" width="16.85546875" style="10" customWidth="1"/>
    <col min="10705" max="10705" width="9.140625" style="10"/>
    <col min="10706" max="10706" width="11.28515625" style="10" customWidth="1"/>
    <col min="10707" max="10955" width="9.140625" style="10"/>
    <col min="10956" max="10956" width="37.42578125" style="10" customWidth="1"/>
    <col min="10957" max="10957" width="13.5703125" style="10" customWidth="1"/>
    <col min="10958" max="10958" width="14.42578125" style="10" customWidth="1"/>
    <col min="10959" max="10959" width="8.42578125" style="10" bestFit="1" customWidth="1"/>
    <col min="10960" max="10960" width="16.85546875" style="10" customWidth="1"/>
    <col min="10961" max="10961" width="9.140625" style="10"/>
    <col min="10962" max="10962" width="11.28515625" style="10" customWidth="1"/>
    <col min="10963" max="11211" width="9.140625" style="10"/>
    <col min="11212" max="11212" width="37.42578125" style="10" customWidth="1"/>
    <col min="11213" max="11213" width="13.5703125" style="10" customWidth="1"/>
    <col min="11214" max="11214" width="14.42578125" style="10" customWidth="1"/>
    <col min="11215" max="11215" width="8.42578125" style="10" bestFit="1" customWidth="1"/>
    <col min="11216" max="11216" width="16.85546875" style="10" customWidth="1"/>
    <col min="11217" max="11217" width="9.140625" style="10"/>
    <col min="11218" max="11218" width="11.28515625" style="10" customWidth="1"/>
    <col min="11219" max="11467" width="9.140625" style="10"/>
    <col min="11468" max="11468" width="37.42578125" style="10" customWidth="1"/>
    <col min="11469" max="11469" width="13.5703125" style="10" customWidth="1"/>
    <col min="11470" max="11470" width="14.42578125" style="10" customWidth="1"/>
    <col min="11471" max="11471" width="8.42578125" style="10" bestFit="1" customWidth="1"/>
    <col min="11472" max="11472" width="16.85546875" style="10" customWidth="1"/>
    <col min="11473" max="11473" width="9.140625" style="10"/>
    <col min="11474" max="11474" width="11.28515625" style="10" customWidth="1"/>
    <col min="11475" max="11723" width="9.140625" style="10"/>
    <col min="11724" max="11724" width="37.42578125" style="10" customWidth="1"/>
    <col min="11725" max="11725" width="13.5703125" style="10" customWidth="1"/>
    <col min="11726" max="11726" width="14.42578125" style="10" customWidth="1"/>
    <col min="11727" max="11727" width="8.42578125" style="10" bestFit="1" customWidth="1"/>
    <col min="11728" max="11728" width="16.85546875" style="10" customWidth="1"/>
    <col min="11729" max="11729" width="9.140625" style="10"/>
    <col min="11730" max="11730" width="11.28515625" style="10" customWidth="1"/>
    <col min="11731" max="11979" width="9.140625" style="10"/>
    <col min="11980" max="11980" width="37.42578125" style="10" customWidth="1"/>
    <col min="11981" max="11981" width="13.5703125" style="10" customWidth="1"/>
    <col min="11982" max="11982" width="14.42578125" style="10" customWidth="1"/>
    <col min="11983" max="11983" width="8.42578125" style="10" bestFit="1" customWidth="1"/>
    <col min="11984" max="11984" width="16.85546875" style="10" customWidth="1"/>
    <col min="11985" max="11985" width="9.140625" style="10"/>
    <col min="11986" max="11986" width="11.28515625" style="10" customWidth="1"/>
    <col min="11987" max="12235" width="9.140625" style="10"/>
    <col min="12236" max="12236" width="37.42578125" style="10" customWidth="1"/>
    <col min="12237" max="12237" width="13.5703125" style="10" customWidth="1"/>
    <col min="12238" max="12238" width="14.42578125" style="10" customWidth="1"/>
    <col min="12239" max="12239" width="8.42578125" style="10" bestFit="1" customWidth="1"/>
    <col min="12240" max="12240" width="16.85546875" style="10" customWidth="1"/>
    <col min="12241" max="12241" width="9.140625" style="10"/>
    <col min="12242" max="12242" width="11.28515625" style="10" customWidth="1"/>
    <col min="12243" max="12491" width="9.140625" style="10"/>
    <col min="12492" max="12492" width="37.42578125" style="10" customWidth="1"/>
    <col min="12493" max="12493" width="13.5703125" style="10" customWidth="1"/>
    <col min="12494" max="12494" width="14.42578125" style="10" customWidth="1"/>
    <col min="12495" max="12495" width="8.42578125" style="10" bestFit="1" customWidth="1"/>
    <col min="12496" max="12496" width="16.85546875" style="10" customWidth="1"/>
    <col min="12497" max="12497" width="9.140625" style="10"/>
    <col min="12498" max="12498" width="11.28515625" style="10" customWidth="1"/>
    <col min="12499" max="12747" width="9.140625" style="10"/>
    <col min="12748" max="12748" width="37.42578125" style="10" customWidth="1"/>
    <col min="12749" max="12749" width="13.5703125" style="10" customWidth="1"/>
    <col min="12750" max="12750" width="14.42578125" style="10" customWidth="1"/>
    <col min="12751" max="12751" width="8.42578125" style="10" bestFit="1" customWidth="1"/>
    <col min="12752" max="12752" width="16.85546875" style="10" customWidth="1"/>
    <col min="12753" max="12753" width="9.140625" style="10"/>
    <col min="12754" max="12754" width="11.28515625" style="10" customWidth="1"/>
    <col min="12755" max="13003" width="9.140625" style="10"/>
    <col min="13004" max="13004" width="37.42578125" style="10" customWidth="1"/>
    <col min="13005" max="13005" width="13.5703125" style="10" customWidth="1"/>
    <col min="13006" max="13006" width="14.42578125" style="10" customWidth="1"/>
    <col min="13007" max="13007" width="8.42578125" style="10" bestFit="1" customWidth="1"/>
    <col min="13008" max="13008" width="16.85546875" style="10" customWidth="1"/>
    <col min="13009" max="13009" width="9.140625" style="10"/>
    <col min="13010" max="13010" width="11.28515625" style="10" customWidth="1"/>
    <col min="13011" max="13259" width="9.140625" style="10"/>
    <col min="13260" max="13260" width="37.42578125" style="10" customWidth="1"/>
    <col min="13261" max="13261" width="13.5703125" style="10" customWidth="1"/>
    <col min="13262" max="13262" width="14.42578125" style="10" customWidth="1"/>
    <col min="13263" max="13263" width="8.42578125" style="10" bestFit="1" customWidth="1"/>
    <col min="13264" max="13264" width="16.85546875" style="10" customWidth="1"/>
    <col min="13265" max="13265" width="9.140625" style="10"/>
    <col min="13266" max="13266" width="11.28515625" style="10" customWidth="1"/>
    <col min="13267" max="13515" width="9.140625" style="10"/>
    <col min="13516" max="13516" width="37.42578125" style="10" customWidth="1"/>
    <col min="13517" max="13517" width="13.5703125" style="10" customWidth="1"/>
    <col min="13518" max="13518" width="14.42578125" style="10" customWidth="1"/>
    <col min="13519" max="13519" width="8.42578125" style="10" bestFit="1" customWidth="1"/>
    <col min="13520" max="13520" width="16.85546875" style="10" customWidth="1"/>
    <col min="13521" max="13521" width="9.140625" style="10"/>
    <col min="13522" max="13522" width="11.28515625" style="10" customWidth="1"/>
    <col min="13523" max="13771" width="9.140625" style="10"/>
    <col min="13772" max="13772" width="37.42578125" style="10" customWidth="1"/>
    <col min="13773" max="13773" width="13.5703125" style="10" customWidth="1"/>
    <col min="13774" max="13774" width="14.42578125" style="10" customWidth="1"/>
    <col min="13775" max="13775" width="8.42578125" style="10" bestFit="1" customWidth="1"/>
    <col min="13776" max="13776" width="16.85546875" style="10" customWidth="1"/>
    <col min="13777" max="13777" width="9.140625" style="10"/>
    <col min="13778" max="13778" width="11.28515625" style="10" customWidth="1"/>
    <col min="13779" max="14027" width="9.140625" style="10"/>
    <col min="14028" max="14028" width="37.42578125" style="10" customWidth="1"/>
    <col min="14029" max="14029" width="13.5703125" style="10" customWidth="1"/>
    <col min="14030" max="14030" width="14.42578125" style="10" customWidth="1"/>
    <col min="14031" max="14031" width="8.42578125" style="10" bestFit="1" customWidth="1"/>
    <col min="14032" max="14032" width="16.85546875" style="10" customWidth="1"/>
    <col min="14033" max="14033" width="9.140625" style="10"/>
    <col min="14034" max="14034" width="11.28515625" style="10" customWidth="1"/>
    <col min="14035" max="14283" width="9.140625" style="10"/>
    <col min="14284" max="14284" width="37.42578125" style="10" customWidth="1"/>
    <col min="14285" max="14285" width="13.5703125" style="10" customWidth="1"/>
    <col min="14286" max="14286" width="14.42578125" style="10" customWidth="1"/>
    <col min="14287" max="14287" width="8.42578125" style="10" bestFit="1" customWidth="1"/>
    <col min="14288" max="14288" width="16.85546875" style="10" customWidth="1"/>
    <col min="14289" max="14289" width="9.140625" style="10"/>
    <col min="14290" max="14290" width="11.28515625" style="10" customWidth="1"/>
    <col min="14291" max="14539" width="9.140625" style="10"/>
    <col min="14540" max="14540" width="37.42578125" style="10" customWidth="1"/>
    <col min="14541" max="14541" width="13.5703125" style="10" customWidth="1"/>
    <col min="14542" max="14542" width="14.42578125" style="10" customWidth="1"/>
    <col min="14543" max="14543" width="8.42578125" style="10" bestFit="1" customWidth="1"/>
    <col min="14544" max="14544" width="16.85546875" style="10" customWidth="1"/>
    <col min="14545" max="14545" width="9.140625" style="10"/>
    <col min="14546" max="14546" width="11.28515625" style="10" customWidth="1"/>
    <col min="14547" max="14795" width="9.140625" style="10"/>
    <col min="14796" max="14796" width="37.42578125" style="10" customWidth="1"/>
    <col min="14797" max="14797" width="13.5703125" style="10" customWidth="1"/>
    <col min="14798" max="14798" width="14.42578125" style="10" customWidth="1"/>
    <col min="14799" max="14799" width="8.42578125" style="10" bestFit="1" customWidth="1"/>
    <col min="14800" max="14800" width="16.85546875" style="10" customWidth="1"/>
    <col min="14801" max="14801" width="9.140625" style="10"/>
    <col min="14802" max="14802" width="11.28515625" style="10" customWidth="1"/>
    <col min="14803" max="15051" width="9.140625" style="10"/>
    <col min="15052" max="15052" width="37.42578125" style="10" customWidth="1"/>
    <col min="15053" max="15053" width="13.5703125" style="10" customWidth="1"/>
    <col min="15054" max="15054" width="14.42578125" style="10" customWidth="1"/>
    <col min="15055" max="15055" width="8.42578125" style="10" bestFit="1" customWidth="1"/>
    <col min="15056" max="15056" width="16.85546875" style="10" customWidth="1"/>
    <col min="15057" max="15057" width="9.140625" style="10"/>
    <col min="15058" max="15058" width="11.28515625" style="10" customWidth="1"/>
    <col min="15059" max="15307" width="9.140625" style="10"/>
    <col min="15308" max="15308" width="37.42578125" style="10" customWidth="1"/>
    <col min="15309" max="15309" width="13.5703125" style="10" customWidth="1"/>
    <col min="15310" max="15310" width="14.42578125" style="10" customWidth="1"/>
    <col min="15311" max="15311" width="8.42578125" style="10" bestFit="1" customWidth="1"/>
    <col min="15312" max="15312" width="16.85546875" style="10" customWidth="1"/>
    <col min="15313" max="15313" width="9.140625" style="10"/>
    <col min="15314" max="15314" width="11.28515625" style="10" customWidth="1"/>
    <col min="15315" max="15563" width="9.140625" style="10"/>
    <col min="15564" max="15564" width="37.42578125" style="10" customWidth="1"/>
    <col min="15565" max="15565" width="13.5703125" style="10" customWidth="1"/>
    <col min="15566" max="15566" width="14.42578125" style="10" customWidth="1"/>
    <col min="15567" max="15567" width="8.42578125" style="10" bestFit="1" customWidth="1"/>
    <col min="15568" max="15568" width="16.85546875" style="10" customWidth="1"/>
    <col min="15569" max="15569" width="9.140625" style="10"/>
    <col min="15570" max="15570" width="11.28515625" style="10" customWidth="1"/>
    <col min="15571" max="15819" width="9.140625" style="10"/>
    <col min="15820" max="15820" width="37.42578125" style="10" customWidth="1"/>
    <col min="15821" max="15821" width="13.5703125" style="10" customWidth="1"/>
    <col min="15822" max="15822" width="14.42578125" style="10" customWidth="1"/>
    <col min="15823" max="15823" width="8.42578125" style="10" bestFit="1" customWidth="1"/>
    <col min="15824" max="15824" width="16.85546875" style="10" customWidth="1"/>
    <col min="15825" max="15825" width="9.140625" style="10"/>
    <col min="15826" max="15826" width="11.28515625" style="10" customWidth="1"/>
    <col min="15827" max="16075" width="9.140625" style="10"/>
    <col min="16076" max="16076" width="37.42578125" style="10" customWidth="1"/>
    <col min="16077" max="16077" width="13.5703125" style="10" customWidth="1"/>
    <col min="16078" max="16078" width="14.42578125" style="10" customWidth="1"/>
    <col min="16079" max="16079" width="8.42578125" style="10" bestFit="1" customWidth="1"/>
    <col min="16080" max="16080" width="16.85546875" style="10" customWidth="1"/>
    <col min="16081" max="16081" width="9.140625" style="10"/>
    <col min="16082" max="16082" width="11.28515625" style="10" customWidth="1"/>
    <col min="16083" max="16384" width="9.140625" style="10"/>
  </cols>
  <sheetData>
    <row r="1" spans="1:19" ht="15.75" x14ac:dyDescent="0.2">
      <c r="A1" s="685" t="s">
        <v>46</v>
      </c>
      <c r="B1" s="686"/>
      <c r="C1" s="686"/>
      <c r="D1" s="687"/>
      <c r="E1" s="688"/>
      <c r="F1" s="9"/>
    </row>
    <row r="2" spans="1:19" x14ac:dyDescent="0.2">
      <c r="A2" s="12" t="s">
        <v>47</v>
      </c>
      <c r="B2" s="313" t="str">
        <f>'BOM R2D CatWalk'!I119</f>
        <v>WELDMENT,RAMPRAIL, PC4100</v>
      </c>
      <c r="C2" s="13"/>
      <c r="D2" s="13" t="s">
        <v>48</v>
      </c>
      <c r="E2" s="85"/>
    </row>
    <row r="3" spans="1:19" ht="13.5" thickBot="1" x14ac:dyDescent="0.25">
      <c r="A3" s="12" t="s">
        <v>49</v>
      </c>
      <c r="B3" s="313" t="str">
        <f>'BOM R2D CatWalk'!G119</f>
        <v>AY30133</v>
      </c>
      <c r="C3" s="13"/>
      <c r="D3" s="13" t="s">
        <v>50</v>
      </c>
      <c r="E3" s="15">
        <f>'BOM R2D CatWalk'!K119</f>
        <v>1</v>
      </c>
      <c r="F3" s="9"/>
    </row>
    <row r="4" spans="1:19" ht="16.5" customHeight="1" thickBot="1" x14ac:dyDescent="0.25">
      <c r="A4" s="12" t="s">
        <v>51</v>
      </c>
      <c r="B4" s="86">
        <f>'BOM R2D CatWalk'!N119</f>
        <v>113.7</v>
      </c>
      <c r="C4" s="16"/>
      <c r="D4" s="147"/>
      <c r="E4" s="17"/>
      <c r="F4" s="9"/>
      <c r="I4" s="707" t="s">
        <v>685</v>
      </c>
      <c r="J4" s="708"/>
      <c r="K4" s="708"/>
      <c r="L4" s="708"/>
      <c r="M4" s="708"/>
      <c r="N4" s="708"/>
      <c r="O4" s="708"/>
      <c r="P4" s="359" t="str">
        <f>'RM Details'!H98</f>
        <v>AY30133</v>
      </c>
      <c r="Q4" s="359"/>
      <c r="R4" s="359"/>
      <c r="S4" s="360"/>
    </row>
    <row r="5" spans="1:19" ht="25.5" customHeight="1" thickBot="1" x14ac:dyDescent="0.25">
      <c r="A5" s="691" t="s">
        <v>52</v>
      </c>
      <c r="B5" s="692"/>
      <c r="C5" s="692"/>
      <c r="D5" s="693"/>
      <c r="E5" s="694"/>
      <c r="F5" s="18"/>
      <c r="I5" s="377" t="s">
        <v>0</v>
      </c>
      <c r="J5" s="377" t="s">
        <v>13</v>
      </c>
      <c r="K5" s="377" t="s">
        <v>154</v>
      </c>
      <c r="L5" s="377" t="s">
        <v>544</v>
      </c>
      <c r="M5" s="378" t="s">
        <v>551</v>
      </c>
      <c r="N5" s="378" t="s">
        <v>552</v>
      </c>
      <c r="O5" s="377" t="s">
        <v>548</v>
      </c>
      <c r="P5" s="377" t="s">
        <v>34</v>
      </c>
      <c r="Q5" s="377" t="s">
        <v>549</v>
      </c>
      <c r="R5" s="377" t="s">
        <v>547</v>
      </c>
      <c r="S5" s="377" t="s">
        <v>156</v>
      </c>
    </row>
    <row r="6" spans="1:19" ht="21" customHeight="1" thickBot="1" x14ac:dyDescent="0.25">
      <c r="A6" s="695" t="s">
        <v>53</v>
      </c>
      <c r="B6" s="696"/>
      <c r="C6" s="696"/>
      <c r="D6" s="697"/>
      <c r="E6" s="698"/>
      <c r="F6" s="18"/>
      <c r="G6" s="19"/>
      <c r="H6" s="19"/>
      <c r="I6" s="143">
        <v>1</v>
      </c>
      <c r="J6" s="143" t="s">
        <v>329</v>
      </c>
      <c r="K6" s="143" t="s">
        <v>500</v>
      </c>
      <c r="L6" s="143" t="s">
        <v>540</v>
      </c>
      <c r="M6" s="145">
        <f>'RM Details'!E100</f>
        <v>124.57339999999999</v>
      </c>
      <c r="N6" s="145">
        <f>'RM Details'!F100</f>
        <v>137.03074000000001</v>
      </c>
      <c r="O6" s="145">
        <f>6.56*6</f>
        <v>39.36</v>
      </c>
      <c r="P6" s="145"/>
      <c r="Q6" s="145">
        <f t="shared" ref="Q6" si="0">IF(O6&gt;N6,O6,IF(O6&lt;N6,N6))</f>
        <v>137.03074000000001</v>
      </c>
      <c r="R6" s="145">
        <v>110</v>
      </c>
      <c r="S6" s="145">
        <f t="shared" ref="S6" si="1">R6*Q6</f>
        <v>15073.3814</v>
      </c>
    </row>
    <row r="7" spans="1:19" ht="21.75" thickBot="1" x14ac:dyDescent="0.25">
      <c r="A7" s="20" t="s">
        <v>54</v>
      </c>
      <c r="B7" s="21"/>
      <c r="C7" s="21"/>
      <c r="D7" s="21"/>
      <c r="E7" s="21" t="s">
        <v>540</v>
      </c>
      <c r="F7" s="18"/>
      <c r="G7" s="1"/>
      <c r="H7" s="1"/>
      <c r="I7" s="341"/>
      <c r="J7" s="341"/>
      <c r="K7" s="341" t="s">
        <v>45</v>
      </c>
      <c r="L7" s="341"/>
      <c r="M7" s="342">
        <f>SUM(M6:M6)</f>
        <v>124.57339999999999</v>
      </c>
      <c r="N7" s="342">
        <f>SUM(N6:N6)</f>
        <v>137.03074000000001</v>
      </c>
      <c r="O7" s="346"/>
      <c r="P7" s="346"/>
      <c r="Q7" s="342">
        <f>SUM(Q6:Q6)</f>
        <v>137.03074000000001</v>
      </c>
      <c r="R7" s="145">
        <f>S7/Q7</f>
        <v>110</v>
      </c>
      <c r="S7" s="342">
        <f>SUM(S6:S6)</f>
        <v>15073.3814</v>
      </c>
    </row>
    <row r="8" spans="1:19" ht="17.25" customHeight="1" x14ac:dyDescent="0.2">
      <c r="A8" s="23" t="s">
        <v>55</v>
      </c>
      <c r="B8" s="24"/>
      <c r="C8" s="25"/>
      <c r="D8" s="25"/>
      <c r="E8" s="26">
        <f>Q6</f>
        <v>137.03074000000001</v>
      </c>
      <c r="F8" s="18">
        <f>SUM(C8:E8)</f>
        <v>137.03074000000001</v>
      </c>
      <c r="G8" s="1"/>
    </row>
    <row r="9" spans="1:19" ht="18" customHeight="1" x14ac:dyDescent="0.2">
      <c r="A9" s="27" t="s">
        <v>56</v>
      </c>
      <c r="B9" s="77"/>
      <c r="C9" s="28"/>
      <c r="D9" s="28"/>
      <c r="E9" s="74">
        <f>M6</f>
        <v>124.57339999999999</v>
      </c>
      <c r="F9" s="18">
        <f>SUM(C9:E9)</f>
        <v>124.57339999999999</v>
      </c>
      <c r="G9" s="1"/>
    </row>
    <row r="10" spans="1:19" ht="15" x14ac:dyDescent="0.2">
      <c r="A10" s="29" t="s">
        <v>57</v>
      </c>
      <c r="B10" s="78"/>
      <c r="C10" s="30"/>
      <c r="D10" s="30"/>
      <c r="E10" s="30">
        <f t="shared" ref="E10" si="2">(E8-E9)*80%</f>
        <v>9.9658720000000134</v>
      </c>
      <c r="F10" s="31">
        <f>(F8-F9)/F9</f>
        <v>0.10000000000000013</v>
      </c>
      <c r="G10" s="32"/>
    </row>
    <row r="11" spans="1:19" ht="15" x14ac:dyDescent="0.25">
      <c r="A11" s="33" t="s">
        <v>58</v>
      </c>
      <c r="B11" s="34"/>
      <c r="C11" s="35"/>
      <c r="D11" s="35"/>
      <c r="E11" s="35">
        <v>200</v>
      </c>
      <c r="F11" s="18">
        <f>SUMPRODUCT(B11:E11,B8:E8)</f>
        <v>27406.148000000001</v>
      </c>
      <c r="G11"/>
    </row>
    <row r="12" spans="1:19" ht="15.75" thickBot="1" x14ac:dyDescent="0.3">
      <c r="A12" s="29" t="s">
        <v>59</v>
      </c>
      <c r="B12" s="352"/>
      <c r="C12" s="353"/>
      <c r="D12" s="353"/>
      <c r="E12" s="353">
        <v>30</v>
      </c>
      <c r="F12" s="18"/>
      <c r="G12"/>
      <c r="H12"/>
    </row>
    <row r="13" spans="1:19" ht="15.75" thickBot="1" x14ac:dyDescent="0.3">
      <c r="A13" s="36" t="s">
        <v>60</v>
      </c>
      <c r="B13" s="349"/>
      <c r="C13" s="349"/>
      <c r="D13" s="349">
        <f>(D8*D11)-(D10*D12)</f>
        <v>0</v>
      </c>
      <c r="E13" s="349">
        <f>(E8*E11)-(E10*E12)</f>
        <v>27107.171839999999</v>
      </c>
      <c r="F13" s="37">
        <f>SUM(B13:E13)</f>
        <v>27107.171839999999</v>
      </c>
      <c r="G13"/>
      <c r="H13"/>
    </row>
    <row r="14" spans="1:19" ht="15.75" thickBot="1" x14ac:dyDescent="0.25">
      <c r="A14" s="38" t="s">
        <v>61</v>
      </c>
      <c r="B14" s="680">
        <f>SUM(B13:E13)</f>
        <v>27107.171839999999</v>
      </c>
      <c r="C14" s="682"/>
      <c r="D14" s="683"/>
      <c r="E14" s="684"/>
      <c r="F14" s="39">
        <f>F13/F8</f>
        <v>197.81818181818181</v>
      </c>
      <c r="G14" s="32"/>
      <c r="H14" s="32"/>
    </row>
    <row r="15" spans="1:19" ht="15" x14ac:dyDescent="0.25">
      <c r="A15" s="663" t="s">
        <v>62</v>
      </c>
      <c r="B15" s="664"/>
      <c r="C15" s="664"/>
      <c r="D15" s="665"/>
      <c r="E15" s="666"/>
      <c r="F15" s="18"/>
      <c r="G15"/>
      <c r="H15"/>
    </row>
    <row r="16" spans="1:19" ht="24.75" customHeight="1" x14ac:dyDescent="0.2">
      <c r="A16" s="317" t="s">
        <v>63</v>
      </c>
      <c r="B16" s="41"/>
      <c r="C16" s="42"/>
      <c r="D16" s="150"/>
      <c r="E16" s="43"/>
      <c r="F16" s="18"/>
      <c r="G16" s="32"/>
      <c r="H16" s="32"/>
    </row>
    <row r="17" spans="1:8" ht="20.25" customHeight="1" x14ac:dyDescent="0.2">
      <c r="A17" s="667" t="s">
        <v>64</v>
      </c>
      <c r="B17" s="668"/>
      <c r="C17" s="668"/>
      <c r="D17" s="151"/>
      <c r="E17" s="45">
        <f>SUM(E16:E16)</f>
        <v>0</v>
      </c>
      <c r="F17" s="84"/>
    </row>
    <row r="18" spans="1:8" ht="13.5" thickBot="1" x14ac:dyDescent="0.25">
      <c r="A18" s="669" t="s">
        <v>65</v>
      </c>
      <c r="B18" s="670"/>
      <c r="C18" s="670"/>
      <c r="D18" s="152"/>
      <c r="E18" s="46">
        <f>B14+E17</f>
        <v>27107.171839999999</v>
      </c>
      <c r="F18" s="18"/>
    </row>
    <row r="19" spans="1:8" ht="22.5" customHeight="1" x14ac:dyDescent="0.2">
      <c r="A19" s="671" t="s">
        <v>66</v>
      </c>
      <c r="B19" s="672"/>
      <c r="C19" s="672"/>
      <c r="D19" s="673"/>
      <c r="E19" s="674"/>
      <c r="F19" s="18"/>
    </row>
    <row r="20" spans="1:8" x14ac:dyDescent="0.2">
      <c r="A20" s="47" t="s">
        <v>54</v>
      </c>
      <c r="B20" s="48" t="s">
        <v>23</v>
      </c>
      <c r="C20" s="49" t="s">
        <v>67</v>
      </c>
      <c r="D20" s="50"/>
      <c r="E20" s="51" t="s">
        <v>68</v>
      </c>
      <c r="F20" s="18"/>
    </row>
    <row r="21" spans="1:8" ht="18" customHeight="1" x14ac:dyDescent="0.2">
      <c r="A21" s="52" t="s">
        <v>69</v>
      </c>
      <c r="B21" s="53">
        <f>'BOM R2D CatWalk'!X119</f>
        <v>54</v>
      </c>
      <c r="C21" s="54">
        <v>35</v>
      </c>
      <c r="D21" s="55"/>
      <c r="E21" s="45">
        <f t="shared" ref="E21:E27" si="3">B21*C21</f>
        <v>1890</v>
      </c>
      <c r="F21" s="56"/>
      <c r="G21" s="69">
        <f>E21/$F$9</f>
        <v>15.171778244793833</v>
      </c>
      <c r="H21" s="69"/>
    </row>
    <row r="22" spans="1:8" ht="20.25" customHeight="1" x14ac:dyDescent="0.2">
      <c r="A22" s="52" t="s">
        <v>70</v>
      </c>
      <c r="B22" s="53">
        <f>'BOM R2D CatWalk'!AB119/60</f>
        <v>0.23333333333333334</v>
      </c>
      <c r="C22" s="54">
        <v>1000</v>
      </c>
      <c r="D22" s="55"/>
      <c r="E22" s="45">
        <f t="shared" si="3"/>
        <v>233.33333333333334</v>
      </c>
      <c r="F22" s="56"/>
      <c r="G22" s="69">
        <f t="shared" ref="G22:G35" si="4">E22/$F$9</f>
        <v>1.8730590425671401</v>
      </c>
      <c r="H22" s="69"/>
    </row>
    <row r="23" spans="1:8" ht="18" customHeight="1" x14ac:dyDescent="0.2">
      <c r="A23" s="52" t="s">
        <v>71</v>
      </c>
      <c r="B23" s="53">
        <f>'BOM R2D CatWalk'!Z119</f>
        <v>0</v>
      </c>
      <c r="C23" s="54">
        <v>100</v>
      </c>
      <c r="D23" s="55"/>
      <c r="E23" s="45">
        <f t="shared" si="3"/>
        <v>0</v>
      </c>
      <c r="F23" s="79"/>
      <c r="G23" s="69">
        <f t="shared" si="4"/>
        <v>0</v>
      </c>
      <c r="H23" s="69"/>
    </row>
    <row r="24" spans="1:8" ht="18" customHeight="1" x14ac:dyDescent="0.2">
      <c r="A24" s="52" t="s">
        <v>72</v>
      </c>
      <c r="B24" s="53">
        <f>'BOM R2D CatWalk'!AF119</f>
        <v>6</v>
      </c>
      <c r="C24" s="54">
        <v>250</v>
      </c>
      <c r="D24" s="55"/>
      <c r="E24" s="45">
        <f t="shared" si="3"/>
        <v>1500</v>
      </c>
      <c r="F24" s="56"/>
      <c r="G24" s="69">
        <f t="shared" si="4"/>
        <v>12.041093845074471</v>
      </c>
      <c r="H24" s="69"/>
    </row>
    <row r="25" spans="1:8" ht="18" customHeight="1" x14ac:dyDescent="0.2">
      <c r="A25" s="52" t="s">
        <v>73</v>
      </c>
      <c r="B25" s="53">
        <f>B24/12</f>
        <v>0.5</v>
      </c>
      <c r="C25" s="54">
        <v>250</v>
      </c>
      <c r="D25" s="55"/>
      <c r="E25" s="45">
        <f t="shared" si="3"/>
        <v>125</v>
      </c>
      <c r="F25" s="56"/>
      <c r="G25" s="69">
        <f t="shared" si="4"/>
        <v>1.0034244870895392</v>
      </c>
      <c r="H25" s="69"/>
    </row>
    <row r="26" spans="1:8" ht="18" customHeight="1" x14ac:dyDescent="0.2">
      <c r="A26" s="52" t="s">
        <v>74</v>
      </c>
      <c r="B26" s="53">
        <f>F9/95</f>
        <v>1.3112989473684209</v>
      </c>
      <c r="C26" s="54">
        <v>1200</v>
      </c>
      <c r="D26" s="55"/>
      <c r="E26" s="45">
        <f t="shared" si="3"/>
        <v>1573.5587368421052</v>
      </c>
      <c r="F26" s="56"/>
      <c r="G26" s="69">
        <f t="shared" si="4"/>
        <v>12.631578947368421</v>
      </c>
      <c r="H26" s="69"/>
    </row>
    <row r="27" spans="1:8" x14ac:dyDescent="0.2">
      <c r="A27" s="57" t="s">
        <v>75</v>
      </c>
      <c r="B27" s="58"/>
      <c r="C27" s="59">
        <v>250</v>
      </c>
      <c r="D27" s="60"/>
      <c r="E27" s="61">
        <f t="shared" si="3"/>
        <v>0</v>
      </c>
      <c r="F27" s="84" t="s">
        <v>76</v>
      </c>
      <c r="G27" s="69">
        <f t="shared" si="4"/>
        <v>0</v>
      </c>
      <c r="H27" s="69"/>
    </row>
    <row r="28" spans="1:8" ht="18" customHeight="1" x14ac:dyDescent="0.2">
      <c r="A28" s="52" t="s">
        <v>77</v>
      </c>
      <c r="B28" s="53"/>
      <c r="C28" s="54">
        <v>5</v>
      </c>
      <c r="D28" s="55"/>
      <c r="E28" s="62">
        <f>C28*F9</f>
        <v>622.86699999999996</v>
      </c>
      <c r="F28" s="18"/>
      <c r="G28" s="69">
        <f t="shared" si="4"/>
        <v>5</v>
      </c>
      <c r="H28" s="69"/>
    </row>
    <row r="29" spans="1:8" ht="18" customHeight="1" x14ac:dyDescent="0.2">
      <c r="A29" s="52" t="s">
        <v>78</v>
      </c>
      <c r="B29" s="53">
        <v>0</v>
      </c>
      <c r="C29" s="54">
        <v>50</v>
      </c>
      <c r="D29" s="55"/>
      <c r="E29" s="62">
        <f>B29*C29</f>
        <v>0</v>
      </c>
      <c r="F29" s="18"/>
      <c r="G29" s="69">
        <f t="shared" si="4"/>
        <v>0</v>
      </c>
      <c r="H29" s="69"/>
    </row>
    <row r="30" spans="1:8" ht="18" customHeight="1" x14ac:dyDescent="0.2">
      <c r="A30" s="52" t="s">
        <v>79</v>
      </c>
      <c r="B30" s="54">
        <f>'BOM R2D CatWalk'!AI119</f>
        <v>4.1539149999999987</v>
      </c>
      <c r="C30" s="54">
        <v>1250</v>
      </c>
      <c r="D30" s="55"/>
      <c r="E30" s="62">
        <f>B30*C30</f>
        <v>5192.3937499999984</v>
      </c>
      <c r="F30" s="63" t="s">
        <v>133</v>
      </c>
      <c r="G30" s="69">
        <f t="shared" si="4"/>
        <v>41.68140028288542</v>
      </c>
      <c r="H30" s="69"/>
    </row>
    <row r="31" spans="1:8" ht="18" customHeight="1" x14ac:dyDescent="0.2">
      <c r="A31" s="52" t="s">
        <v>710</v>
      </c>
      <c r="B31" s="54">
        <v>4</v>
      </c>
      <c r="C31" s="54">
        <v>250</v>
      </c>
      <c r="D31" s="55"/>
      <c r="E31" s="45">
        <f>B31*C31</f>
        <v>1000</v>
      </c>
      <c r="F31" s="63"/>
      <c r="G31" s="69">
        <f t="shared" si="4"/>
        <v>8.0273958967163139</v>
      </c>
      <c r="H31" s="69"/>
    </row>
    <row r="32" spans="1:8" ht="18" customHeight="1" x14ac:dyDescent="0.2">
      <c r="A32" s="52" t="s">
        <v>135</v>
      </c>
      <c r="B32" s="54"/>
      <c r="C32" s="54">
        <v>4.5</v>
      </c>
      <c r="D32" s="55"/>
      <c r="E32" s="45">
        <f>C32*F9</f>
        <v>560.58029999999997</v>
      </c>
      <c r="F32" s="63"/>
      <c r="G32" s="69">
        <f t="shared" si="4"/>
        <v>4.5</v>
      </c>
      <c r="H32" s="69"/>
    </row>
    <row r="33" spans="1:13" ht="19.5" customHeight="1" x14ac:dyDescent="0.2">
      <c r="A33" s="47" t="s">
        <v>152</v>
      </c>
      <c r="B33" s="64"/>
      <c r="C33" s="65"/>
      <c r="D33" s="66"/>
      <c r="E33" s="67">
        <f>SUM(E21:E32)</f>
        <v>12697.733120175437</v>
      </c>
      <c r="F33" s="18"/>
      <c r="G33" s="69">
        <f t="shared" si="4"/>
        <v>101.92973074649514</v>
      </c>
      <c r="H33" s="69"/>
    </row>
    <row r="34" spans="1:13" ht="22.5" customHeight="1" x14ac:dyDescent="0.2">
      <c r="A34" s="675" t="s">
        <v>80</v>
      </c>
      <c r="B34" s="676"/>
      <c r="C34" s="677"/>
      <c r="D34" s="315"/>
      <c r="E34" s="154">
        <f>E18+E33</f>
        <v>39804.904960175438</v>
      </c>
      <c r="F34" s="68"/>
      <c r="G34" s="69"/>
      <c r="H34" s="69"/>
    </row>
    <row r="35" spans="1:13" x14ac:dyDescent="0.2">
      <c r="A35" s="83" t="s">
        <v>126</v>
      </c>
      <c r="B35" s="83"/>
      <c r="C35" s="318"/>
      <c r="D35" s="156">
        <v>0.1</v>
      </c>
      <c r="E35" s="155">
        <f>E34*D35</f>
        <v>3980.490496017544</v>
      </c>
      <c r="F35" s="70"/>
      <c r="G35" s="69">
        <f t="shared" si="4"/>
        <v>31.952973074649517</v>
      </c>
      <c r="H35" s="69"/>
    </row>
    <row r="36" spans="1:13" x14ac:dyDescent="0.2">
      <c r="A36" s="83" t="s">
        <v>127</v>
      </c>
      <c r="B36" s="83"/>
      <c r="C36" s="318"/>
      <c r="D36" s="318"/>
      <c r="E36" s="155">
        <f>SUM(E34:E35)</f>
        <v>43785.395456192979</v>
      </c>
      <c r="F36" s="70"/>
      <c r="G36" s="69">
        <f>E36/F9</f>
        <v>351.48270382114464</v>
      </c>
      <c r="H36" s="69">
        <f>E36/F8</f>
        <v>319.52973074649509</v>
      </c>
    </row>
    <row r="39" spans="1:13" ht="12.75" customHeight="1" thickBot="1" x14ac:dyDescent="0.25">
      <c r="F39" s="11" t="s">
        <v>81</v>
      </c>
      <c r="G39" s="44"/>
      <c r="H39" s="44"/>
    </row>
    <row r="40" spans="1:13" ht="12.75" customHeight="1" x14ac:dyDescent="0.2">
      <c r="A40" s="709" t="s">
        <v>691</v>
      </c>
      <c r="B40" s="710"/>
      <c r="C40" s="710"/>
      <c r="D40" s="153"/>
      <c r="E40" s="71" t="s">
        <v>83</v>
      </c>
      <c r="F40" s="11" t="s">
        <v>81</v>
      </c>
      <c r="G40" s="44"/>
      <c r="H40" s="44"/>
    </row>
    <row r="41" spans="1:13" x14ac:dyDescent="0.2">
      <c r="A41" s="654" t="s">
        <v>134</v>
      </c>
      <c r="B41" s="655"/>
      <c r="C41" s="655"/>
      <c r="D41" s="316"/>
      <c r="E41" s="72"/>
    </row>
    <row r="42" spans="1:13" ht="13.5" thickBot="1" x14ac:dyDescent="0.25">
      <c r="A42" s="656" t="s">
        <v>84</v>
      </c>
      <c r="B42" s="657"/>
      <c r="C42" s="657"/>
      <c r="D42" s="314"/>
      <c r="E42" s="261" t="s">
        <v>85</v>
      </c>
    </row>
    <row r="43" spans="1:13" ht="20.100000000000001" customHeight="1" x14ac:dyDescent="0.2">
      <c r="G43" s="44"/>
      <c r="H43" s="44"/>
    </row>
    <row r="44" spans="1:13" s="44" customFormat="1" ht="18" customHeight="1" thickBot="1" x14ac:dyDescent="0.25">
      <c r="A44" s="10"/>
      <c r="B44" s="10"/>
      <c r="C44" s="10"/>
      <c r="D44" s="10"/>
      <c r="E44" s="70"/>
      <c r="F44" s="14"/>
      <c r="G44" s="10"/>
      <c r="H44" s="10"/>
      <c r="I44" s="10"/>
    </row>
    <row r="45" spans="1:13" s="44" customFormat="1" ht="15.75" thickBot="1" x14ac:dyDescent="0.25">
      <c r="A45" s="658" t="s">
        <v>161</v>
      </c>
      <c r="B45" s="659"/>
      <c r="C45" s="659"/>
      <c r="D45" s="660"/>
      <c r="E45" s="70"/>
      <c r="F45" s="14"/>
      <c r="G45" s="10"/>
      <c r="H45" s="10"/>
      <c r="I45" s="10"/>
    </row>
    <row r="46" spans="1:13" s="44" customFormat="1" ht="19.5" customHeight="1" thickBot="1" x14ac:dyDescent="0.25">
      <c r="A46" s="282" t="s">
        <v>125</v>
      </c>
      <c r="B46" s="283" t="s">
        <v>159</v>
      </c>
      <c r="C46" s="283" t="s">
        <v>155</v>
      </c>
      <c r="D46" s="284" t="s">
        <v>156</v>
      </c>
      <c r="E46" s="70"/>
      <c r="F46" s="14"/>
      <c r="G46" s="10"/>
      <c r="H46" s="10"/>
      <c r="I46" s="10"/>
      <c r="J46" s="10"/>
      <c r="K46" s="10"/>
      <c r="L46" s="10"/>
      <c r="M46" s="10"/>
    </row>
    <row r="47" spans="1:13" s="44" customFormat="1" ht="15.75" x14ac:dyDescent="0.2">
      <c r="A47" s="288" t="s">
        <v>124</v>
      </c>
      <c r="B47" s="289"/>
      <c r="C47" s="290">
        <v>100</v>
      </c>
      <c r="D47" s="291">
        <f>B47*C47</f>
        <v>0</v>
      </c>
      <c r="E47" s="70"/>
      <c r="F47" s="14"/>
      <c r="G47" s="10"/>
      <c r="H47" s="10"/>
      <c r="I47" s="10"/>
      <c r="J47" s="10"/>
      <c r="K47" s="10"/>
      <c r="L47" s="10"/>
      <c r="M47" s="10"/>
    </row>
    <row r="48" spans="1:13" s="44" customFormat="1" ht="15.75" x14ac:dyDescent="0.2">
      <c r="A48" s="274" t="s">
        <v>157</v>
      </c>
      <c r="B48" s="80"/>
      <c r="C48" s="81">
        <v>100</v>
      </c>
      <c r="D48" s="273">
        <f>B48*C48</f>
        <v>0</v>
      </c>
      <c r="E48" s="70"/>
      <c r="F48" s="14"/>
      <c r="G48" s="10"/>
      <c r="H48" s="10"/>
      <c r="I48" s="10"/>
      <c r="J48" s="10"/>
      <c r="K48" s="10"/>
      <c r="L48" s="10"/>
      <c r="M48" s="10"/>
    </row>
    <row r="49" spans="1:13" s="44" customFormat="1" ht="15.75" x14ac:dyDescent="0.2">
      <c r="A49" s="274" t="s">
        <v>162</v>
      </c>
      <c r="B49" s="80"/>
      <c r="C49" s="81">
        <v>4.5</v>
      </c>
      <c r="D49" s="273">
        <f>B49*C49</f>
        <v>0</v>
      </c>
      <c r="E49" s="70"/>
      <c r="F49" s="14"/>
      <c r="G49" s="10"/>
      <c r="H49" s="10"/>
      <c r="I49" s="10"/>
      <c r="J49" s="10"/>
      <c r="K49" s="10"/>
      <c r="L49" s="10"/>
      <c r="M49" s="10"/>
    </row>
    <row r="50" spans="1:13" s="44" customFormat="1" ht="15.75" x14ac:dyDescent="0.2">
      <c r="A50" s="292" t="s">
        <v>163</v>
      </c>
      <c r="B50" s="286"/>
      <c r="C50" s="287"/>
      <c r="D50" s="293">
        <f>SUM(D47:D49)</f>
        <v>0</v>
      </c>
      <c r="E50" s="70"/>
      <c r="F50" s="14"/>
      <c r="G50" s="10"/>
      <c r="H50" s="10"/>
      <c r="I50" s="10"/>
      <c r="J50" s="10"/>
      <c r="K50" s="10"/>
      <c r="L50" s="10"/>
      <c r="M50" s="10"/>
    </row>
    <row r="51" spans="1:13" s="44" customFormat="1" ht="15.75" x14ac:dyDescent="0.2">
      <c r="A51" s="274" t="s">
        <v>158</v>
      </c>
      <c r="B51" s="80"/>
      <c r="C51" s="81">
        <f>75000/30</f>
        <v>2500</v>
      </c>
      <c r="D51" s="273">
        <f>B51*C51</f>
        <v>0</v>
      </c>
      <c r="E51" s="70"/>
      <c r="F51" s="14"/>
      <c r="G51" s="10"/>
      <c r="H51" s="10"/>
      <c r="I51" s="10"/>
      <c r="J51" s="10"/>
      <c r="K51" s="10"/>
      <c r="L51" s="10"/>
      <c r="M51" s="10"/>
    </row>
    <row r="52" spans="1:13" s="44" customFormat="1" ht="16.5" thickBot="1" x14ac:dyDescent="0.25">
      <c r="A52" s="275" t="s">
        <v>126</v>
      </c>
      <c r="B52" s="276"/>
      <c r="C52" s="285">
        <v>7.0000000000000007E-2</v>
      </c>
      <c r="D52" s="277">
        <f>(D50+D51)*C52</f>
        <v>0</v>
      </c>
      <c r="E52" s="70"/>
      <c r="F52" s="14"/>
      <c r="G52" s="10"/>
      <c r="H52" s="10"/>
      <c r="I52" s="10"/>
      <c r="J52" s="10"/>
      <c r="K52" s="10"/>
      <c r="L52" s="10"/>
      <c r="M52" s="10"/>
    </row>
    <row r="53" spans="1:13" s="265" customFormat="1" ht="16.5" thickBot="1" x14ac:dyDescent="0.25">
      <c r="A53" s="278" t="s">
        <v>160</v>
      </c>
      <c r="B53" s="279"/>
      <c r="C53" s="280"/>
      <c r="D53" s="281">
        <f>SUM(D50:D52)</f>
        <v>0</v>
      </c>
      <c r="E53" s="262"/>
      <c r="F53" s="263"/>
      <c r="G53" s="264"/>
      <c r="H53" s="264"/>
      <c r="I53" s="264"/>
      <c r="J53" s="264"/>
      <c r="K53" s="264"/>
      <c r="L53" s="264"/>
      <c r="M53" s="264"/>
    </row>
    <row r="54" spans="1:13" s="44" customFormat="1" ht="25.5" customHeight="1" x14ac:dyDescent="0.2">
      <c r="A54" s="10"/>
      <c r="B54" s="10"/>
      <c r="C54" s="10"/>
      <c r="D54" s="10"/>
      <c r="E54" s="70"/>
      <c r="F54" s="14"/>
      <c r="G54" s="10"/>
      <c r="H54" s="10"/>
      <c r="I54" s="10"/>
      <c r="J54" s="10"/>
      <c r="K54" s="10"/>
      <c r="L54" s="10"/>
      <c r="M54" s="10"/>
    </row>
  </sheetData>
  <sheetProtection selectLockedCells="1" selectUnlockedCells="1"/>
  <mergeCells count="14">
    <mergeCell ref="A15:E15"/>
    <mergeCell ref="A45:D45"/>
    <mergeCell ref="A1:E1"/>
    <mergeCell ref="I4:O4"/>
    <mergeCell ref="A5:E5"/>
    <mergeCell ref="A6:E6"/>
    <mergeCell ref="B14:E14"/>
    <mergeCell ref="A42:C42"/>
    <mergeCell ref="A17:C17"/>
    <mergeCell ref="A18:C18"/>
    <mergeCell ref="A19:E19"/>
    <mergeCell ref="A34:C34"/>
    <mergeCell ref="A40:C40"/>
    <mergeCell ref="A41:C4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9744-A456-48D4-9F06-213CBAAAA908}">
  <sheetPr>
    <pageSetUpPr fitToPage="1"/>
  </sheetPr>
  <dimension ref="A1:S54"/>
  <sheetViews>
    <sheetView topLeftCell="A33" zoomScale="85" zoomScaleNormal="85" zoomScaleSheetLayoutView="100" workbookViewId="0">
      <selection activeCell="C52" sqref="C52"/>
    </sheetView>
  </sheetViews>
  <sheetFormatPr defaultRowHeight="12.75" x14ac:dyDescent="0.2"/>
  <cols>
    <col min="1" max="1" width="38.42578125" style="10" customWidth="1"/>
    <col min="2" max="2" width="31.5703125" style="10" bestFit="1" customWidth="1"/>
    <col min="3" max="3" width="17.42578125" style="10" bestFit="1" customWidth="1"/>
    <col min="4" max="4" width="20" style="10" bestFit="1" customWidth="1"/>
    <col min="5" max="5" width="18.5703125" style="70" bestFit="1" customWidth="1"/>
    <col min="6" max="6" width="21.140625" style="14" customWidth="1"/>
    <col min="7" max="8" width="10.140625" style="10" customWidth="1"/>
    <col min="9" max="9" width="8.5703125" style="10" bestFit="1" customWidth="1"/>
    <col min="10" max="10" width="6" style="10" bestFit="1" customWidth="1"/>
    <col min="11" max="11" width="8.7109375" style="10" bestFit="1" customWidth="1"/>
    <col min="12" max="12" width="11.28515625" style="10" bestFit="1" customWidth="1"/>
    <col min="13" max="13" width="10.7109375" style="10" bestFit="1" customWidth="1"/>
    <col min="14" max="14" width="11.85546875" style="10" bestFit="1" customWidth="1"/>
    <col min="15" max="15" width="11.7109375" style="10" bestFit="1" customWidth="1"/>
    <col min="16" max="16" width="11.5703125" style="10" bestFit="1" customWidth="1"/>
    <col min="17" max="17" width="10.42578125" style="10" bestFit="1" customWidth="1"/>
    <col min="18" max="18" width="7.42578125" style="10" bestFit="1" customWidth="1"/>
    <col min="19" max="19" width="13.140625" style="10" bestFit="1" customWidth="1"/>
    <col min="20" max="20" width="23.85546875" style="10" customWidth="1"/>
    <col min="21" max="203" width="9.140625" style="10"/>
    <col min="204" max="204" width="37.42578125" style="10" customWidth="1"/>
    <col min="205" max="205" width="13.5703125" style="10" customWidth="1"/>
    <col min="206" max="206" width="14.42578125" style="10" customWidth="1"/>
    <col min="207" max="207" width="8.42578125" style="10" bestFit="1" customWidth="1"/>
    <col min="208" max="208" width="16.85546875" style="10" customWidth="1"/>
    <col min="209" max="209" width="9.140625" style="10"/>
    <col min="210" max="210" width="11.28515625" style="10" customWidth="1"/>
    <col min="211" max="459" width="9.140625" style="10"/>
    <col min="460" max="460" width="37.42578125" style="10" customWidth="1"/>
    <col min="461" max="461" width="13.5703125" style="10" customWidth="1"/>
    <col min="462" max="462" width="14.42578125" style="10" customWidth="1"/>
    <col min="463" max="463" width="8.42578125" style="10" bestFit="1" customWidth="1"/>
    <col min="464" max="464" width="16.85546875" style="10" customWidth="1"/>
    <col min="465" max="465" width="9.140625" style="10"/>
    <col min="466" max="466" width="11.28515625" style="10" customWidth="1"/>
    <col min="467" max="715" width="9.140625" style="10"/>
    <col min="716" max="716" width="37.42578125" style="10" customWidth="1"/>
    <col min="717" max="717" width="13.5703125" style="10" customWidth="1"/>
    <col min="718" max="718" width="14.42578125" style="10" customWidth="1"/>
    <col min="719" max="719" width="8.42578125" style="10" bestFit="1" customWidth="1"/>
    <col min="720" max="720" width="16.85546875" style="10" customWidth="1"/>
    <col min="721" max="721" width="9.140625" style="10"/>
    <col min="722" max="722" width="11.28515625" style="10" customWidth="1"/>
    <col min="723" max="971" width="9.140625" style="10"/>
    <col min="972" max="972" width="37.42578125" style="10" customWidth="1"/>
    <col min="973" max="973" width="13.5703125" style="10" customWidth="1"/>
    <col min="974" max="974" width="14.42578125" style="10" customWidth="1"/>
    <col min="975" max="975" width="8.42578125" style="10" bestFit="1" customWidth="1"/>
    <col min="976" max="976" width="16.85546875" style="10" customWidth="1"/>
    <col min="977" max="977" width="9.140625" style="10"/>
    <col min="978" max="978" width="11.28515625" style="10" customWidth="1"/>
    <col min="979" max="1227" width="9.140625" style="10"/>
    <col min="1228" max="1228" width="37.42578125" style="10" customWidth="1"/>
    <col min="1229" max="1229" width="13.5703125" style="10" customWidth="1"/>
    <col min="1230" max="1230" width="14.42578125" style="10" customWidth="1"/>
    <col min="1231" max="1231" width="8.42578125" style="10" bestFit="1" customWidth="1"/>
    <col min="1232" max="1232" width="16.85546875" style="10" customWidth="1"/>
    <col min="1233" max="1233" width="9.140625" style="10"/>
    <col min="1234" max="1234" width="11.28515625" style="10" customWidth="1"/>
    <col min="1235" max="1483" width="9.140625" style="10"/>
    <col min="1484" max="1484" width="37.42578125" style="10" customWidth="1"/>
    <col min="1485" max="1485" width="13.5703125" style="10" customWidth="1"/>
    <col min="1486" max="1486" width="14.42578125" style="10" customWidth="1"/>
    <col min="1487" max="1487" width="8.42578125" style="10" bestFit="1" customWidth="1"/>
    <col min="1488" max="1488" width="16.85546875" style="10" customWidth="1"/>
    <col min="1489" max="1489" width="9.140625" style="10"/>
    <col min="1490" max="1490" width="11.28515625" style="10" customWidth="1"/>
    <col min="1491" max="1739" width="9.140625" style="10"/>
    <col min="1740" max="1740" width="37.42578125" style="10" customWidth="1"/>
    <col min="1741" max="1741" width="13.5703125" style="10" customWidth="1"/>
    <col min="1742" max="1742" width="14.42578125" style="10" customWidth="1"/>
    <col min="1743" max="1743" width="8.42578125" style="10" bestFit="1" customWidth="1"/>
    <col min="1744" max="1744" width="16.85546875" style="10" customWidth="1"/>
    <col min="1745" max="1745" width="9.140625" style="10"/>
    <col min="1746" max="1746" width="11.28515625" style="10" customWidth="1"/>
    <col min="1747" max="1995" width="9.140625" style="10"/>
    <col min="1996" max="1996" width="37.42578125" style="10" customWidth="1"/>
    <col min="1997" max="1997" width="13.5703125" style="10" customWidth="1"/>
    <col min="1998" max="1998" width="14.42578125" style="10" customWidth="1"/>
    <col min="1999" max="1999" width="8.42578125" style="10" bestFit="1" customWidth="1"/>
    <col min="2000" max="2000" width="16.85546875" style="10" customWidth="1"/>
    <col min="2001" max="2001" width="9.140625" style="10"/>
    <col min="2002" max="2002" width="11.28515625" style="10" customWidth="1"/>
    <col min="2003" max="2251" width="9.140625" style="10"/>
    <col min="2252" max="2252" width="37.42578125" style="10" customWidth="1"/>
    <col min="2253" max="2253" width="13.5703125" style="10" customWidth="1"/>
    <col min="2254" max="2254" width="14.42578125" style="10" customWidth="1"/>
    <col min="2255" max="2255" width="8.42578125" style="10" bestFit="1" customWidth="1"/>
    <col min="2256" max="2256" width="16.85546875" style="10" customWidth="1"/>
    <col min="2257" max="2257" width="9.140625" style="10"/>
    <col min="2258" max="2258" width="11.28515625" style="10" customWidth="1"/>
    <col min="2259" max="2507" width="9.140625" style="10"/>
    <col min="2508" max="2508" width="37.42578125" style="10" customWidth="1"/>
    <col min="2509" max="2509" width="13.5703125" style="10" customWidth="1"/>
    <col min="2510" max="2510" width="14.42578125" style="10" customWidth="1"/>
    <col min="2511" max="2511" width="8.42578125" style="10" bestFit="1" customWidth="1"/>
    <col min="2512" max="2512" width="16.85546875" style="10" customWidth="1"/>
    <col min="2513" max="2513" width="9.140625" style="10"/>
    <col min="2514" max="2514" width="11.28515625" style="10" customWidth="1"/>
    <col min="2515" max="2763" width="9.140625" style="10"/>
    <col min="2764" max="2764" width="37.42578125" style="10" customWidth="1"/>
    <col min="2765" max="2765" width="13.5703125" style="10" customWidth="1"/>
    <col min="2766" max="2766" width="14.42578125" style="10" customWidth="1"/>
    <col min="2767" max="2767" width="8.42578125" style="10" bestFit="1" customWidth="1"/>
    <col min="2768" max="2768" width="16.85546875" style="10" customWidth="1"/>
    <col min="2769" max="2769" width="9.140625" style="10"/>
    <col min="2770" max="2770" width="11.28515625" style="10" customWidth="1"/>
    <col min="2771" max="3019" width="9.140625" style="10"/>
    <col min="3020" max="3020" width="37.42578125" style="10" customWidth="1"/>
    <col min="3021" max="3021" width="13.5703125" style="10" customWidth="1"/>
    <col min="3022" max="3022" width="14.42578125" style="10" customWidth="1"/>
    <col min="3023" max="3023" width="8.42578125" style="10" bestFit="1" customWidth="1"/>
    <col min="3024" max="3024" width="16.85546875" style="10" customWidth="1"/>
    <col min="3025" max="3025" width="9.140625" style="10"/>
    <col min="3026" max="3026" width="11.28515625" style="10" customWidth="1"/>
    <col min="3027" max="3275" width="9.140625" style="10"/>
    <col min="3276" max="3276" width="37.42578125" style="10" customWidth="1"/>
    <col min="3277" max="3277" width="13.5703125" style="10" customWidth="1"/>
    <col min="3278" max="3278" width="14.42578125" style="10" customWidth="1"/>
    <col min="3279" max="3279" width="8.42578125" style="10" bestFit="1" customWidth="1"/>
    <col min="3280" max="3280" width="16.85546875" style="10" customWidth="1"/>
    <col min="3281" max="3281" width="9.140625" style="10"/>
    <col min="3282" max="3282" width="11.28515625" style="10" customWidth="1"/>
    <col min="3283" max="3531" width="9.140625" style="10"/>
    <col min="3532" max="3532" width="37.42578125" style="10" customWidth="1"/>
    <col min="3533" max="3533" width="13.5703125" style="10" customWidth="1"/>
    <col min="3534" max="3534" width="14.42578125" style="10" customWidth="1"/>
    <col min="3535" max="3535" width="8.42578125" style="10" bestFit="1" customWidth="1"/>
    <col min="3536" max="3536" width="16.85546875" style="10" customWidth="1"/>
    <col min="3537" max="3537" width="9.140625" style="10"/>
    <col min="3538" max="3538" width="11.28515625" style="10" customWidth="1"/>
    <col min="3539" max="3787" width="9.140625" style="10"/>
    <col min="3788" max="3788" width="37.42578125" style="10" customWidth="1"/>
    <col min="3789" max="3789" width="13.5703125" style="10" customWidth="1"/>
    <col min="3790" max="3790" width="14.42578125" style="10" customWidth="1"/>
    <col min="3791" max="3791" width="8.42578125" style="10" bestFit="1" customWidth="1"/>
    <col min="3792" max="3792" width="16.85546875" style="10" customWidth="1"/>
    <col min="3793" max="3793" width="9.140625" style="10"/>
    <col min="3794" max="3794" width="11.28515625" style="10" customWidth="1"/>
    <col min="3795" max="4043" width="9.140625" style="10"/>
    <col min="4044" max="4044" width="37.42578125" style="10" customWidth="1"/>
    <col min="4045" max="4045" width="13.5703125" style="10" customWidth="1"/>
    <col min="4046" max="4046" width="14.42578125" style="10" customWidth="1"/>
    <col min="4047" max="4047" width="8.42578125" style="10" bestFit="1" customWidth="1"/>
    <col min="4048" max="4048" width="16.85546875" style="10" customWidth="1"/>
    <col min="4049" max="4049" width="9.140625" style="10"/>
    <col min="4050" max="4050" width="11.28515625" style="10" customWidth="1"/>
    <col min="4051" max="4299" width="9.140625" style="10"/>
    <col min="4300" max="4300" width="37.42578125" style="10" customWidth="1"/>
    <col min="4301" max="4301" width="13.5703125" style="10" customWidth="1"/>
    <col min="4302" max="4302" width="14.42578125" style="10" customWidth="1"/>
    <col min="4303" max="4303" width="8.42578125" style="10" bestFit="1" customWidth="1"/>
    <col min="4304" max="4304" width="16.85546875" style="10" customWidth="1"/>
    <col min="4305" max="4305" width="9.140625" style="10"/>
    <col min="4306" max="4306" width="11.28515625" style="10" customWidth="1"/>
    <col min="4307" max="4555" width="9.140625" style="10"/>
    <col min="4556" max="4556" width="37.42578125" style="10" customWidth="1"/>
    <col min="4557" max="4557" width="13.5703125" style="10" customWidth="1"/>
    <col min="4558" max="4558" width="14.42578125" style="10" customWidth="1"/>
    <col min="4559" max="4559" width="8.42578125" style="10" bestFit="1" customWidth="1"/>
    <col min="4560" max="4560" width="16.85546875" style="10" customWidth="1"/>
    <col min="4561" max="4561" width="9.140625" style="10"/>
    <col min="4562" max="4562" width="11.28515625" style="10" customWidth="1"/>
    <col min="4563" max="4811" width="9.140625" style="10"/>
    <col min="4812" max="4812" width="37.42578125" style="10" customWidth="1"/>
    <col min="4813" max="4813" width="13.5703125" style="10" customWidth="1"/>
    <col min="4814" max="4814" width="14.42578125" style="10" customWidth="1"/>
    <col min="4815" max="4815" width="8.42578125" style="10" bestFit="1" customWidth="1"/>
    <col min="4816" max="4816" width="16.85546875" style="10" customWidth="1"/>
    <col min="4817" max="4817" width="9.140625" style="10"/>
    <col min="4818" max="4818" width="11.28515625" style="10" customWidth="1"/>
    <col min="4819" max="5067" width="9.140625" style="10"/>
    <col min="5068" max="5068" width="37.42578125" style="10" customWidth="1"/>
    <col min="5069" max="5069" width="13.5703125" style="10" customWidth="1"/>
    <col min="5070" max="5070" width="14.42578125" style="10" customWidth="1"/>
    <col min="5071" max="5071" width="8.42578125" style="10" bestFit="1" customWidth="1"/>
    <col min="5072" max="5072" width="16.85546875" style="10" customWidth="1"/>
    <col min="5073" max="5073" width="9.140625" style="10"/>
    <col min="5074" max="5074" width="11.28515625" style="10" customWidth="1"/>
    <col min="5075" max="5323" width="9.140625" style="10"/>
    <col min="5324" max="5324" width="37.42578125" style="10" customWidth="1"/>
    <col min="5325" max="5325" width="13.5703125" style="10" customWidth="1"/>
    <col min="5326" max="5326" width="14.42578125" style="10" customWidth="1"/>
    <col min="5327" max="5327" width="8.42578125" style="10" bestFit="1" customWidth="1"/>
    <col min="5328" max="5328" width="16.85546875" style="10" customWidth="1"/>
    <col min="5329" max="5329" width="9.140625" style="10"/>
    <col min="5330" max="5330" width="11.28515625" style="10" customWidth="1"/>
    <col min="5331" max="5579" width="9.140625" style="10"/>
    <col min="5580" max="5580" width="37.42578125" style="10" customWidth="1"/>
    <col min="5581" max="5581" width="13.5703125" style="10" customWidth="1"/>
    <col min="5582" max="5582" width="14.42578125" style="10" customWidth="1"/>
    <col min="5583" max="5583" width="8.42578125" style="10" bestFit="1" customWidth="1"/>
    <col min="5584" max="5584" width="16.85546875" style="10" customWidth="1"/>
    <col min="5585" max="5585" width="9.140625" style="10"/>
    <col min="5586" max="5586" width="11.28515625" style="10" customWidth="1"/>
    <col min="5587" max="5835" width="9.140625" style="10"/>
    <col min="5836" max="5836" width="37.42578125" style="10" customWidth="1"/>
    <col min="5837" max="5837" width="13.5703125" style="10" customWidth="1"/>
    <col min="5838" max="5838" width="14.42578125" style="10" customWidth="1"/>
    <col min="5839" max="5839" width="8.42578125" style="10" bestFit="1" customWidth="1"/>
    <col min="5840" max="5840" width="16.85546875" style="10" customWidth="1"/>
    <col min="5841" max="5841" width="9.140625" style="10"/>
    <col min="5842" max="5842" width="11.28515625" style="10" customWidth="1"/>
    <col min="5843" max="6091" width="9.140625" style="10"/>
    <col min="6092" max="6092" width="37.42578125" style="10" customWidth="1"/>
    <col min="6093" max="6093" width="13.5703125" style="10" customWidth="1"/>
    <col min="6094" max="6094" width="14.42578125" style="10" customWidth="1"/>
    <col min="6095" max="6095" width="8.42578125" style="10" bestFit="1" customWidth="1"/>
    <col min="6096" max="6096" width="16.85546875" style="10" customWidth="1"/>
    <col min="6097" max="6097" width="9.140625" style="10"/>
    <col min="6098" max="6098" width="11.28515625" style="10" customWidth="1"/>
    <col min="6099" max="6347" width="9.140625" style="10"/>
    <col min="6348" max="6348" width="37.42578125" style="10" customWidth="1"/>
    <col min="6349" max="6349" width="13.5703125" style="10" customWidth="1"/>
    <col min="6350" max="6350" width="14.42578125" style="10" customWidth="1"/>
    <col min="6351" max="6351" width="8.42578125" style="10" bestFit="1" customWidth="1"/>
    <col min="6352" max="6352" width="16.85546875" style="10" customWidth="1"/>
    <col min="6353" max="6353" width="9.140625" style="10"/>
    <col min="6354" max="6354" width="11.28515625" style="10" customWidth="1"/>
    <col min="6355" max="6603" width="9.140625" style="10"/>
    <col min="6604" max="6604" width="37.42578125" style="10" customWidth="1"/>
    <col min="6605" max="6605" width="13.5703125" style="10" customWidth="1"/>
    <col min="6606" max="6606" width="14.42578125" style="10" customWidth="1"/>
    <col min="6607" max="6607" width="8.42578125" style="10" bestFit="1" customWidth="1"/>
    <col min="6608" max="6608" width="16.85546875" style="10" customWidth="1"/>
    <col min="6609" max="6609" width="9.140625" style="10"/>
    <col min="6610" max="6610" width="11.28515625" style="10" customWidth="1"/>
    <col min="6611" max="6859" width="9.140625" style="10"/>
    <col min="6860" max="6860" width="37.42578125" style="10" customWidth="1"/>
    <col min="6861" max="6861" width="13.5703125" style="10" customWidth="1"/>
    <col min="6862" max="6862" width="14.42578125" style="10" customWidth="1"/>
    <col min="6863" max="6863" width="8.42578125" style="10" bestFit="1" customWidth="1"/>
    <col min="6864" max="6864" width="16.85546875" style="10" customWidth="1"/>
    <col min="6865" max="6865" width="9.140625" style="10"/>
    <col min="6866" max="6866" width="11.28515625" style="10" customWidth="1"/>
    <col min="6867" max="7115" width="9.140625" style="10"/>
    <col min="7116" max="7116" width="37.42578125" style="10" customWidth="1"/>
    <col min="7117" max="7117" width="13.5703125" style="10" customWidth="1"/>
    <col min="7118" max="7118" width="14.42578125" style="10" customWidth="1"/>
    <col min="7119" max="7119" width="8.42578125" style="10" bestFit="1" customWidth="1"/>
    <col min="7120" max="7120" width="16.85546875" style="10" customWidth="1"/>
    <col min="7121" max="7121" width="9.140625" style="10"/>
    <col min="7122" max="7122" width="11.28515625" style="10" customWidth="1"/>
    <col min="7123" max="7371" width="9.140625" style="10"/>
    <col min="7372" max="7372" width="37.42578125" style="10" customWidth="1"/>
    <col min="7373" max="7373" width="13.5703125" style="10" customWidth="1"/>
    <col min="7374" max="7374" width="14.42578125" style="10" customWidth="1"/>
    <col min="7375" max="7375" width="8.42578125" style="10" bestFit="1" customWidth="1"/>
    <col min="7376" max="7376" width="16.85546875" style="10" customWidth="1"/>
    <col min="7377" max="7377" width="9.140625" style="10"/>
    <col min="7378" max="7378" width="11.28515625" style="10" customWidth="1"/>
    <col min="7379" max="7627" width="9.140625" style="10"/>
    <col min="7628" max="7628" width="37.42578125" style="10" customWidth="1"/>
    <col min="7629" max="7629" width="13.5703125" style="10" customWidth="1"/>
    <col min="7630" max="7630" width="14.42578125" style="10" customWidth="1"/>
    <col min="7631" max="7631" width="8.42578125" style="10" bestFit="1" customWidth="1"/>
    <col min="7632" max="7632" width="16.85546875" style="10" customWidth="1"/>
    <col min="7633" max="7633" width="9.140625" style="10"/>
    <col min="7634" max="7634" width="11.28515625" style="10" customWidth="1"/>
    <col min="7635" max="7883" width="9.140625" style="10"/>
    <col min="7884" max="7884" width="37.42578125" style="10" customWidth="1"/>
    <col min="7885" max="7885" width="13.5703125" style="10" customWidth="1"/>
    <col min="7886" max="7886" width="14.42578125" style="10" customWidth="1"/>
    <col min="7887" max="7887" width="8.42578125" style="10" bestFit="1" customWidth="1"/>
    <col min="7888" max="7888" width="16.85546875" style="10" customWidth="1"/>
    <col min="7889" max="7889" width="9.140625" style="10"/>
    <col min="7890" max="7890" width="11.28515625" style="10" customWidth="1"/>
    <col min="7891" max="8139" width="9.140625" style="10"/>
    <col min="8140" max="8140" width="37.42578125" style="10" customWidth="1"/>
    <col min="8141" max="8141" width="13.5703125" style="10" customWidth="1"/>
    <col min="8142" max="8142" width="14.42578125" style="10" customWidth="1"/>
    <col min="8143" max="8143" width="8.42578125" style="10" bestFit="1" customWidth="1"/>
    <col min="8144" max="8144" width="16.85546875" style="10" customWidth="1"/>
    <col min="8145" max="8145" width="9.140625" style="10"/>
    <col min="8146" max="8146" width="11.28515625" style="10" customWidth="1"/>
    <col min="8147" max="8395" width="9.140625" style="10"/>
    <col min="8396" max="8396" width="37.42578125" style="10" customWidth="1"/>
    <col min="8397" max="8397" width="13.5703125" style="10" customWidth="1"/>
    <col min="8398" max="8398" width="14.42578125" style="10" customWidth="1"/>
    <col min="8399" max="8399" width="8.42578125" style="10" bestFit="1" customWidth="1"/>
    <col min="8400" max="8400" width="16.85546875" style="10" customWidth="1"/>
    <col min="8401" max="8401" width="9.140625" style="10"/>
    <col min="8402" max="8402" width="11.28515625" style="10" customWidth="1"/>
    <col min="8403" max="8651" width="9.140625" style="10"/>
    <col min="8652" max="8652" width="37.42578125" style="10" customWidth="1"/>
    <col min="8653" max="8653" width="13.5703125" style="10" customWidth="1"/>
    <col min="8654" max="8654" width="14.42578125" style="10" customWidth="1"/>
    <col min="8655" max="8655" width="8.42578125" style="10" bestFit="1" customWidth="1"/>
    <col min="8656" max="8656" width="16.85546875" style="10" customWidth="1"/>
    <col min="8657" max="8657" width="9.140625" style="10"/>
    <col min="8658" max="8658" width="11.28515625" style="10" customWidth="1"/>
    <col min="8659" max="8907" width="9.140625" style="10"/>
    <col min="8908" max="8908" width="37.42578125" style="10" customWidth="1"/>
    <col min="8909" max="8909" width="13.5703125" style="10" customWidth="1"/>
    <col min="8910" max="8910" width="14.42578125" style="10" customWidth="1"/>
    <col min="8911" max="8911" width="8.42578125" style="10" bestFit="1" customWidth="1"/>
    <col min="8912" max="8912" width="16.85546875" style="10" customWidth="1"/>
    <col min="8913" max="8913" width="9.140625" style="10"/>
    <col min="8914" max="8914" width="11.28515625" style="10" customWidth="1"/>
    <col min="8915" max="9163" width="9.140625" style="10"/>
    <col min="9164" max="9164" width="37.42578125" style="10" customWidth="1"/>
    <col min="9165" max="9165" width="13.5703125" style="10" customWidth="1"/>
    <col min="9166" max="9166" width="14.42578125" style="10" customWidth="1"/>
    <col min="9167" max="9167" width="8.42578125" style="10" bestFit="1" customWidth="1"/>
    <col min="9168" max="9168" width="16.85546875" style="10" customWidth="1"/>
    <col min="9169" max="9169" width="9.140625" style="10"/>
    <col min="9170" max="9170" width="11.28515625" style="10" customWidth="1"/>
    <col min="9171" max="9419" width="9.140625" style="10"/>
    <col min="9420" max="9420" width="37.42578125" style="10" customWidth="1"/>
    <col min="9421" max="9421" width="13.5703125" style="10" customWidth="1"/>
    <col min="9422" max="9422" width="14.42578125" style="10" customWidth="1"/>
    <col min="9423" max="9423" width="8.42578125" style="10" bestFit="1" customWidth="1"/>
    <col min="9424" max="9424" width="16.85546875" style="10" customWidth="1"/>
    <col min="9425" max="9425" width="9.140625" style="10"/>
    <col min="9426" max="9426" width="11.28515625" style="10" customWidth="1"/>
    <col min="9427" max="9675" width="9.140625" style="10"/>
    <col min="9676" max="9676" width="37.42578125" style="10" customWidth="1"/>
    <col min="9677" max="9677" width="13.5703125" style="10" customWidth="1"/>
    <col min="9678" max="9678" width="14.42578125" style="10" customWidth="1"/>
    <col min="9679" max="9679" width="8.42578125" style="10" bestFit="1" customWidth="1"/>
    <col min="9680" max="9680" width="16.85546875" style="10" customWidth="1"/>
    <col min="9681" max="9681" width="9.140625" style="10"/>
    <col min="9682" max="9682" width="11.28515625" style="10" customWidth="1"/>
    <col min="9683" max="9931" width="9.140625" style="10"/>
    <col min="9932" max="9932" width="37.42578125" style="10" customWidth="1"/>
    <col min="9933" max="9933" width="13.5703125" style="10" customWidth="1"/>
    <col min="9934" max="9934" width="14.42578125" style="10" customWidth="1"/>
    <col min="9935" max="9935" width="8.42578125" style="10" bestFit="1" customWidth="1"/>
    <col min="9936" max="9936" width="16.85546875" style="10" customWidth="1"/>
    <col min="9937" max="9937" width="9.140625" style="10"/>
    <col min="9938" max="9938" width="11.28515625" style="10" customWidth="1"/>
    <col min="9939" max="10187" width="9.140625" style="10"/>
    <col min="10188" max="10188" width="37.42578125" style="10" customWidth="1"/>
    <col min="10189" max="10189" width="13.5703125" style="10" customWidth="1"/>
    <col min="10190" max="10190" width="14.42578125" style="10" customWidth="1"/>
    <col min="10191" max="10191" width="8.42578125" style="10" bestFit="1" customWidth="1"/>
    <col min="10192" max="10192" width="16.85546875" style="10" customWidth="1"/>
    <col min="10193" max="10193" width="9.140625" style="10"/>
    <col min="10194" max="10194" width="11.28515625" style="10" customWidth="1"/>
    <col min="10195" max="10443" width="9.140625" style="10"/>
    <col min="10444" max="10444" width="37.42578125" style="10" customWidth="1"/>
    <col min="10445" max="10445" width="13.5703125" style="10" customWidth="1"/>
    <col min="10446" max="10446" width="14.42578125" style="10" customWidth="1"/>
    <col min="10447" max="10447" width="8.42578125" style="10" bestFit="1" customWidth="1"/>
    <col min="10448" max="10448" width="16.85546875" style="10" customWidth="1"/>
    <col min="10449" max="10449" width="9.140625" style="10"/>
    <col min="10450" max="10450" width="11.28515625" style="10" customWidth="1"/>
    <col min="10451" max="10699" width="9.140625" style="10"/>
    <col min="10700" max="10700" width="37.42578125" style="10" customWidth="1"/>
    <col min="10701" max="10701" width="13.5703125" style="10" customWidth="1"/>
    <col min="10702" max="10702" width="14.42578125" style="10" customWidth="1"/>
    <col min="10703" max="10703" width="8.42578125" style="10" bestFit="1" customWidth="1"/>
    <col min="10704" max="10704" width="16.85546875" style="10" customWidth="1"/>
    <col min="10705" max="10705" width="9.140625" style="10"/>
    <col min="10706" max="10706" width="11.28515625" style="10" customWidth="1"/>
    <col min="10707" max="10955" width="9.140625" style="10"/>
    <col min="10956" max="10956" width="37.42578125" style="10" customWidth="1"/>
    <col min="10957" max="10957" width="13.5703125" style="10" customWidth="1"/>
    <col min="10958" max="10958" width="14.42578125" style="10" customWidth="1"/>
    <col min="10959" max="10959" width="8.42578125" style="10" bestFit="1" customWidth="1"/>
    <col min="10960" max="10960" width="16.85546875" style="10" customWidth="1"/>
    <col min="10961" max="10961" width="9.140625" style="10"/>
    <col min="10962" max="10962" width="11.28515625" style="10" customWidth="1"/>
    <col min="10963" max="11211" width="9.140625" style="10"/>
    <col min="11212" max="11212" width="37.42578125" style="10" customWidth="1"/>
    <col min="11213" max="11213" width="13.5703125" style="10" customWidth="1"/>
    <col min="11214" max="11214" width="14.42578125" style="10" customWidth="1"/>
    <col min="11215" max="11215" width="8.42578125" style="10" bestFit="1" customWidth="1"/>
    <col min="11216" max="11216" width="16.85546875" style="10" customWidth="1"/>
    <col min="11217" max="11217" width="9.140625" style="10"/>
    <col min="11218" max="11218" width="11.28515625" style="10" customWidth="1"/>
    <col min="11219" max="11467" width="9.140625" style="10"/>
    <col min="11468" max="11468" width="37.42578125" style="10" customWidth="1"/>
    <col min="11469" max="11469" width="13.5703125" style="10" customWidth="1"/>
    <col min="11470" max="11470" width="14.42578125" style="10" customWidth="1"/>
    <col min="11471" max="11471" width="8.42578125" style="10" bestFit="1" customWidth="1"/>
    <col min="11472" max="11472" width="16.85546875" style="10" customWidth="1"/>
    <col min="11473" max="11473" width="9.140625" style="10"/>
    <col min="11474" max="11474" width="11.28515625" style="10" customWidth="1"/>
    <col min="11475" max="11723" width="9.140625" style="10"/>
    <col min="11724" max="11724" width="37.42578125" style="10" customWidth="1"/>
    <col min="11725" max="11725" width="13.5703125" style="10" customWidth="1"/>
    <col min="11726" max="11726" width="14.42578125" style="10" customWidth="1"/>
    <col min="11727" max="11727" width="8.42578125" style="10" bestFit="1" customWidth="1"/>
    <col min="11728" max="11728" width="16.85546875" style="10" customWidth="1"/>
    <col min="11729" max="11729" width="9.140625" style="10"/>
    <col min="11730" max="11730" width="11.28515625" style="10" customWidth="1"/>
    <col min="11731" max="11979" width="9.140625" style="10"/>
    <col min="11980" max="11980" width="37.42578125" style="10" customWidth="1"/>
    <col min="11981" max="11981" width="13.5703125" style="10" customWidth="1"/>
    <col min="11982" max="11982" width="14.42578125" style="10" customWidth="1"/>
    <col min="11983" max="11983" width="8.42578125" style="10" bestFit="1" customWidth="1"/>
    <col min="11984" max="11984" width="16.85546875" style="10" customWidth="1"/>
    <col min="11985" max="11985" width="9.140625" style="10"/>
    <col min="11986" max="11986" width="11.28515625" style="10" customWidth="1"/>
    <col min="11987" max="12235" width="9.140625" style="10"/>
    <col min="12236" max="12236" width="37.42578125" style="10" customWidth="1"/>
    <col min="12237" max="12237" width="13.5703125" style="10" customWidth="1"/>
    <col min="12238" max="12238" width="14.42578125" style="10" customWidth="1"/>
    <col min="12239" max="12239" width="8.42578125" style="10" bestFit="1" customWidth="1"/>
    <col min="12240" max="12240" width="16.85546875" style="10" customWidth="1"/>
    <col min="12241" max="12241" width="9.140625" style="10"/>
    <col min="12242" max="12242" width="11.28515625" style="10" customWidth="1"/>
    <col min="12243" max="12491" width="9.140625" style="10"/>
    <col min="12492" max="12492" width="37.42578125" style="10" customWidth="1"/>
    <col min="12493" max="12493" width="13.5703125" style="10" customWidth="1"/>
    <col min="12494" max="12494" width="14.42578125" style="10" customWidth="1"/>
    <col min="12495" max="12495" width="8.42578125" style="10" bestFit="1" customWidth="1"/>
    <col min="12496" max="12496" width="16.85546875" style="10" customWidth="1"/>
    <col min="12497" max="12497" width="9.140625" style="10"/>
    <col min="12498" max="12498" width="11.28515625" style="10" customWidth="1"/>
    <col min="12499" max="12747" width="9.140625" style="10"/>
    <col min="12748" max="12748" width="37.42578125" style="10" customWidth="1"/>
    <col min="12749" max="12749" width="13.5703125" style="10" customWidth="1"/>
    <col min="12750" max="12750" width="14.42578125" style="10" customWidth="1"/>
    <col min="12751" max="12751" width="8.42578125" style="10" bestFit="1" customWidth="1"/>
    <col min="12752" max="12752" width="16.85546875" style="10" customWidth="1"/>
    <col min="12753" max="12753" width="9.140625" style="10"/>
    <col min="12754" max="12754" width="11.28515625" style="10" customWidth="1"/>
    <col min="12755" max="13003" width="9.140625" style="10"/>
    <col min="13004" max="13004" width="37.42578125" style="10" customWidth="1"/>
    <col min="13005" max="13005" width="13.5703125" style="10" customWidth="1"/>
    <col min="13006" max="13006" width="14.42578125" style="10" customWidth="1"/>
    <col min="13007" max="13007" width="8.42578125" style="10" bestFit="1" customWidth="1"/>
    <col min="13008" max="13008" width="16.85546875" style="10" customWidth="1"/>
    <col min="13009" max="13009" width="9.140625" style="10"/>
    <col min="13010" max="13010" width="11.28515625" style="10" customWidth="1"/>
    <col min="13011" max="13259" width="9.140625" style="10"/>
    <col min="13260" max="13260" width="37.42578125" style="10" customWidth="1"/>
    <col min="13261" max="13261" width="13.5703125" style="10" customWidth="1"/>
    <col min="13262" max="13262" width="14.42578125" style="10" customWidth="1"/>
    <col min="13263" max="13263" width="8.42578125" style="10" bestFit="1" customWidth="1"/>
    <col min="13264" max="13264" width="16.85546875" style="10" customWidth="1"/>
    <col min="13265" max="13265" width="9.140625" style="10"/>
    <col min="13266" max="13266" width="11.28515625" style="10" customWidth="1"/>
    <col min="13267" max="13515" width="9.140625" style="10"/>
    <col min="13516" max="13516" width="37.42578125" style="10" customWidth="1"/>
    <col min="13517" max="13517" width="13.5703125" style="10" customWidth="1"/>
    <col min="13518" max="13518" width="14.42578125" style="10" customWidth="1"/>
    <col min="13519" max="13519" width="8.42578125" style="10" bestFit="1" customWidth="1"/>
    <col min="13520" max="13520" width="16.85546875" style="10" customWidth="1"/>
    <col min="13521" max="13521" width="9.140625" style="10"/>
    <col min="13522" max="13522" width="11.28515625" style="10" customWidth="1"/>
    <col min="13523" max="13771" width="9.140625" style="10"/>
    <col min="13772" max="13772" width="37.42578125" style="10" customWidth="1"/>
    <col min="13773" max="13773" width="13.5703125" style="10" customWidth="1"/>
    <col min="13774" max="13774" width="14.42578125" style="10" customWidth="1"/>
    <col min="13775" max="13775" width="8.42578125" style="10" bestFit="1" customWidth="1"/>
    <col min="13776" max="13776" width="16.85546875" style="10" customWidth="1"/>
    <col min="13777" max="13777" width="9.140625" style="10"/>
    <col min="13778" max="13778" width="11.28515625" style="10" customWidth="1"/>
    <col min="13779" max="14027" width="9.140625" style="10"/>
    <col min="14028" max="14028" width="37.42578125" style="10" customWidth="1"/>
    <col min="14029" max="14029" width="13.5703125" style="10" customWidth="1"/>
    <col min="14030" max="14030" width="14.42578125" style="10" customWidth="1"/>
    <col min="14031" max="14031" width="8.42578125" style="10" bestFit="1" customWidth="1"/>
    <col min="14032" max="14032" width="16.85546875" style="10" customWidth="1"/>
    <col min="14033" max="14033" width="9.140625" style="10"/>
    <col min="14034" max="14034" width="11.28515625" style="10" customWidth="1"/>
    <col min="14035" max="14283" width="9.140625" style="10"/>
    <col min="14284" max="14284" width="37.42578125" style="10" customWidth="1"/>
    <col min="14285" max="14285" width="13.5703125" style="10" customWidth="1"/>
    <col min="14286" max="14286" width="14.42578125" style="10" customWidth="1"/>
    <col min="14287" max="14287" width="8.42578125" style="10" bestFit="1" customWidth="1"/>
    <col min="14288" max="14288" width="16.85546875" style="10" customWidth="1"/>
    <col min="14289" max="14289" width="9.140625" style="10"/>
    <col min="14290" max="14290" width="11.28515625" style="10" customWidth="1"/>
    <col min="14291" max="14539" width="9.140625" style="10"/>
    <col min="14540" max="14540" width="37.42578125" style="10" customWidth="1"/>
    <col min="14541" max="14541" width="13.5703125" style="10" customWidth="1"/>
    <col min="14542" max="14542" width="14.42578125" style="10" customWidth="1"/>
    <col min="14543" max="14543" width="8.42578125" style="10" bestFit="1" customWidth="1"/>
    <col min="14544" max="14544" width="16.85546875" style="10" customWidth="1"/>
    <col min="14545" max="14545" width="9.140625" style="10"/>
    <col min="14546" max="14546" width="11.28515625" style="10" customWidth="1"/>
    <col min="14547" max="14795" width="9.140625" style="10"/>
    <col min="14796" max="14796" width="37.42578125" style="10" customWidth="1"/>
    <col min="14797" max="14797" width="13.5703125" style="10" customWidth="1"/>
    <col min="14798" max="14798" width="14.42578125" style="10" customWidth="1"/>
    <col min="14799" max="14799" width="8.42578125" style="10" bestFit="1" customWidth="1"/>
    <col min="14800" max="14800" width="16.85546875" style="10" customWidth="1"/>
    <col min="14801" max="14801" width="9.140625" style="10"/>
    <col min="14802" max="14802" width="11.28515625" style="10" customWidth="1"/>
    <col min="14803" max="15051" width="9.140625" style="10"/>
    <col min="15052" max="15052" width="37.42578125" style="10" customWidth="1"/>
    <col min="15053" max="15053" width="13.5703125" style="10" customWidth="1"/>
    <col min="15054" max="15054" width="14.42578125" style="10" customWidth="1"/>
    <col min="15055" max="15055" width="8.42578125" style="10" bestFit="1" customWidth="1"/>
    <col min="15056" max="15056" width="16.85546875" style="10" customWidth="1"/>
    <col min="15057" max="15057" width="9.140625" style="10"/>
    <col min="15058" max="15058" width="11.28515625" style="10" customWidth="1"/>
    <col min="15059" max="15307" width="9.140625" style="10"/>
    <col min="15308" max="15308" width="37.42578125" style="10" customWidth="1"/>
    <col min="15309" max="15309" width="13.5703125" style="10" customWidth="1"/>
    <col min="15310" max="15310" width="14.42578125" style="10" customWidth="1"/>
    <col min="15311" max="15311" width="8.42578125" style="10" bestFit="1" customWidth="1"/>
    <col min="15312" max="15312" width="16.85546875" style="10" customWidth="1"/>
    <col min="15313" max="15313" width="9.140625" style="10"/>
    <col min="15314" max="15314" width="11.28515625" style="10" customWidth="1"/>
    <col min="15315" max="15563" width="9.140625" style="10"/>
    <col min="15564" max="15564" width="37.42578125" style="10" customWidth="1"/>
    <col min="15565" max="15565" width="13.5703125" style="10" customWidth="1"/>
    <col min="15566" max="15566" width="14.42578125" style="10" customWidth="1"/>
    <col min="15567" max="15567" width="8.42578125" style="10" bestFit="1" customWidth="1"/>
    <col min="15568" max="15568" width="16.85546875" style="10" customWidth="1"/>
    <col min="15569" max="15569" width="9.140625" style="10"/>
    <col min="15570" max="15570" width="11.28515625" style="10" customWidth="1"/>
    <col min="15571" max="15819" width="9.140625" style="10"/>
    <col min="15820" max="15820" width="37.42578125" style="10" customWidth="1"/>
    <col min="15821" max="15821" width="13.5703125" style="10" customWidth="1"/>
    <col min="15822" max="15822" width="14.42578125" style="10" customWidth="1"/>
    <col min="15823" max="15823" width="8.42578125" style="10" bestFit="1" customWidth="1"/>
    <col min="15824" max="15824" width="16.85546875" style="10" customWidth="1"/>
    <col min="15825" max="15825" width="9.140625" style="10"/>
    <col min="15826" max="15826" width="11.28515625" style="10" customWidth="1"/>
    <col min="15827" max="16075" width="9.140625" style="10"/>
    <col min="16076" max="16076" width="37.42578125" style="10" customWidth="1"/>
    <col min="16077" max="16077" width="13.5703125" style="10" customWidth="1"/>
    <col min="16078" max="16078" width="14.42578125" style="10" customWidth="1"/>
    <col min="16079" max="16079" width="8.42578125" style="10" bestFit="1" customWidth="1"/>
    <col min="16080" max="16080" width="16.85546875" style="10" customWidth="1"/>
    <col min="16081" max="16081" width="9.140625" style="10"/>
    <col min="16082" max="16082" width="11.28515625" style="10" customWidth="1"/>
    <col min="16083" max="16384" width="9.140625" style="10"/>
  </cols>
  <sheetData>
    <row r="1" spans="1:19" ht="15.75" x14ac:dyDescent="0.2">
      <c r="A1" s="685" t="s">
        <v>46</v>
      </c>
      <c r="B1" s="686"/>
      <c r="C1" s="686"/>
      <c r="D1" s="687"/>
      <c r="E1" s="688"/>
      <c r="F1" s="9"/>
    </row>
    <row r="2" spans="1:19" ht="25.5" x14ac:dyDescent="0.2">
      <c r="A2" s="12" t="s">
        <v>47</v>
      </c>
      <c r="B2" s="313" t="str">
        <f>'BOM R2D CatWalk'!I114</f>
        <v>WELDMENT,SKATE BODY, REVERSE VEE, PC4100</v>
      </c>
      <c r="C2" s="13"/>
      <c r="D2" s="13" t="s">
        <v>48</v>
      </c>
      <c r="E2" s="85"/>
    </row>
    <row r="3" spans="1:19" ht="13.5" thickBot="1" x14ac:dyDescent="0.25">
      <c r="A3" s="12" t="s">
        <v>49</v>
      </c>
      <c r="B3" s="313" t="str">
        <f>'BOM R2D CatWalk'!G114</f>
        <v>AY30107</v>
      </c>
      <c r="C3" s="13"/>
      <c r="D3" s="13" t="s">
        <v>50</v>
      </c>
      <c r="E3" s="15">
        <f>'BOM R2D CatWalk'!K114</f>
        <v>1</v>
      </c>
      <c r="F3" s="9"/>
    </row>
    <row r="4" spans="1:19" ht="16.5" customHeight="1" thickBot="1" x14ac:dyDescent="0.25">
      <c r="A4" s="12" t="s">
        <v>51</v>
      </c>
      <c r="B4" s="86">
        <f>'BOM R2D CatWalk'!N114</f>
        <v>80</v>
      </c>
      <c r="C4" s="16"/>
      <c r="D4" s="147"/>
      <c r="E4" s="17"/>
      <c r="F4" s="9"/>
      <c r="I4" s="707" t="s">
        <v>685</v>
      </c>
      <c r="J4" s="708"/>
      <c r="K4" s="708"/>
      <c r="L4" s="708"/>
      <c r="M4" s="708"/>
      <c r="N4" s="708"/>
      <c r="O4" s="708"/>
      <c r="P4" s="359" t="str">
        <f>'RM Details'!H87</f>
        <v>AY30107</v>
      </c>
      <c r="Q4" s="359"/>
      <c r="R4" s="359"/>
      <c r="S4" s="360"/>
    </row>
    <row r="5" spans="1:19" ht="21.75" customHeight="1" thickBot="1" x14ac:dyDescent="0.25">
      <c r="A5" s="691" t="s">
        <v>52</v>
      </c>
      <c r="B5" s="692"/>
      <c r="C5" s="692"/>
      <c r="D5" s="693"/>
      <c r="E5" s="694"/>
      <c r="F5" s="18"/>
      <c r="I5" s="377" t="s">
        <v>0</v>
      </c>
      <c r="J5" s="377" t="s">
        <v>13</v>
      </c>
      <c r="K5" s="377" t="s">
        <v>154</v>
      </c>
      <c r="L5" s="377" t="s">
        <v>544</v>
      </c>
      <c r="M5" s="378" t="s">
        <v>551</v>
      </c>
      <c r="N5" s="378" t="s">
        <v>552</v>
      </c>
      <c r="O5" s="377" t="s">
        <v>548</v>
      </c>
      <c r="P5" s="377" t="s">
        <v>34</v>
      </c>
      <c r="Q5" s="377" t="s">
        <v>549</v>
      </c>
      <c r="R5" s="377" t="s">
        <v>547</v>
      </c>
      <c r="S5" s="377" t="s">
        <v>156</v>
      </c>
    </row>
    <row r="6" spans="1:19" ht="16.5" thickBot="1" x14ac:dyDescent="0.25">
      <c r="A6" s="695" t="s">
        <v>53</v>
      </c>
      <c r="B6" s="696"/>
      <c r="C6" s="696"/>
      <c r="D6" s="697"/>
      <c r="E6" s="698"/>
      <c r="F6" s="18"/>
      <c r="G6" s="19"/>
      <c r="H6" s="19"/>
      <c r="I6" s="143">
        <v>1</v>
      </c>
      <c r="J6" s="143" t="s">
        <v>21</v>
      </c>
      <c r="K6" s="143">
        <v>10</v>
      </c>
      <c r="L6" s="143" t="s">
        <v>543</v>
      </c>
      <c r="M6" s="145">
        <f>'RM Details'!E89</f>
        <v>2</v>
      </c>
      <c r="N6" s="145">
        <f>'RM Details'!F89</f>
        <v>4.1130231999999998</v>
      </c>
      <c r="O6" s="145"/>
      <c r="P6" s="145"/>
      <c r="Q6" s="145">
        <f t="shared" ref="Q6:Q8" si="0">IF(O6&gt;N6,O6,IF(O6&lt;N6,N6))</f>
        <v>4.1130231999999998</v>
      </c>
      <c r="R6" s="145">
        <v>90</v>
      </c>
      <c r="S6" s="145">
        <f t="shared" ref="S6" si="1">R6*Q6</f>
        <v>370.17208799999997</v>
      </c>
    </row>
    <row r="7" spans="1:19" ht="26.25" thickBot="1" x14ac:dyDescent="0.25">
      <c r="A7" s="20" t="s">
        <v>54</v>
      </c>
      <c r="B7" s="21"/>
      <c r="C7" s="21"/>
      <c r="D7" s="21" t="s">
        <v>573</v>
      </c>
      <c r="E7" s="21" t="s">
        <v>572</v>
      </c>
      <c r="F7" s="18"/>
      <c r="G7" s="1"/>
      <c r="H7" s="1"/>
      <c r="I7" s="143">
        <v>2</v>
      </c>
      <c r="J7" s="143" t="s">
        <v>21</v>
      </c>
      <c r="K7" s="143">
        <v>20</v>
      </c>
      <c r="L7" s="110" t="s">
        <v>542</v>
      </c>
      <c r="M7" s="145">
        <f>'RM Details'!E90</f>
        <v>28</v>
      </c>
      <c r="N7" s="145">
        <f>'RM Details'!F90</f>
        <v>38.745590400000005</v>
      </c>
      <c r="O7" s="145"/>
      <c r="P7" s="145"/>
      <c r="Q7" s="145">
        <f t="shared" si="0"/>
        <v>38.745590400000005</v>
      </c>
      <c r="R7" s="145">
        <v>90</v>
      </c>
      <c r="S7" s="145">
        <f>R7*Q7</f>
        <v>3487.1031360000006</v>
      </c>
    </row>
    <row r="8" spans="1:19" ht="17.25" customHeight="1" x14ac:dyDescent="0.2">
      <c r="A8" s="23" t="s">
        <v>55</v>
      </c>
      <c r="B8" s="24"/>
      <c r="C8" s="25"/>
      <c r="D8" s="25">
        <f>Q6</f>
        <v>4.1130231999999998</v>
      </c>
      <c r="E8" s="26">
        <f>Q7+Q8</f>
        <v>133.329710525</v>
      </c>
      <c r="F8" s="18">
        <f>SUM(C8:E8)</f>
        <v>137.44273372499998</v>
      </c>
      <c r="G8" s="1"/>
      <c r="I8" s="143">
        <v>3</v>
      </c>
      <c r="J8" s="143" t="s">
        <v>21</v>
      </c>
      <c r="K8" s="143">
        <v>25</v>
      </c>
      <c r="L8" s="110" t="s">
        <v>542</v>
      </c>
      <c r="M8" s="145">
        <f>'RM Details'!E91</f>
        <v>50.5</v>
      </c>
      <c r="N8" s="145">
        <f>'RM Details'!F91</f>
        <v>94.584120124999998</v>
      </c>
      <c r="O8" s="320"/>
      <c r="P8" s="145"/>
      <c r="Q8" s="145">
        <f t="shared" si="0"/>
        <v>94.584120124999998</v>
      </c>
      <c r="R8" s="145">
        <v>90</v>
      </c>
      <c r="S8" s="145">
        <f>R8*Q8</f>
        <v>8512.5708112499997</v>
      </c>
    </row>
    <row r="9" spans="1:19" ht="18" customHeight="1" x14ac:dyDescent="0.2">
      <c r="A9" s="27" t="s">
        <v>56</v>
      </c>
      <c r="B9" s="77"/>
      <c r="C9" s="28"/>
      <c r="D9" s="28">
        <f>M6</f>
        <v>2</v>
      </c>
      <c r="E9" s="74">
        <f>M7+M8</f>
        <v>78.5</v>
      </c>
      <c r="F9" s="18">
        <f>SUM(C9:E9)</f>
        <v>80.5</v>
      </c>
      <c r="G9" s="1"/>
      <c r="H9" s="1"/>
      <c r="I9" s="341"/>
      <c r="J9" s="341"/>
      <c r="K9" s="341" t="s">
        <v>45</v>
      </c>
      <c r="L9" s="341"/>
      <c r="M9" s="342">
        <f>SUM(M6:M8)</f>
        <v>80.5</v>
      </c>
      <c r="N9" s="342">
        <f>SUM(N6:N8)</f>
        <v>137.44273372500001</v>
      </c>
      <c r="O9" s="346"/>
      <c r="P9" s="346"/>
      <c r="Q9" s="342">
        <f>SUM(Q6:Q8)</f>
        <v>137.44273372500001</v>
      </c>
      <c r="R9" s="145">
        <f>S9/Q9</f>
        <v>90</v>
      </c>
      <c r="S9" s="342">
        <f>SUM(S6:S8)</f>
        <v>12369.846035250001</v>
      </c>
    </row>
    <row r="10" spans="1:19" ht="15" x14ac:dyDescent="0.2">
      <c r="A10" s="29" t="s">
        <v>57</v>
      </c>
      <c r="B10" s="78"/>
      <c r="C10" s="30"/>
      <c r="D10" s="30">
        <f t="shared" ref="D10" si="2">(D8-D9)*80%</f>
        <v>1.6904185599999999</v>
      </c>
      <c r="E10" s="30">
        <f t="shared" ref="E10" si="3">(E8-E9)*80%</f>
        <v>43.86376842</v>
      </c>
      <c r="F10" s="31">
        <f>(F8-F9)/F9</f>
        <v>0.70736315186335386</v>
      </c>
      <c r="G10" s="32"/>
      <c r="H10" s="32"/>
    </row>
    <row r="11" spans="1:19" ht="15" x14ac:dyDescent="0.25">
      <c r="A11" s="33" t="s">
        <v>58</v>
      </c>
      <c r="B11" s="34"/>
      <c r="C11" s="35"/>
      <c r="D11" s="35">
        <f>R6</f>
        <v>90</v>
      </c>
      <c r="E11" s="35">
        <f>R7</f>
        <v>90</v>
      </c>
      <c r="F11" s="18">
        <f>SUMPRODUCT(B11:E11,B8:E8)</f>
        <v>12369.846035249999</v>
      </c>
      <c r="G11"/>
      <c r="H11"/>
    </row>
    <row r="12" spans="1:19" ht="15.75" thickBot="1" x14ac:dyDescent="0.3">
      <c r="A12" s="29" t="s">
        <v>59</v>
      </c>
      <c r="B12" s="352"/>
      <c r="C12" s="353"/>
      <c r="D12" s="353">
        <v>30</v>
      </c>
      <c r="E12" s="353">
        <v>30</v>
      </c>
      <c r="F12" s="18"/>
      <c r="G12"/>
      <c r="H12"/>
    </row>
    <row r="13" spans="1:19" ht="15.75" thickBot="1" x14ac:dyDescent="0.3">
      <c r="A13" s="36" t="s">
        <v>60</v>
      </c>
      <c r="B13" s="349"/>
      <c r="C13" s="349"/>
      <c r="D13" s="349">
        <f>(D8*D11)-(D10*D12)</f>
        <v>319.45953119999996</v>
      </c>
      <c r="E13" s="349">
        <f>(E8*E11)-(E10*E12)</f>
        <v>10683.76089465</v>
      </c>
      <c r="F13" s="37">
        <f>SUM(B13:E13)</f>
        <v>11003.220425850001</v>
      </c>
      <c r="G13"/>
      <c r="H13"/>
    </row>
    <row r="14" spans="1:19" ht="15.75" thickBot="1" x14ac:dyDescent="0.25">
      <c r="A14" s="38" t="s">
        <v>61</v>
      </c>
      <c r="B14" s="680">
        <f>SUM(B13:E13)</f>
        <v>11003.220425850001</v>
      </c>
      <c r="C14" s="682"/>
      <c r="D14" s="683"/>
      <c r="E14" s="684"/>
      <c r="F14" s="39">
        <f>F13/F8</f>
        <v>80.056763479876736</v>
      </c>
      <c r="G14" s="32"/>
      <c r="H14" s="32"/>
    </row>
    <row r="15" spans="1:19" ht="15" x14ac:dyDescent="0.25">
      <c r="A15" s="663" t="s">
        <v>62</v>
      </c>
      <c r="B15" s="664"/>
      <c r="C15" s="664"/>
      <c r="D15" s="665"/>
      <c r="E15" s="666"/>
      <c r="F15" s="18"/>
      <c r="G15"/>
      <c r="H15"/>
    </row>
    <row r="16" spans="1:19" ht="24.75" customHeight="1" x14ac:dyDescent="0.2">
      <c r="A16" s="317" t="s">
        <v>63</v>
      </c>
      <c r="B16" s="41"/>
      <c r="C16" s="42"/>
      <c r="D16" s="150"/>
      <c r="E16" s="43"/>
      <c r="F16" s="18"/>
      <c r="G16" s="32"/>
      <c r="H16" s="32"/>
    </row>
    <row r="17" spans="1:8" ht="20.25" customHeight="1" x14ac:dyDescent="0.2">
      <c r="A17" s="667" t="s">
        <v>64</v>
      </c>
      <c r="B17" s="668"/>
      <c r="C17" s="668"/>
      <c r="D17" s="151"/>
      <c r="E17" s="45">
        <f>SUM(E16:E16)</f>
        <v>0</v>
      </c>
      <c r="F17" s="84"/>
    </row>
    <row r="18" spans="1:8" ht="13.5" thickBot="1" x14ac:dyDescent="0.25">
      <c r="A18" s="669" t="s">
        <v>65</v>
      </c>
      <c r="B18" s="670"/>
      <c r="C18" s="670"/>
      <c r="D18" s="152"/>
      <c r="E18" s="46">
        <f>B14+E17</f>
        <v>11003.220425850001</v>
      </c>
      <c r="F18" s="18"/>
    </row>
    <row r="19" spans="1:8" ht="22.5" customHeight="1" x14ac:dyDescent="0.2">
      <c r="A19" s="671" t="s">
        <v>66</v>
      </c>
      <c r="B19" s="672"/>
      <c r="C19" s="672"/>
      <c r="D19" s="673"/>
      <c r="E19" s="674"/>
      <c r="F19" s="18"/>
    </row>
    <row r="20" spans="1:8" x14ac:dyDescent="0.2">
      <c r="A20" s="47" t="s">
        <v>54</v>
      </c>
      <c r="B20" s="48" t="s">
        <v>23</v>
      </c>
      <c r="C20" s="49" t="s">
        <v>67</v>
      </c>
      <c r="D20" s="50"/>
      <c r="E20" s="51" t="s">
        <v>68</v>
      </c>
      <c r="F20" s="18"/>
    </row>
    <row r="21" spans="1:8" ht="18" customHeight="1" x14ac:dyDescent="0.2">
      <c r="A21" s="52" t="s">
        <v>69</v>
      </c>
      <c r="B21" s="53">
        <f>'BOM R2D CatWalk'!X114</f>
        <v>9.3070164801864781</v>
      </c>
      <c r="C21" s="54">
        <v>35</v>
      </c>
      <c r="D21" s="55"/>
      <c r="E21" s="45">
        <f t="shared" ref="E21:E27" si="4">B21*C21</f>
        <v>325.74557680652674</v>
      </c>
      <c r="F21" s="56"/>
      <c r="G21" s="69">
        <f>E21/$F$9</f>
        <v>4.0465289044289037</v>
      </c>
      <c r="H21" s="69"/>
    </row>
    <row r="22" spans="1:8" ht="20.25" customHeight="1" x14ac:dyDescent="0.2">
      <c r="A22" s="52" t="s">
        <v>70</v>
      </c>
      <c r="B22" s="53">
        <v>2</v>
      </c>
      <c r="C22" s="54">
        <v>750</v>
      </c>
      <c r="D22" s="55"/>
      <c r="E22" s="45">
        <f t="shared" si="4"/>
        <v>1500</v>
      </c>
      <c r="F22" s="56"/>
      <c r="G22" s="69">
        <f t="shared" ref="G22:G35" si="5">E22/$F$9</f>
        <v>18.633540372670808</v>
      </c>
      <c r="H22" s="69"/>
    </row>
    <row r="23" spans="1:8" ht="18" customHeight="1" x14ac:dyDescent="0.2">
      <c r="A23" s="52" t="s">
        <v>71</v>
      </c>
      <c r="B23" s="53">
        <f>'BOM R2D CatWalk'!Z114</f>
        <v>0</v>
      </c>
      <c r="C23" s="54">
        <v>100</v>
      </c>
      <c r="D23" s="55"/>
      <c r="E23" s="45">
        <f t="shared" si="4"/>
        <v>0</v>
      </c>
      <c r="F23" s="79"/>
      <c r="G23" s="69">
        <f t="shared" si="5"/>
        <v>0</v>
      </c>
      <c r="H23" s="69"/>
    </row>
    <row r="24" spans="1:8" ht="18" customHeight="1" x14ac:dyDescent="0.2">
      <c r="A24" s="52" t="s">
        <v>72</v>
      </c>
      <c r="B24" s="53">
        <f>'BOM R2D CatWalk'!AF114</f>
        <v>12.571200000000001</v>
      </c>
      <c r="C24" s="54">
        <v>250</v>
      </c>
      <c r="D24" s="55"/>
      <c r="E24" s="45">
        <f t="shared" si="4"/>
        <v>3142.8</v>
      </c>
      <c r="F24" s="56"/>
      <c r="G24" s="69">
        <f t="shared" si="5"/>
        <v>39.040993788819875</v>
      </c>
      <c r="H24" s="69"/>
    </row>
    <row r="25" spans="1:8" ht="18" customHeight="1" x14ac:dyDescent="0.2">
      <c r="A25" s="52" t="s">
        <v>73</v>
      </c>
      <c r="B25" s="53">
        <f>B24/12</f>
        <v>1.0476000000000001</v>
      </c>
      <c r="C25" s="54">
        <v>250</v>
      </c>
      <c r="D25" s="55"/>
      <c r="E25" s="45">
        <f t="shared" si="4"/>
        <v>261.90000000000003</v>
      </c>
      <c r="F25" s="56"/>
      <c r="G25" s="69">
        <f t="shared" si="5"/>
        <v>3.2534161490683235</v>
      </c>
      <c r="H25" s="69"/>
    </row>
    <row r="26" spans="1:8" ht="18" customHeight="1" x14ac:dyDescent="0.2">
      <c r="A26" s="52" t="s">
        <v>74</v>
      </c>
      <c r="B26" s="53">
        <f>F9/95</f>
        <v>0.84736842105263155</v>
      </c>
      <c r="C26" s="54">
        <v>1200</v>
      </c>
      <c r="D26" s="55"/>
      <c r="E26" s="45">
        <f t="shared" si="4"/>
        <v>1016.8421052631578</v>
      </c>
      <c r="F26" s="56"/>
      <c r="G26" s="69">
        <f t="shared" si="5"/>
        <v>12.631578947368419</v>
      </c>
      <c r="H26" s="69"/>
    </row>
    <row r="27" spans="1:8" x14ac:dyDescent="0.2">
      <c r="A27" s="57" t="s">
        <v>75</v>
      </c>
      <c r="B27" s="58"/>
      <c r="C27" s="59">
        <v>250</v>
      </c>
      <c r="D27" s="60"/>
      <c r="E27" s="61">
        <f t="shared" si="4"/>
        <v>0</v>
      </c>
      <c r="F27" s="84" t="s">
        <v>76</v>
      </c>
      <c r="G27" s="69">
        <f t="shared" si="5"/>
        <v>0</v>
      </c>
      <c r="H27" s="69"/>
    </row>
    <row r="28" spans="1:8" ht="18" customHeight="1" x14ac:dyDescent="0.2">
      <c r="A28" s="52" t="s">
        <v>77</v>
      </c>
      <c r="B28" s="53"/>
      <c r="C28" s="54">
        <v>5</v>
      </c>
      <c r="D28" s="55"/>
      <c r="E28" s="62">
        <f>C28*F9</f>
        <v>402.5</v>
      </c>
      <c r="F28" s="18"/>
      <c r="G28" s="69">
        <f t="shared" si="5"/>
        <v>5</v>
      </c>
      <c r="H28" s="69"/>
    </row>
    <row r="29" spans="1:8" ht="18" customHeight="1" x14ac:dyDescent="0.2">
      <c r="A29" s="52" t="s">
        <v>78</v>
      </c>
      <c r="B29" s="53">
        <v>0</v>
      </c>
      <c r="C29" s="54">
        <v>50</v>
      </c>
      <c r="D29" s="55"/>
      <c r="E29" s="62">
        <f>B29*C29</f>
        <v>0</v>
      </c>
      <c r="F29" s="18"/>
      <c r="G29" s="69">
        <f t="shared" si="5"/>
        <v>0</v>
      </c>
      <c r="H29" s="69"/>
    </row>
    <row r="30" spans="1:8" ht="18" customHeight="1" x14ac:dyDescent="0.2">
      <c r="A30" s="52" t="s">
        <v>79</v>
      </c>
      <c r="B30" s="54">
        <f>'BOM R2D CatWalk'!AI114</f>
        <v>1.6332920999999998</v>
      </c>
      <c r="C30" s="54">
        <v>1250</v>
      </c>
      <c r="D30" s="55"/>
      <c r="E30" s="62">
        <f>B30*C30</f>
        <v>2041.6151249999998</v>
      </c>
      <c r="F30" s="63" t="s">
        <v>133</v>
      </c>
      <c r="G30" s="69">
        <f t="shared" si="5"/>
        <v>25.36167857142857</v>
      </c>
      <c r="H30" s="69"/>
    </row>
    <row r="31" spans="1:8" ht="18" customHeight="1" x14ac:dyDescent="0.2">
      <c r="A31" s="52" t="s">
        <v>123</v>
      </c>
      <c r="B31" s="54">
        <f>15/60</f>
        <v>0.25</v>
      </c>
      <c r="C31" s="54">
        <v>250</v>
      </c>
      <c r="D31" s="55"/>
      <c r="E31" s="45">
        <f>B31*C31</f>
        <v>62.5</v>
      </c>
      <c r="F31" s="63"/>
      <c r="G31" s="69">
        <f t="shared" si="5"/>
        <v>0.77639751552795033</v>
      </c>
      <c r="H31" s="69"/>
    </row>
    <row r="32" spans="1:8" ht="18" customHeight="1" x14ac:dyDescent="0.2">
      <c r="A32" s="52" t="s">
        <v>135</v>
      </c>
      <c r="B32" s="54"/>
      <c r="C32" s="54">
        <v>4.5</v>
      </c>
      <c r="D32" s="55"/>
      <c r="E32" s="45">
        <f>C32*F9</f>
        <v>362.25</v>
      </c>
      <c r="F32" s="63"/>
      <c r="G32" s="69">
        <f t="shared" si="5"/>
        <v>4.5</v>
      </c>
      <c r="H32" s="69"/>
    </row>
    <row r="33" spans="1:13" ht="19.5" customHeight="1" x14ac:dyDescent="0.2">
      <c r="A33" s="47" t="s">
        <v>152</v>
      </c>
      <c r="B33" s="64"/>
      <c r="C33" s="65"/>
      <c r="D33" s="66"/>
      <c r="E33" s="67">
        <f>SUM(E21:E32)</f>
        <v>9116.1528070696841</v>
      </c>
      <c r="F33" s="18"/>
      <c r="G33" s="69">
        <f t="shared" si="5"/>
        <v>113.24413424931285</v>
      </c>
      <c r="H33" s="69"/>
    </row>
    <row r="34" spans="1:13" ht="22.5" customHeight="1" x14ac:dyDescent="0.2">
      <c r="A34" s="675" t="s">
        <v>80</v>
      </c>
      <c r="B34" s="676"/>
      <c r="C34" s="677"/>
      <c r="D34" s="315"/>
      <c r="E34" s="154">
        <f>E18+E33</f>
        <v>20119.373232919686</v>
      </c>
      <c r="F34" s="68"/>
      <c r="G34" s="69"/>
      <c r="H34" s="69"/>
    </row>
    <row r="35" spans="1:13" x14ac:dyDescent="0.2">
      <c r="A35" s="83" t="s">
        <v>126</v>
      </c>
      <c r="B35" s="83"/>
      <c r="C35" s="318"/>
      <c r="D35" s="156">
        <v>0.1</v>
      </c>
      <c r="E35" s="155">
        <f>E34*D35</f>
        <v>2011.9373232919688</v>
      </c>
      <c r="F35" s="70"/>
      <c r="G35" s="69">
        <f t="shared" si="5"/>
        <v>24.993010227229426</v>
      </c>
      <c r="H35" s="69"/>
    </row>
    <row r="36" spans="1:13" x14ac:dyDescent="0.2">
      <c r="A36" s="83" t="s">
        <v>127</v>
      </c>
      <c r="B36" s="83"/>
      <c r="C36" s="318"/>
      <c r="D36" s="318"/>
      <c r="E36" s="155">
        <f>SUM(E34:E35)</f>
        <v>22131.310556211654</v>
      </c>
      <c r="F36" s="70"/>
      <c r="G36" s="69">
        <f>E36/F9</f>
        <v>274.92311249952365</v>
      </c>
      <c r="H36" s="69"/>
      <c r="I36" s="69">
        <f>E36/F8</f>
        <v>161.02204864822261</v>
      </c>
    </row>
    <row r="39" spans="1:13" ht="12.75" customHeight="1" thickBot="1" x14ac:dyDescent="0.25">
      <c r="F39" s="11" t="s">
        <v>81</v>
      </c>
      <c r="G39" s="44"/>
      <c r="H39" s="44"/>
    </row>
    <row r="40" spans="1:13" ht="12.75" customHeight="1" x14ac:dyDescent="0.2">
      <c r="A40" s="678" t="s">
        <v>82</v>
      </c>
      <c r="B40" s="679"/>
      <c r="C40" s="679"/>
      <c r="D40" s="153"/>
      <c r="E40" s="71" t="s">
        <v>83</v>
      </c>
      <c r="F40" s="11" t="s">
        <v>81</v>
      </c>
      <c r="G40" s="44"/>
      <c r="H40" s="44"/>
    </row>
    <row r="41" spans="1:13" x14ac:dyDescent="0.2">
      <c r="A41" s="654" t="s">
        <v>134</v>
      </c>
      <c r="B41" s="655"/>
      <c r="C41" s="655"/>
      <c r="D41" s="316"/>
      <c r="E41" s="72"/>
    </row>
    <row r="42" spans="1:13" ht="13.5" thickBot="1" x14ac:dyDescent="0.25">
      <c r="A42" s="656" t="s">
        <v>84</v>
      </c>
      <c r="B42" s="657"/>
      <c r="C42" s="657"/>
      <c r="D42" s="314"/>
      <c r="E42" s="261" t="s">
        <v>85</v>
      </c>
    </row>
    <row r="43" spans="1:13" ht="20.100000000000001" customHeight="1" x14ac:dyDescent="0.2">
      <c r="G43" s="44"/>
      <c r="H43" s="44"/>
    </row>
    <row r="44" spans="1:13" s="44" customFormat="1" ht="18" customHeight="1" thickBot="1" x14ac:dyDescent="0.25">
      <c r="A44" s="10"/>
      <c r="B44" s="10"/>
      <c r="C44" s="10"/>
      <c r="D44" s="10"/>
      <c r="E44" s="70"/>
      <c r="F44" s="14"/>
      <c r="G44" s="10"/>
      <c r="H44" s="10"/>
      <c r="I44" s="10"/>
    </row>
    <row r="45" spans="1:13" s="44" customFormat="1" ht="15.75" thickBot="1" x14ac:dyDescent="0.25">
      <c r="A45" s="658" t="s">
        <v>161</v>
      </c>
      <c r="B45" s="659"/>
      <c r="C45" s="659"/>
      <c r="D45" s="660"/>
      <c r="E45" s="70"/>
      <c r="F45" s="14"/>
      <c r="G45" s="10"/>
      <c r="H45" s="10"/>
      <c r="I45" s="10"/>
    </row>
    <row r="46" spans="1:13" s="44" customFormat="1" ht="19.5" customHeight="1" thickBot="1" x14ac:dyDescent="0.25">
      <c r="A46" s="282" t="s">
        <v>125</v>
      </c>
      <c r="B46" s="283" t="s">
        <v>159</v>
      </c>
      <c r="C46" s="283" t="s">
        <v>155</v>
      </c>
      <c r="D46" s="284" t="s">
        <v>156</v>
      </c>
      <c r="E46" s="70"/>
      <c r="F46" s="14"/>
      <c r="G46" s="10"/>
      <c r="H46" s="10"/>
      <c r="I46" s="10"/>
      <c r="J46" s="10"/>
      <c r="K46" s="10"/>
      <c r="L46" s="10"/>
      <c r="M46" s="10"/>
    </row>
    <row r="47" spans="1:13" s="44" customFormat="1" ht="15.75" x14ac:dyDescent="0.2">
      <c r="A47" s="288" t="s">
        <v>124</v>
      </c>
      <c r="B47" s="289">
        <f>B4*1.5</f>
        <v>120</v>
      </c>
      <c r="C47" s="290">
        <v>100</v>
      </c>
      <c r="D47" s="291">
        <f>B47*C47</f>
        <v>12000</v>
      </c>
      <c r="E47" s="70"/>
      <c r="F47" s="14"/>
      <c r="G47" s="10"/>
      <c r="H47" s="10"/>
      <c r="I47" s="10"/>
      <c r="J47" s="10"/>
      <c r="K47" s="10"/>
      <c r="L47" s="10"/>
      <c r="M47" s="10"/>
    </row>
    <row r="48" spans="1:13" s="44" customFormat="1" ht="15.75" x14ac:dyDescent="0.2">
      <c r="A48" s="274" t="s">
        <v>157</v>
      </c>
      <c r="B48" s="80">
        <f>B4*0.2</f>
        <v>16</v>
      </c>
      <c r="C48" s="81">
        <v>100</v>
      </c>
      <c r="D48" s="273">
        <f>B48*C48</f>
        <v>1600</v>
      </c>
      <c r="E48" s="70"/>
      <c r="F48" s="14"/>
      <c r="G48" s="10"/>
      <c r="H48" s="10"/>
      <c r="I48" s="10"/>
      <c r="J48" s="10"/>
      <c r="K48" s="10"/>
      <c r="L48" s="10"/>
      <c r="M48" s="10"/>
    </row>
    <row r="49" spans="1:13" s="44" customFormat="1" ht="15.75" x14ac:dyDescent="0.2">
      <c r="A49" s="274" t="s">
        <v>162</v>
      </c>
      <c r="B49" s="80">
        <f>SUM(B47:B48)</f>
        <v>136</v>
      </c>
      <c r="C49" s="81">
        <v>4.5</v>
      </c>
      <c r="D49" s="273">
        <f>B49*C49</f>
        <v>612</v>
      </c>
      <c r="E49" s="70"/>
      <c r="F49" s="14"/>
      <c r="G49" s="10"/>
      <c r="H49" s="10"/>
      <c r="I49" s="10"/>
      <c r="J49" s="10"/>
      <c r="K49" s="10"/>
      <c r="L49" s="10"/>
      <c r="M49" s="10"/>
    </row>
    <row r="50" spans="1:13" s="44" customFormat="1" ht="15.75" x14ac:dyDescent="0.2">
      <c r="A50" s="292" t="s">
        <v>163</v>
      </c>
      <c r="B50" s="286"/>
      <c r="C50" s="287"/>
      <c r="D50" s="293">
        <f>SUM(D47:D49)</f>
        <v>14212</v>
      </c>
      <c r="E50" s="70"/>
      <c r="F50" s="14"/>
      <c r="G50" s="10"/>
      <c r="H50" s="10"/>
      <c r="I50" s="10"/>
      <c r="J50" s="10"/>
      <c r="K50" s="10"/>
      <c r="L50" s="10"/>
      <c r="M50" s="10"/>
    </row>
    <row r="51" spans="1:13" s="44" customFormat="1" ht="15.75" x14ac:dyDescent="0.2">
      <c r="A51" s="274" t="s">
        <v>158</v>
      </c>
      <c r="B51" s="80">
        <v>2</v>
      </c>
      <c r="C51" s="81">
        <f>75000/30</f>
        <v>2500</v>
      </c>
      <c r="D51" s="273">
        <f>B51*C51</f>
        <v>5000</v>
      </c>
      <c r="E51" s="70"/>
      <c r="F51" s="14"/>
      <c r="G51" s="10"/>
      <c r="H51" s="10"/>
      <c r="I51" s="10"/>
      <c r="J51" s="10"/>
      <c r="K51" s="10"/>
      <c r="L51" s="10"/>
      <c r="M51" s="10"/>
    </row>
    <row r="52" spans="1:13" s="44" customFormat="1" ht="16.5" thickBot="1" x14ac:dyDescent="0.25">
      <c r="A52" s="275" t="s">
        <v>126</v>
      </c>
      <c r="B52" s="276"/>
      <c r="C52" s="285">
        <v>2.5499999999999998E-2</v>
      </c>
      <c r="D52" s="277">
        <f>(D50+D51)*C52</f>
        <v>489.90599999999995</v>
      </c>
      <c r="E52" s="70"/>
      <c r="F52" s="14"/>
      <c r="G52" s="10"/>
      <c r="H52" s="10"/>
      <c r="I52" s="10"/>
      <c r="J52" s="10"/>
      <c r="K52" s="10"/>
      <c r="L52" s="10"/>
      <c r="M52" s="10"/>
    </row>
    <row r="53" spans="1:13" s="265" customFormat="1" ht="16.5" thickBot="1" x14ac:dyDescent="0.25">
      <c r="A53" s="278" t="s">
        <v>160</v>
      </c>
      <c r="B53" s="279"/>
      <c r="C53" s="280"/>
      <c r="D53" s="281">
        <f>SUM(D50:D52)</f>
        <v>19701.905999999999</v>
      </c>
      <c r="E53" s="262"/>
      <c r="F53" s="263"/>
      <c r="G53" s="264"/>
      <c r="H53" s="264"/>
      <c r="I53" s="264"/>
      <c r="J53" s="264"/>
      <c r="K53" s="264"/>
      <c r="L53" s="264"/>
      <c r="M53" s="264"/>
    </row>
    <row r="54" spans="1:13" s="44" customFormat="1" ht="25.5" customHeight="1" x14ac:dyDescent="0.2">
      <c r="A54" s="10"/>
      <c r="B54" s="10"/>
      <c r="C54" s="10"/>
      <c r="D54" s="10"/>
      <c r="E54" s="70"/>
      <c r="F54" s="14"/>
      <c r="G54" s="10"/>
      <c r="H54" s="10"/>
      <c r="I54" s="10"/>
      <c r="J54" s="10"/>
      <c r="K54" s="10"/>
      <c r="L54" s="10"/>
      <c r="M54" s="10"/>
    </row>
  </sheetData>
  <sheetProtection selectLockedCells="1" selectUnlockedCells="1"/>
  <mergeCells count="14">
    <mergeCell ref="A41:C41"/>
    <mergeCell ref="A42:C42"/>
    <mergeCell ref="A17:C17"/>
    <mergeCell ref="A45:D45"/>
    <mergeCell ref="I4:O4"/>
    <mergeCell ref="A18:C18"/>
    <mergeCell ref="A19:E19"/>
    <mergeCell ref="A34:C34"/>
    <mergeCell ref="A40:C40"/>
    <mergeCell ref="A1:E1"/>
    <mergeCell ref="A5:E5"/>
    <mergeCell ref="A6:E6"/>
    <mergeCell ref="B14:E14"/>
    <mergeCell ref="A15:E1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8473-1153-4176-85E9-993889043BDD}">
  <sheetPr>
    <pageSetUpPr fitToPage="1"/>
  </sheetPr>
  <dimension ref="A1:S54"/>
  <sheetViews>
    <sheetView topLeftCell="A34" zoomScale="70" zoomScaleNormal="70" zoomScaleSheetLayoutView="100" workbookViewId="0">
      <selection activeCell="B66" sqref="B66"/>
    </sheetView>
  </sheetViews>
  <sheetFormatPr defaultRowHeight="12.75" x14ac:dyDescent="0.2"/>
  <cols>
    <col min="1" max="1" width="38.42578125" style="10" customWidth="1"/>
    <col min="2" max="2" width="25.28515625" style="10" bestFit="1" customWidth="1"/>
    <col min="3" max="3" width="17.42578125" style="10" bestFit="1" customWidth="1"/>
    <col min="4" max="4" width="20" style="10" bestFit="1" customWidth="1"/>
    <col min="5" max="5" width="18.5703125" style="70" bestFit="1" customWidth="1"/>
    <col min="6" max="6" width="21.140625" style="14" customWidth="1"/>
    <col min="7" max="8" width="10.140625" style="10" customWidth="1"/>
    <col min="9" max="9" width="8.5703125" style="10" bestFit="1" customWidth="1"/>
    <col min="10" max="10" width="9.28515625" style="10" bestFit="1" customWidth="1"/>
    <col min="11" max="11" width="20.28515625" style="10" bestFit="1" customWidth="1"/>
    <col min="12" max="12" width="17.85546875" style="10" bestFit="1" customWidth="1"/>
    <col min="13" max="13" width="12.5703125" style="10" bestFit="1" customWidth="1"/>
    <col min="14" max="14" width="13.85546875" style="10" customWidth="1"/>
    <col min="15" max="15" width="12.5703125" style="10" bestFit="1" customWidth="1"/>
    <col min="16" max="17" width="11.5703125" style="10" bestFit="1" customWidth="1"/>
    <col min="18" max="18" width="8.42578125" style="10" bestFit="1" customWidth="1"/>
    <col min="19" max="19" width="13.140625" style="10" bestFit="1" customWidth="1"/>
    <col min="20" max="20" width="23.85546875" style="10" customWidth="1"/>
    <col min="21" max="203" width="9.140625" style="10"/>
    <col min="204" max="204" width="37.42578125" style="10" customWidth="1"/>
    <col min="205" max="205" width="13.5703125" style="10" customWidth="1"/>
    <col min="206" max="206" width="14.42578125" style="10" customWidth="1"/>
    <col min="207" max="207" width="8.42578125" style="10" bestFit="1" customWidth="1"/>
    <col min="208" max="208" width="16.85546875" style="10" customWidth="1"/>
    <col min="209" max="209" width="9.140625" style="10"/>
    <col min="210" max="210" width="11.28515625" style="10" customWidth="1"/>
    <col min="211" max="459" width="9.140625" style="10"/>
    <col min="460" max="460" width="37.42578125" style="10" customWidth="1"/>
    <col min="461" max="461" width="13.5703125" style="10" customWidth="1"/>
    <col min="462" max="462" width="14.42578125" style="10" customWidth="1"/>
    <col min="463" max="463" width="8.42578125" style="10" bestFit="1" customWidth="1"/>
    <col min="464" max="464" width="16.85546875" style="10" customWidth="1"/>
    <col min="465" max="465" width="9.140625" style="10"/>
    <col min="466" max="466" width="11.28515625" style="10" customWidth="1"/>
    <col min="467" max="715" width="9.140625" style="10"/>
    <col min="716" max="716" width="37.42578125" style="10" customWidth="1"/>
    <col min="717" max="717" width="13.5703125" style="10" customWidth="1"/>
    <col min="718" max="718" width="14.42578125" style="10" customWidth="1"/>
    <col min="719" max="719" width="8.42578125" style="10" bestFit="1" customWidth="1"/>
    <col min="720" max="720" width="16.85546875" style="10" customWidth="1"/>
    <col min="721" max="721" width="9.140625" style="10"/>
    <col min="722" max="722" width="11.28515625" style="10" customWidth="1"/>
    <col min="723" max="971" width="9.140625" style="10"/>
    <col min="972" max="972" width="37.42578125" style="10" customWidth="1"/>
    <col min="973" max="973" width="13.5703125" style="10" customWidth="1"/>
    <col min="974" max="974" width="14.42578125" style="10" customWidth="1"/>
    <col min="975" max="975" width="8.42578125" style="10" bestFit="1" customWidth="1"/>
    <col min="976" max="976" width="16.85546875" style="10" customWidth="1"/>
    <col min="977" max="977" width="9.140625" style="10"/>
    <col min="978" max="978" width="11.28515625" style="10" customWidth="1"/>
    <col min="979" max="1227" width="9.140625" style="10"/>
    <col min="1228" max="1228" width="37.42578125" style="10" customWidth="1"/>
    <col min="1229" max="1229" width="13.5703125" style="10" customWidth="1"/>
    <col min="1230" max="1230" width="14.42578125" style="10" customWidth="1"/>
    <col min="1231" max="1231" width="8.42578125" style="10" bestFit="1" customWidth="1"/>
    <col min="1232" max="1232" width="16.85546875" style="10" customWidth="1"/>
    <col min="1233" max="1233" width="9.140625" style="10"/>
    <col min="1234" max="1234" width="11.28515625" style="10" customWidth="1"/>
    <col min="1235" max="1483" width="9.140625" style="10"/>
    <col min="1484" max="1484" width="37.42578125" style="10" customWidth="1"/>
    <col min="1485" max="1485" width="13.5703125" style="10" customWidth="1"/>
    <col min="1486" max="1486" width="14.42578125" style="10" customWidth="1"/>
    <col min="1487" max="1487" width="8.42578125" style="10" bestFit="1" customWidth="1"/>
    <col min="1488" max="1488" width="16.85546875" style="10" customWidth="1"/>
    <col min="1489" max="1489" width="9.140625" style="10"/>
    <col min="1490" max="1490" width="11.28515625" style="10" customWidth="1"/>
    <col min="1491" max="1739" width="9.140625" style="10"/>
    <col min="1740" max="1740" width="37.42578125" style="10" customWidth="1"/>
    <col min="1741" max="1741" width="13.5703125" style="10" customWidth="1"/>
    <col min="1742" max="1742" width="14.42578125" style="10" customWidth="1"/>
    <col min="1743" max="1743" width="8.42578125" style="10" bestFit="1" customWidth="1"/>
    <col min="1744" max="1744" width="16.85546875" style="10" customWidth="1"/>
    <col min="1745" max="1745" width="9.140625" style="10"/>
    <col min="1746" max="1746" width="11.28515625" style="10" customWidth="1"/>
    <col min="1747" max="1995" width="9.140625" style="10"/>
    <col min="1996" max="1996" width="37.42578125" style="10" customWidth="1"/>
    <col min="1997" max="1997" width="13.5703125" style="10" customWidth="1"/>
    <col min="1998" max="1998" width="14.42578125" style="10" customWidth="1"/>
    <col min="1999" max="1999" width="8.42578125" style="10" bestFit="1" customWidth="1"/>
    <col min="2000" max="2000" width="16.85546875" style="10" customWidth="1"/>
    <col min="2001" max="2001" width="9.140625" style="10"/>
    <col min="2002" max="2002" width="11.28515625" style="10" customWidth="1"/>
    <col min="2003" max="2251" width="9.140625" style="10"/>
    <col min="2252" max="2252" width="37.42578125" style="10" customWidth="1"/>
    <col min="2253" max="2253" width="13.5703125" style="10" customWidth="1"/>
    <col min="2254" max="2254" width="14.42578125" style="10" customWidth="1"/>
    <col min="2255" max="2255" width="8.42578125" style="10" bestFit="1" customWidth="1"/>
    <col min="2256" max="2256" width="16.85546875" style="10" customWidth="1"/>
    <col min="2257" max="2257" width="9.140625" style="10"/>
    <col min="2258" max="2258" width="11.28515625" style="10" customWidth="1"/>
    <col min="2259" max="2507" width="9.140625" style="10"/>
    <col min="2508" max="2508" width="37.42578125" style="10" customWidth="1"/>
    <col min="2509" max="2509" width="13.5703125" style="10" customWidth="1"/>
    <col min="2510" max="2510" width="14.42578125" style="10" customWidth="1"/>
    <col min="2511" max="2511" width="8.42578125" style="10" bestFit="1" customWidth="1"/>
    <col min="2512" max="2512" width="16.85546875" style="10" customWidth="1"/>
    <col min="2513" max="2513" width="9.140625" style="10"/>
    <col min="2514" max="2514" width="11.28515625" style="10" customWidth="1"/>
    <col min="2515" max="2763" width="9.140625" style="10"/>
    <col min="2764" max="2764" width="37.42578125" style="10" customWidth="1"/>
    <col min="2765" max="2765" width="13.5703125" style="10" customWidth="1"/>
    <col min="2766" max="2766" width="14.42578125" style="10" customWidth="1"/>
    <col min="2767" max="2767" width="8.42578125" style="10" bestFit="1" customWidth="1"/>
    <col min="2768" max="2768" width="16.85546875" style="10" customWidth="1"/>
    <col min="2769" max="2769" width="9.140625" style="10"/>
    <col min="2770" max="2770" width="11.28515625" style="10" customWidth="1"/>
    <col min="2771" max="3019" width="9.140625" style="10"/>
    <col min="3020" max="3020" width="37.42578125" style="10" customWidth="1"/>
    <col min="3021" max="3021" width="13.5703125" style="10" customWidth="1"/>
    <col min="3022" max="3022" width="14.42578125" style="10" customWidth="1"/>
    <col min="3023" max="3023" width="8.42578125" style="10" bestFit="1" customWidth="1"/>
    <col min="3024" max="3024" width="16.85546875" style="10" customWidth="1"/>
    <col min="3025" max="3025" width="9.140625" style="10"/>
    <col min="3026" max="3026" width="11.28515625" style="10" customWidth="1"/>
    <col min="3027" max="3275" width="9.140625" style="10"/>
    <col min="3276" max="3276" width="37.42578125" style="10" customWidth="1"/>
    <col min="3277" max="3277" width="13.5703125" style="10" customWidth="1"/>
    <col min="3278" max="3278" width="14.42578125" style="10" customWidth="1"/>
    <col min="3279" max="3279" width="8.42578125" style="10" bestFit="1" customWidth="1"/>
    <col min="3280" max="3280" width="16.85546875" style="10" customWidth="1"/>
    <col min="3281" max="3281" width="9.140625" style="10"/>
    <col min="3282" max="3282" width="11.28515625" style="10" customWidth="1"/>
    <col min="3283" max="3531" width="9.140625" style="10"/>
    <col min="3532" max="3532" width="37.42578125" style="10" customWidth="1"/>
    <col min="3533" max="3533" width="13.5703125" style="10" customWidth="1"/>
    <col min="3534" max="3534" width="14.42578125" style="10" customWidth="1"/>
    <col min="3535" max="3535" width="8.42578125" style="10" bestFit="1" customWidth="1"/>
    <col min="3536" max="3536" width="16.85546875" style="10" customWidth="1"/>
    <col min="3537" max="3537" width="9.140625" style="10"/>
    <col min="3538" max="3538" width="11.28515625" style="10" customWidth="1"/>
    <col min="3539" max="3787" width="9.140625" style="10"/>
    <col min="3788" max="3788" width="37.42578125" style="10" customWidth="1"/>
    <col min="3789" max="3789" width="13.5703125" style="10" customWidth="1"/>
    <col min="3790" max="3790" width="14.42578125" style="10" customWidth="1"/>
    <col min="3791" max="3791" width="8.42578125" style="10" bestFit="1" customWidth="1"/>
    <col min="3792" max="3792" width="16.85546875" style="10" customWidth="1"/>
    <col min="3793" max="3793" width="9.140625" style="10"/>
    <col min="3794" max="3794" width="11.28515625" style="10" customWidth="1"/>
    <col min="3795" max="4043" width="9.140625" style="10"/>
    <col min="4044" max="4044" width="37.42578125" style="10" customWidth="1"/>
    <col min="4045" max="4045" width="13.5703125" style="10" customWidth="1"/>
    <col min="4046" max="4046" width="14.42578125" style="10" customWidth="1"/>
    <col min="4047" max="4047" width="8.42578125" style="10" bestFit="1" customWidth="1"/>
    <col min="4048" max="4048" width="16.85546875" style="10" customWidth="1"/>
    <col min="4049" max="4049" width="9.140625" style="10"/>
    <col min="4050" max="4050" width="11.28515625" style="10" customWidth="1"/>
    <col min="4051" max="4299" width="9.140625" style="10"/>
    <col min="4300" max="4300" width="37.42578125" style="10" customWidth="1"/>
    <col min="4301" max="4301" width="13.5703125" style="10" customWidth="1"/>
    <col min="4302" max="4302" width="14.42578125" style="10" customWidth="1"/>
    <col min="4303" max="4303" width="8.42578125" style="10" bestFit="1" customWidth="1"/>
    <col min="4304" max="4304" width="16.85546875" style="10" customWidth="1"/>
    <col min="4305" max="4305" width="9.140625" style="10"/>
    <col min="4306" max="4306" width="11.28515625" style="10" customWidth="1"/>
    <col min="4307" max="4555" width="9.140625" style="10"/>
    <col min="4556" max="4556" width="37.42578125" style="10" customWidth="1"/>
    <col min="4557" max="4557" width="13.5703125" style="10" customWidth="1"/>
    <col min="4558" max="4558" width="14.42578125" style="10" customWidth="1"/>
    <col min="4559" max="4559" width="8.42578125" style="10" bestFit="1" customWidth="1"/>
    <col min="4560" max="4560" width="16.85546875" style="10" customWidth="1"/>
    <col min="4561" max="4561" width="9.140625" style="10"/>
    <col min="4562" max="4562" width="11.28515625" style="10" customWidth="1"/>
    <col min="4563" max="4811" width="9.140625" style="10"/>
    <col min="4812" max="4812" width="37.42578125" style="10" customWidth="1"/>
    <col min="4813" max="4813" width="13.5703125" style="10" customWidth="1"/>
    <col min="4814" max="4814" width="14.42578125" style="10" customWidth="1"/>
    <col min="4815" max="4815" width="8.42578125" style="10" bestFit="1" customWidth="1"/>
    <col min="4816" max="4816" width="16.85546875" style="10" customWidth="1"/>
    <col min="4817" max="4817" width="9.140625" style="10"/>
    <col min="4818" max="4818" width="11.28515625" style="10" customWidth="1"/>
    <col min="4819" max="5067" width="9.140625" style="10"/>
    <col min="5068" max="5068" width="37.42578125" style="10" customWidth="1"/>
    <col min="5069" max="5069" width="13.5703125" style="10" customWidth="1"/>
    <col min="5070" max="5070" width="14.42578125" style="10" customWidth="1"/>
    <col min="5071" max="5071" width="8.42578125" style="10" bestFit="1" customWidth="1"/>
    <col min="5072" max="5072" width="16.85546875" style="10" customWidth="1"/>
    <col min="5073" max="5073" width="9.140625" style="10"/>
    <col min="5074" max="5074" width="11.28515625" style="10" customWidth="1"/>
    <col min="5075" max="5323" width="9.140625" style="10"/>
    <col min="5324" max="5324" width="37.42578125" style="10" customWidth="1"/>
    <col min="5325" max="5325" width="13.5703125" style="10" customWidth="1"/>
    <col min="5326" max="5326" width="14.42578125" style="10" customWidth="1"/>
    <col min="5327" max="5327" width="8.42578125" style="10" bestFit="1" customWidth="1"/>
    <col min="5328" max="5328" width="16.85546875" style="10" customWidth="1"/>
    <col min="5329" max="5329" width="9.140625" style="10"/>
    <col min="5330" max="5330" width="11.28515625" style="10" customWidth="1"/>
    <col min="5331" max="5579" width="9.140625" style="10"/>
    <col min="5580" max="5580" width="37.42578125" style="10" customWidth="1"/>
    <col min="5581" max="5581" width="13.5703125" style="10" customWidth="1"/>
    <col min="5582" max="5582" width="14.42578125" style="10" customWidth="1"/>
    <col min="5583" max="5583" width="8.42578125" style="10" bestFit="1" customWidth="1"/>
    <col min="5584" max="5584" width="16.85546875" style="10" customWidth="1"/>
    <col min="5585" max="5585" width="9.140625" style="10"/>
    <col min="5586" max="5586" width="11.28515625" style="10" customWidth="1"/>
    <col min="5587" max="5835" width="9.140625" style="10"/>
    <col min="5836" max="5836" width="37.42578125" style="10" customWidth="1"/>
    <col min="5837" max="5837" width="13.5703125" style="10" customWidth="1"/>
    <col min="5838" max="5838" width="14.42578125" style="10" customWidth="1"/>
    <col min="5839" max="5839" width="8.42578125" style="10" bestFit="1" customWidth="1"/>
    <col min="5840" max="5840" width="16.85546875" style="10" customWidth="1"/>
    <col min="5841" max="5841" width="9.140625" style="10"/>
    <col min="5842" max="5842" width="11.28515625" style="10" customWidth="1"/>
    <col min="5843" max="6091" width="9.140625" style="10"/>
    <col min="6092" max="6092" width="37.42578125" style="10" customWidth="1"/>
    <col min="6093" max="6093" width="13.5703125" style="10" customWidth="1"/>
    <col min="6094" max="6094" width="14.42578125" style="10" customWidth="1"/>
    <col min="6095" max="6095" width="8.42578125" style="10" bestFit="1" customWidth="1"/>
    <col min="6096" max="6096" width="16.85546875" style="10" customWidth="1"/>
    <col min="6097" max="6097" width="9.140625" style="10"/>
    <col min="6098" max="6098" width="11.28515625" style="10" customWidth="1"/>
    <col min="6099" max="6347" width="9.140625" style="10"/>
    <col min="6348" max="6348" width="37.42578125" style="10" customWidth="1"/>
    <col min="6349" max="6349" width="13.5703125" style="10" customWidth="1"/>
    <col min="6350" max="6350" width="14.42578125" style="10" customWidth="1"/>
    <col min="6351" max="6351" width="8.42578125" style="10" bestFit="1" customWidth="1"/>
    <col min="6352" max="6352" width="16.85546875" style="10" customWidth="1"/>
    <col min="6353" max="6353" width="9.140625" style="10"/>
    <col min="6354" max="6354" width="11.28515625" style="10" customWidth="1"/>
    <col min="6355" max="6603" width="9.140625" style="10"/>
    <col min="6604" max="6604" width="37.42578125" style="10" customWidth="1"/>
    <col min="6605" max="6605" width="13.5703125" style="10" customWidth="1"/>
    <col min="6606" max="6606" width="14.42578125" style="10" customWidth="1"/>
    <col min="6607" max="6607" width="8.42578125" style="10" bestFit="1" customWidth="1"/>
    <col min="6608" max="6608" width="16.85546875" style="10" customWidth="1"/>
    <col min="6609" max="6609" width="9.140625" style="10"/>
    <col min="6610" max="6610" width="11.28515625" style="10" customWidth="1"/>
    <col min="6611" max="6859" width="9.140625" style="10"/>
    <col min="6860" max="6860" width="37.42578125" style="10" customWidth="1"/>
    <col min="6861" max="6861" width="13.5703125" style="10" customWidth="1"/>
    <col min="6862" max="6862" width="14.42578125" style="10" customWidth="1"/>
    <col min="6863" max="6863" width="8.42578125" style="10" bestFit="1" customWidth="1"/>
    <col min="6864" max="6864" width="16.85546875" style="10" customWidth="1"/>
    <col min="6865" max="6865" width="9.140625" style="10"/>
    <col min="6866" max="6866" width="11.28515625" style="10" customWidth="1"/>
    <col min="6867" max="7115" width="9.140625" style="10"/>
    <col min="7116" max="7116" width="37.42578125" style="10" customWidth="1"/>
    <col min="7117" max="7117" width="13.5703125" style="10" customWidth="1"/>
    <col min="7118" max="7118" width="14.42578125" style="10" customWidth="1"/>
    <col min="7119" max="7119" width="8.42578125" style="10" bestFit="1" customWidth="1"/>
    <col min="7120" max="7120" width="16.85546875" style="10" customWidth="1"/>
    <col min="7121" max="7121" width="9.140625" style="10"/>
    <col min="7122" max="7122" width="11.28515625" style="10" customWidth="1"/>
    <col min="7123" max="7371" width="9.140625" style="10"/>
    <col min="7372" max="7372" width="37.42578125" style="10" customWidth="1"/>
    <col min="7373" max="7373" width="13.5703125" style="10" customWidth="1"/>
    <col min="7374" max="7374" width="14.42578125" style="10" customWidth="1"/>
    <col min="7375" max="7375" width="8.42578125" style="10" bestFit="1" customWidth="1"/>
    <col min="7376" max="7376" width="16.85546875" style="10" customWidth="1"/>
    <col min="7377" max="7377" width="9.140625" style="10"/>
    <col min="7378" max="7378" width="11.28515625" style="10" customWidth="1"/>
    <col min="7379" max="7627" width="9.140625" style="10"/>
    <col min="7628" max="7628" width="37.42578125" style="10" customWidth="1"/>
    <col min="7629" max="7629" width="13.5703125" style="10" customWidth="1"/>
    <col min="7630" max="7630" width="14.42578125" style="10" customWidth="1"/>
    <col min="7631" max="7631" width="8.42578125" style="10" bestFit="1" customWidth="1"/>
    <col min="7632" max="7632" width="16.85546875" style="10" customWidth="1"/>
    <col min="7633" max="7633" width="9.140625" style="10"/>
    <col min="7634" max="7634" width="11.28515625" style="10" customWidth="1"/>
    <col min="7635" max="7883" width="9.140625" style="10"/>
    <col min="7884" max="7884" width="37.42578125" style="10" customWidth="1"/>
    <col min="7885" max="7885" width="13.5703125" style="10" customWidth="1"/>
    <col min="7886" max="7886" width="14.42578125" style="10" customWidth="1"/>
    <col min="7887" max="7887" width="8.42578125" style="10" bestFit="1" customWidth="1"/>
    <col min="7888" max="7888" width="16.85546875" style="10" customWidth="1"/>
    <col min="7889" max="7889" width="9.140625" style="10"/>
    <col min="7890" max="7890" width="11.28515625" style="10" customWidth="1"/>
    <col min="7891" max="8139" width="9.140625" style="10"/>
    <col min="8140" max="8140" width="37.42578125" style="10" customWidth="1"/>
    <col min="8141" max="8141" width="13.5703125" style="10" customWidth="1"/>
    <col min="8142" max="8142" width="14.42578125" style="10" customWidth="1"/>
    <col min="8143" max="8143" width="8.42578125" style="10" bestFit="1" customWidth="1"/>
    <col min="8144" max="8144" width="16.85546875" style="10" customWidth="1"/>
    <col min="8145" max="8145" width="9.140625" style="10"/>
    <col min="8146" max="8146" width="11.28515625" style="10" customWidth="1"/>
    <col min="8147" max="8395" width="9.140625" style="10"/>
    <col min="8396" max="8396" width="37.42578125" style="10" customWidth="1"/>
    <col min="8397" max="8397" width="13.5703125" style="10" customWidth="1"/>
    <col min="8398" max="8398" width="14.42578125" style="10" customWidth="1"/>
    <col min="8399" max="8399" width="8.42578125" style="10" bestFit="1" customWidth="1"/>
    <col min="8400" max="8400" width="16.85546875" style="10" customWidth="1"/>
    <col min="8401" max="8401" width="9.140625" style="10"/>
    <col min="8402" max="8402" width="11.28515625" style="10" customWidth="1"/>
    <col min="8403" max="8651" width="9.140625" style="10"/>
    <col min="8652" max="8652" width="37.42578125" style="10" customWidth="1"/>
    <col min="8653" max="8653" width="13.5703125" style="10" customWidth="1"/>
    <col min="8654" max="8654" width="14.42578125" style="10" customWidth="1"/>
    <col min="8655" max="8655" width="8.42578125" style="10" bestFit="1" customWidth="1"/>
    <col min="8656" max="8656" width="16.85546875" style="10" customWidth="1"/>
    <col min="8657" max="8657" width="9.140625" style="10"/>
    <col min="8658" max="8658" width="11.28515625" style="10" customWidth="1"/>
    <col min="8659" max="8907" width="9.140625" style="10"/>
    <col min="8908" max="8908" width="37.42578125" style="10" customWidth="1"/>
    <col min="8909" max="8909" width="13.5703125" style="10" customWidth="1"/>
    <col min="8910" max="8910" width="14.42578125" style="10" customWidth="1"/>
    <col min="8911" max="8911" width="8.42578125" style="10" bestFit="1" customWidth="1"/>
    <col min="8912" max="8912" width="16.85546875" style="10" customWidth="1"/>
    <col min="8913" max="8913" width="9.140625" style="10"/>
    <col min="8914" max="8914" width="11.28515625" style="10" customWidth="1"/>
    <col min="8915" max="9163" width="9.140625" style="10"/>
    <col min="9164" max="9164" width="37.42578125" style="10" customWidth="1"/>
    <col min="9165" max="9165" width="13.5703125" style="10" customWidth="1"/>
    <col min="9166" max="9166" width="14.42578125" style="10" customWidth="1"/>
    <col min="9167" max="9167" width="8.42578125" style="10" bestFit="1" customWidth="1"/>
    <col min="9168" max="9168" width="16.85546875" style="10" customWidth="1"/>
    <col min="9169" max="9169" width="9.140625" style="10"/>
    <col min="9170" max="9170" width="11.28515625" style="10" customWidth="1"/>
    <col min="9171" max="9419" width="9.140625" style="10"/>
    <col min="9420" max="9420" width="37.42578125" style="10" customWidth="1"/>
    <col min="9421" max="9421" width="13.5703125" style="10" customWidth="1"/>
    <col min="9422" max="9422" width="14.42578125" style="10" customWidth="1"/>
    <col min="9423" max="9423" width="8.42578125" style="10" bestFit="1" customWidth="1"/>
    <col min="9424" max="9424" width="16.85546875" style="10" customWidth="1"/>
    <col min="9425" max="9425" width="9.140625" style="10"/>
    <col min="9426" max="9426" width="11.28515625" style="10" customWidth="1"/>
    <col min="9427" max="9675" width="9.140625" style="10"/>
    <col min="9676" max="9676" width="37.42578125" style="10" customWidth="1"/>
    <col min="9677" max="9677" width="13.5703125" style="10" customWidth="1"/>
    <col min="9678" max="9678" width="14.42578125" style="10" customWidth="1"/>
    <col min="9679" max="9679" width="8.42578125" style="10" bestFit="1" customWidth="1"/>
    <col min="9680" max="9680" width="16.85546875" style="10" customWidth="1"/>
    <col min="9681" max="9681" width="9.140625" style="10"/>
    <col min="9682" max="9682" width="11.28515625" style="10" customWidth="1"/>
    <col min="9683" max="9931" width="9.140625" style="10"/>
    <col min="9932" max="9932" width="37.42578125" style="10" customWidth="1"/>
    <col min="9933" max="9933" width="13.5703125" style="10" customWidth="1"/>
    <col min="9934" max="9934" width="14.42578125" style="10" customWidth="1"/>
    <col min="9935" max="9935" width="8.42578125" style="10" bestFit="1" customWidth="1"/>
    <col min="9936" max="9936" width="16.85546875" style="10" customWidth="1"/>
    <col min="9937" max="9937" width="9.140625" style="10"/>
    <col min="9938" max="9938" width="11.28515625" style="10" customWidth="1"/>
    <col min="9939" max="10187" width="9.140625" style="10"/>
    <col min="10188" max="10188" width="37.42578125" style="10" customWidth="1"/>
    <col min="10189" max="10189" width="13.5703125" style="10" customWidth="1"/>
    <col min="10190" max="10190" width="14.42578125" style="10" customWidth="1"/>
    <col min="10191" max="10191" width="8.42578125" style="10" bestFit="1" customWidth="1"/>
    <col min="10192" max="10192" width="16.85546875" style="10" customWidth="1"/>
    <col min="10193" max="10193" width="9.140625" style="10"/>
    <col min="10194" max="10194" width="11.28515625" style="10" customWidth="1"/>
    <col min="10195" max="10443" width="9.140625" style="10"/>
    <col min="10444" max="10444" width="37.42578125" style="10" customWidth="1"/>
    <col min="10445" max="10445" width="13.5703125" style="10" customWidth="1"/>
    <col min="10446" max="10446" width="14.42578125" style="10" customWidth="1"/>
    <col min="10447" max="10447" width="8.42578125" style="10" bestFit="1" customWidth="1"/>
    <col min="10448" max="10448" width="16.85546875" style="10" customWidth="1"/>
    <col min="10449" max="10449" width="9.140625" style="10"/>
    <col min="10450" max="10450" width="11.28515625" style="10" customWidth="1"/>
    <col min="10451" max="10699" width="9.140625" style="10"/>
    <col min="10700" max="10700" width="37.42578125" style="10" customWidth="1"/>
    <col min="10701" max="10701" width="13.5703125" style="10" customWidth="1"/>
    <col min="10702" max="10702" width="14.42578125" style="10" customWidth="1"/>
    <col min="10703" max="10703" width="8.42578125" style="10" bestFit="1" customWidth="1"/>
    <col min="10704" max="10704" width="16.85546875" style="10" customWidth="1"/>
    <col min="10705" max="10705" width="9.140625" style="10"/>
    <col min="10706" max="10706" width="11.28515625" style="10" customWidth="1"/>
    <col min="10707" max="10955" width="9.140625" style="10"/>
    <col min="10956" max="10956" width="37.42578125" style="10" customWidth="1"/>
    <col min="10957" max="10957" width="13.5703125" style="10" customWidth="1"/>
    <col min="10958" max="10958" width="14.42578125" style="10" customWidth="1"/>
    <col min="10959" max="10959" width="8.42578125" style="10" bestFit="1" customWidth="1"/>
    <col min="10960" max="10960" width="16.85546875" style="10" customWidth="1"/>
    <col min="10961" max="10961" width="9.140625" style="10"/>
    <col min="10962" max="10962" width="11.28515625" style="10" customWidth="1"/>
    <col min="10963" max="11211" width="9.140625" style="10"/>
    <col min="11212" max="11212" width="37.42578125" style="10" customWidth="1"/>
    <col min="11213" max="11213" width="13.5703125" style="10" customWidth="1"/>
    <col min="11214" max="11214" width="14.42578125" style="10" customWidth="1"/>
    <col min="11215" max="11215" width="8.42578125" style="10" bestFit="1" customWidth="1"/>
    <col min="11216" max="11216" width="16.85546875" style="10" customWidth="1"/>
    <col min="11217" max="11217" width="9.140625" style="10"/>
    <col min="11218" max="11218" width="11.28515625" style="10" customWidth="1"/>
    <col min="11219" max="11467" width="9.140625" style="10"/>
    <col min="11468" max="11468" width="37.42578125" style="10" customWidth="1"/>
    <col min="11469" max="11469" width="13.5703125" style="10" customWidth="1"/>
    <col min="11470" max="11470" width="14.42578125" style="10" customWidth="1"/>
    <col min="11471" max="11471" width="8.42578125" style="10" bestFit="1" customWidth="1"/>
    <col min="11472" max="11472" width="16.85546875" style="10" customWidth="1"/>
    <col min="11473" max="11473" width="9.140625" style="10"/>
    <col min="11474" max="11474" width="11.28515625" style="10" customWidth="1"/>
    <col min="11475" max="11723" width="9.140625" style="10"/>
    <col min="11724" max="11724" width="37.42578125" style="10" customWidth="1"/>
    <col min="11725" max="11725" width="13.5703125" style="10" customWidth="1"/>
    <col min="11726" max="11726" width="14.42578125" style="10" customWidth="1"/>
    <col min="11727" max="11727" width="8.42578125" style="10" bestFit="1" customWidth="1"/>
    <col min="11728" max="11728" width="16.85546875" style="10" customWidth="1"/>
    <col min="11729" max="11729" width="9.140625" style="10"/>
    <col min="11730" max="11730" width="11.28515625" style="10" customWidth="1"/>
    <col min="11731" max="11979" width="9.140625" style="10"/>
    <col min="11980" max="11980" width="37.42578125" style="10" customWidth="1"/>
    <col min="11981" max="11981" width="13.5703125" style="10" customWidth="1"/>
    <col min="11982" max="11982" width="14.42578125" style="10" customWidth="1"/>
    <col min="11983" max="11983" width="8.42578125" style="10" bestFit="1" customWidth="1"/>
    <col min="11984" max="11984" width="16.85546875" style="10" customWidth="1"/>
    <col min="11985" max="11985" width="9.140625" style="10"/>
    <col min="11986" max="11986" width="11.28515625" style="10" customWidth="1"/>
    <col min="11987" max="12235" width="9.140625" style="10"/>
    <col min="12236" max="12236" width="37.42578125" style="10" customWidth="1"/>
    <col min="12237" max="12237" width="13.5703125" style="10" customWidth="1"/>
    <col min="12238" max="12238" width="14.42578125" style="10" customWidth="1"/>
    <col min="12239" max="12239" width="8.42578125" style="10" bestFit="1" customWidth="1"/>
    <col min="12240" max="12240" width="16.85546875" style="10" customWidth="1"/>
    <col min="12241" max="12241" width="9.140625" style="10"/>
    <col min="12242" max="12242" width="11.28515625" style="10" customWidth="1"/>
    <col min="12243" max="12491" width="9.140625" style="10"/>
    <col min="12492" max="12492" width="37.42578125" style="10" customWidth="1"/>
    <col min="12493" max="12493" width="13.5703125" style="10" customWidth="1"/>
    <col min="12494" max="12494" width="14.42578125" style="10" customWidth="1"/>
    <col min="12495" max="12495" width="8.42578125" style="10" bestFit="1" customWidth="1"/>
    <col min="12496" max="12496" width="16.85546875" style="10" customWidth="1"/>
    <col min="12497" max="12497" width="9.140625" style="10"/>
    <col min="12498" max="12498" width="11.28515625" style="10" customWidth="1"/>
    <col min="12499" max="12747" width="9.140625" style="10"/>
    <col min="12748" max="12748" width="37.42578125" style="10" customWidth="1"/>
    <col min="12749" max="12749" width="13.5703125" style="10" customWidth="1"/>
    <col min="12750" max="12750" width="14.42578125" style="10" customWidth="1"/>
    <col min="12751" max="12751" width="8.42578125" style="10" bestFit="1" customWidth="1"/>
    <col min="12752" max="12752" width="16.85546875" style="10" customWidth="1"/>
    <col min="12753" max="12753" width="9.140625" style="10"/>
    <col min="12754" max="12754" width="11.28515625" style="10" customWidth="1"/>
    <col min="12755" max="13003" width="9.140625" style="10"/>
    <col min="13004" max="13004" width="37.42578125" style="10" customWidth="1"/>
    <col min="13005" max="13005" width="13.5703125" style="10" customWidth="1"/>
    <col min="13006" max="13006" width="14.42578125" style="10" customWidth="1"/>
    <col min="13007" max="13007" width="8.42578125" style="10" bestFit="1" customWidth="1"/>
    <col min="13008" max="13008" width="16.85546875" style="10" customWidth="1"/>
    <col min="13009" max="13009" width="9.140625" style="10"/>
    <col min="13010" max="13010" width="11.28515625" style="10" customWidth="1"/>
    <col min="13011" max="13259" width="9.140625" style="10"/>
    <col min="13260" max="13260" width="37.42578125" style="10" customWidth="1"/>
    <col min="13261" max="13261" width="13.5703125" style="10" customWidth="1"/>
    <col min="13262" max="13262" width="14.42578125" style="10" customWidth="1"/>
    <col min="13263" max="13263" width="8.42578125" style="10" bestFit="1" customWidth="1"/>
    <col min="13264" max="13264" width="16.85546875" style="10" customWidth="1"/>
    <col min="13265" max="13265" width="9.140625" style="10"/>
    <col min="13266" max="13266" width="11.28515625" style="10" customWidth="1"/>
    <col min="13267" max="13515" width="9.140625" style="10"/>
    <col min="13516" max="13516" width="37.42578125" style="10" customWidth="1"/>
    <col min="13517" max="13517" width="13.5703125" style="10" customWidth="1"/>
    <col min="13518" max="13518" width="14.42578125" style="10" customWidth="1"/>
    <col min="13519" max="13519" width="8.42578125" style="10" bestFit="1" customWidth="1"/>
    <col min="13520" max="13520" width="16.85546875" style="10" customWidth="1"/>
    <col min="13521" max="13521" width="9.140625" style="10"/>
    <col min="13522" max="13522" width="11.28515625" style="10" customWidth="1"/>
    <col min="13523" max="13771" width="9.140625" style="10"/>
    <col min="13772" max="13772" width="37.42578125" style="10" customWidth="1"/>
    <col min="13773" max="13773" width="13.5703125" style="10" customWidth="1"/>
    <col min="13774" max="13774" width="14.42578125" style="10" customWidth="1"/>
    <col min="13775" max="13775" width="8.42578125" style="10" bestFit="1" customWidth="1"/>
    <col min="13776" max="13776" width="16.85546875" style="10" customWidth="1"/>
    <col min="13777" max="13777" width="9.140625" style="10"/>
    <col min="13778" max="13778" width="11.28515625" style="10" customWidth="1"/>
    <col min="13779" max="14027" width="9.140625" style="10"/>
    <col min="14028" max="14028" width="37.42578125" style="10" customWidth="1"/>
    <col min="14029" max="14029" width="13.5703125" style="10" customWidth="1"/>
    <col min="14030" max="14030" width="14.42578125" style="10" customWidth="1"/>
    <col min="14031" max="14031" width="8.42578125" style="10" bestFit="1" customWidth="1"/>
    <col min="14032" max="14032" width="16.85546875" style="10" customWidth="1"/>
    <col min="14033" max="14033" width="9.140625" style="10"/>
    <col min="14034" max="14034" width="11.28515625" style="10" customWidth="1"/>
    <col min="14035" max="14283" width="9.140625" style="10"/>
    <col min="14284" max="14284" width="37.42578125" style="10" customWidth="1"/>
    <col min="14285" max="14285" width="13.5703125" style="10" customWidth="1"/>
    <col min="14286" max="14286" width="14.42578125" style="10" customWidth="1"/>
    <col min="14287" max="14287" width="8.42578125" style="10" bestFit="1" customWidth="1"/>
    <col min="14288" max="14288" width="16.85546875" style="10" customWidth="1"/>
    <col min="14289" max="14289" width="9.140625" style="10"/>
    <col min="14290" max="14290" width="11.28515625" style="10" customWidth="1"/>
    <col min="14291" max="14539" width="9.140625" style="10"/>
    <col min="14540" max="14540" width="37.42578125" style="10" customWidth="1"/>
    <col min="14541" max="14541" width="13.5703125" style="10" customWidth="1"/>
    <col min="14542" max="14542" width="14.42578125" style="10" customWidth="1"/>
    <col min="14543" max="14543" width="8.42578125" style="10" bestFit="1" customWidth="1"/>
    <col min="14544" max="14544" width="16.85546875" style="10" customWidth="1"/>
    <col min="14545" max="14545" width="9.140625" style="10"/>
    <col min="14546" max="14546" width="11.28515625" style="10" customWidth="1"/>
    <col min="14547" max="14795" width="9.140625" style="10"/>
    <col min="14796" max="14796" width="37.42578125" style="10" customWidth="1"/>
    <col min="14797" max="14797" width="13.5703125" style="10" customWidth="1"/>
    <col min="14798" max="14798" width="14.42578125" style="10" customWidth="1"/>
    <col min="14799" max="14799" width="8.42578125" style="10" bestFit="1" customWidth="1"/>
    <col min="14800" max="14800" width="16.85546875" style="10" customWidth="1"/>
    <col min="14801" max="14801" width="9.140625" style="10"/>
    <col min="14802" max="14802" width="11.28515625" style="10" customWidth="1"/>
    <col min="14803" max="15051" width="9.140625" style="10"/>
    <col min="15052" max="15052" width="37.42578125" style="10" customWidth="1"/>
    <col min="15053" max="15053" width="13.5703125" style="10" customWidth="1"/>
    <col min="15054" max="15054" width="14.42578125" style="10" customWidth="1"/>
    <col min="15055" max="15055" width="8.42578125" style="10" bestFit="1" customWidth="1"/>
    <col min="15056" max="15056" width="16.85546875" style="10" customWidth="1"/>
    <col min="15057" max="15057" width="9.140625" style="10"/>
    <col min="15058" max="15058" width="11.28515625" style="10" customWidth="1"/>
    <col min="15059" max="15307" width="9.140625" style="10"/>
    <col min="15308" max="15308" width="37.42578125" style="10" customWidth="1"/>
    <col min="15309" max="15309" width="13.5703125" style="10" customWidth="1"/>
    <col min="15310" max="15310" width="14.42578125" style="10" customWidth="1"/>
    <col min="15311" max="15311" width="8.42578125" style="10" bestFit="1" customWidth="1"/>
    <col min="15312" max="15312" width="16.85546875" style="10" customWidth="1"/>
    <col min="15313" max="15313" width="9.140625" style="10"/>
    <col min="15314" max="15314" width="11.28515625" style="10" customWidth="1"/>
    <col min="15315" max="15563" width="9.140625" style="10"/>
    <col min="15564" max="15564" width="37.42578125" style="10" customWidth="1"/>
    <col min="15565" max="15565" width="13.5703125" style="10" customWidth="1"/>
    <col min="15566" max="15566" width="14.42578125" style="10" customWidth="1"/>
    <col min="15567" max="15567" width="8.42578125" style="10" bestFit="1" customWidth="1"/>
    <col min="15568" max="15568" width="16.85546875" style="10" customWidth="1"/>
    <col min="15569" max="15569" width="9.140625" style="10"/>
    <col min="15570" max="15570" width="11.28515625" style="10" customWidth="1"/>
    <col min="15571" max="15819" width="9.140625" style="10"/>
    <col min="15820" max="15820" width="37.42578125" style="10" customWidth="1"/>
    <col min="15821" max="15821" width="13.5703125" style="10" customWidth="1"/>
    <col min="15822" max="15822" width="14.42578125" style="10" customWidth="1"/>
    <col min="15823" max="15823" width="8.42578125" style="10" bestFit="1" customWidth="1"/>
    <col min="15824" max="15824" width="16.85546875" style="10" customWidth="1"/>
    <col min="15825" max="15825" width="9.140625" style="10"/>
    <col min="15826" max="15826" width="11.28515625" style="10" customWidth="1"/>
    <col min="15827" max="16075" width="9.140625" style="10"/>
    <col min="16076" max="16076" width="37.42578125" style="10" customWidth="1"/>
    <col min="16077" max="16077" width="13.5703125" style="10" customWidth="1"/>
    <col min="16078" max="16078" width="14.42578125" style="10" customWidth="1"/>
    <col min="16079" max="16079" width="8.42578125" style="10" bestFit="1" customWidth="1"/>
    <col min="16080" max="16080" width="16.85546875" style="10" customWidth="1"/>
    <col min="16081" max="16081" width="9.140625" style="10"/>
    <col min="16082" max="16082" width="11.28515625" style="10" customWidth="1"/>
    <col min="16083" max="16384" width="9.140625" style="10"/>
  </cols>
  <sheetData>
    <row r="1" spans="1:19" ht="15.75" x14ac:dyDescent="0.2">
      <c r="A1" s="685" t="s">
        <v>46</v>
      </c>
      <c r="B1" s="686"/>
      <c r="C1" s="686"/>
      <c r="D1" s="687"/>
      <c r="E1" s="688"/>
      <c r="F1" s="9"/>
    </row>
    <row r="2" spans="1:19" ht="38.25" x14ac:dyDescent="0.2">
      <c r="A2" s="12" t="s">
        <v>47</v>
      </c>
      <c r="B2" s="313" t="str">
        <f>'BOM R2D CatWalk'!I109</f>
        <v>HAND RAIL,WELDMENT,42" CATWALK, PC4100</v>
      </c>
      <c r="C2" s="13"/>
      <c r="D2" s="13" t="s">
        <v>48</v>
      </c>
      <c r="E2" s="85"/>
    </row>
    <row r="3" spans="1:19" ht="13.5" thickBot="1" x14ac:dyDescent="0.25">
      <c r="A3" s="12" t="s">
        <v>49</v>
      </c>
      <c r="B3" s="313" t="str">
        <f>'BOM R2D CatWalk'!G109</f>
        <v>AY30084</v>
      </c>
      <c r="C3" s="13"/>
      <c r="D3" s="13" t="s">
        <v>50</v>
      </c>
      <c r="E3" s="15">
        <f>'BOM R2D CatWalk'!K109</f>
        <v>4</v>
      </c>
      <c r="F3" s="9"/>
    </row>
    <row r="4" spans="1:19" ht="16.5" customHeight="1" thickBot="1" x14ac:dyDescent="0.25">
      <c r="A4" s="12" t="s">
        <v>51</v>
      </c>
      <c r="B4" s="86">
        <f>'BOM R2D CatWalk'!N109</f>
        <v>76</v>
      </c>
      <c r="C4" s="16"/>
      <c r="D4" s="147"/>
      <c r="E4" s="17"/>
      <c r="F4" s="9"/>
      <c r="I4" s="707" t="s">
        <v>685</v>
      </c>
      <c r="J4" s="708"/>
      <c r="K4" s="708"/>
      <c r="L4" s="708"/>
      <c r="M4" s="708"/>
      <c r="N4" s="708"/>
      <c r="O4" s="708"/>
      <c r="P4" s="359" t="str">
        <f>'RM Details'!H77</f>
        <v>AY30084</v>
      </c>
      <c r="Q4" s="359"/>
      <c r="R4" s="359"/>
      <c r="S4" s="360"/>
    </row>
    <row r="5" spans="1:19" ht="21.75" customHeight="1" thickBot="1" x14ac:dyDescent="0.25">
      <c r="A5" s="691" t="s">
        <v>52</v>
      </c>
      <c r="B5" s="692"/>
      <c r="C5" s="692"/>
      <c r="D5" s="693"/>
      <c r="E5" s="694"/>
      <c r="F5" s="18"/>
      <c r="I5" s="379" t="s">
        <v>0</v>
      </c>
      <c r="J5" s="379" t="s">
        <v>13</v>
      </c>
      <c r="K5" s="379" t="s">
        <v>154</v>
      </c>
      <c r="L5" s="379" t="s">
        <v>544</v>
      </c>
      <c r="M5" s="380" t="s">
        <v>551</v>
      </c>
      <c r="N5" s="380" t="s">
        <v>552</v>
      </c>
      <c r="O5" s="379" t="s">
        <v>548</v>
      </c>
      <c r="P5" s="379" t="s">
        <v>34</v>
      </c>
      <c r="Q5" s="379" t="s">
        <v>549</v>
      </c>
      <c r="R5" s="379" t="s">
        <v>547</v>
      </c>
      <c r="S5" s="379" t="s">
        <v>156</v>
      </c>
    </row>
    <row r="6" spans="1:19" ht="16.5" thickBot="1" x14ac:dyDescent="0.25">
      <c r="A6" s="695" t="s">
        <v>53</v>
      </c>
      <c r="B6" s="696"/>
      <c r="C6" s="696"/>
      <c r="D6" s="697"/>
      <c r="E6" s="698"/>
      <c r="F6" s="18"/>
      <c r="G6" s="19"/>
      <c r="H6" s="19"/>
      <c r="I6" s="143">
        <v>1</v>
      </c>
      <c r="J6" s="143" t="s">
        <v>329</v>
      </c>
      <c r="K6" s="143" t="s">
        <v>331</v>
      </c>
      <c r="L6" s="143" t="s">
        <v>540</v>
      </c>
      <c r="M6" s="145">
        <f>'RM Details'!E79</f>
        <v>88.945999999999998</v>
      </c>
      <c r="N6" s="145">
        <f>'RM Details'!F79</f>
        <v>97.840599999999995</v>
      </c>
      <c r="O6" s="145">
        <f>5.5*6</f>
        <v>33</v>
      </c>
      <c r="P6" s="145"/>
      <c r="Q6" s="145">
        <f t="shared" ref="Q6" si="0">IF(O6&gt;N6,O6,IF(O6&lt;N6,N6))</f>
        <v>97.840599999999995</v>
      </c>
      <c r="R6" s="145">
        <v>110</v>
      </c>
      <c r="S6" s="145">
        <f t="shared" ref="S6" si="1">R6*Q6</f>
        <v>10762.466</v>
      </c>
    </row>
    <row r="7" spans="1:19" ht="21.75" thickBot="1" x14ac:dyDescent="0.25">
      <c r="A7" s="20" t="s">
        <v>54</v>
      </c>
      <c r="B7" s="21"/>
      <c r="C7" s="21"/>
      <c r="D7" s="21" t="s">
        <v>540</v>
      </c>
      <c r="E7" s="21"/>
      <c r="F7" s="18"/>
      <c r="G7" s="1"/>
      <c r="H7" s="1"/>
      <c r="I7" s="341"/>
      <c r="J7" s="341"/>
      <c r="K7" s="341" t="s">
        <v>45</v>
      </c>
      <c r="L7" s="341"/>
      <c r="M7" s="342">
        <f>SUM(M6:M6)</f>
        <v>88.945999999999998</v>
      </c>
      <c r="N7" s="342">
        <f>SUM(N6:N6)</f>
        <v>97.840599999999995</v>
      </c>
      <c r="O7" s="346"/>
      <c r="P7" s="346"/>
      <c r="Q7" s="342">
        <f>SUM(Q6:Q6)</f>
        <v>97.840599999999995</v>
      </c>
      <c r="R7" s="145">
        <f>S7/Q7</f>
        <v>110.00000000000001</v>
      </c>
      <c r="S7" s="342">
        <f>SUM(S6:S6)</f>
        <v>10762.466</v>
      </c>
    </row>
    <row r="8" spans="1:19" ht="17.25" customHeight="1" x14ac:dyDescent="0.2">
      <c r="A8" s="23" t="s">
        <v>55</v>
      </c>
      <c r="B8" s="24"/>
      <c r="C8" s="25"/>
      <c r="D8" s="25">
        <f>Q6</f>
        <v>97.840599999999995</v>
      </c>
      <c r="E8" s="26"/>
      <c r="F8" s="18">
        <f>SUM(C8:E8)</f>
        <v>97.840599999999995</v>
      </c>
      <c r="G8" s="1"/>
    </row>
    <row r="9" spans="1:19" ht="18" customHeight="1" x14ac:dyDescent="0.2">
      <c r="A9" s="27" t="s">
        <v>56</v>
      </c>
      <c r="B9" s="77"/>
      <c r="C9" s="28"/>
      <c r="D9" s="28">
        <f>M6</f>
        <v>88.945999999999998</v>
      </c>
      <c r="E9" s="74"/>
      <c r="F9" s="18">
        <f>SUM(C9:E9)</f>
        <v>88.945999999999998</v>
      </c>
      <c r="G9" s="1"/>
    </row>
    <row r="10" spans="1:19" ht="15" x14ac:dyDescent="0.2">
      <c r="A10" s="29" t="s">
        <v>57</v>
      </c>
      <c r="B10" s="78"/>
      <c r="C10" s="30"/>
      <c r="D10" s="30">
        <f t="shared" ref="D10" si="2">(D8-D9)*80%</f>
        <v>7.1156799999999976</v>
      </c>
      <c r="E10" s="30"/>
      <c r="F10" s="31">
        <f>(F8-F9)/F9</f>
        <v>9.9999999999999964E-2</v>
      </c>
      <c r="G10" s="32"/>
    </row>
    <row r="11" spans="1:19" ht="15" x14ac:dyDescent="0.25">
      <c r="A11" s="33" t="s">
        <v>58</v>
      </c>
      <c r="B11" s="34"/>
      <c r="C11" s="35"/>
      <c r="D11" s="35">
        <v>200</v>
      </c>
      <c r="E11" s="35"/>
      <c r="F11" s="18">
        <f>SUMPRODUCT(B11:E11,B8:E8)</f>
        <v>19568.12</v>
      </c>
      <c r="G11"/>
      <c r="H11"/>
    </row>
    <row r="12" spans="1:19" ht="15.75" thickBot="1" x14ac:dyDescent="0.3">
      <c r="A12" s="29" t="s">
        <v>59</v>
      </c>
      <c r="B12" s="352"/>
      <c r="C12" s="353"/>
      <c r="D12" s="353">
        <v>30</v>
      </c>
      <c r="E12" s="353"/>
      <c r="F12" s="18"/>
      <c r="G12"/>
      <c r="H12"/>
    </row>
    <row r="13" spans="1:19" ht="15.75" thickBot="1" x14ac:dyDescent="0.3">
      <c r="A13" s="36" t="s">
        <v>60</v>
      </c>
      <c r="B13" s="349"/>
      <c r="C13" s="349"/>
      <c r="D13" s="349">
        <f>(D8*D11)-(D10*D12)</f>
        <v>19354.649600000001</v>
      </c>
      <c r="E13" s="350"/>
      <c r="F13" s="37">
        <f>SUM(B13:E13)</f>
        <v>19354.649600000001</v>
      </c>
      <c r="G13"/>
      <c r="H13"/>
    </row>
    <row r="14" spans="1:19" ht="15.75" thickBot="1" x14ac:dyDescent="0.25">
      <c r="A14" s="38" t="s">
        <v>61</v>
      </c>
      <c r="B14" s="680">
        <f>SUM(B13:E13)</f>
        <v>19354.649600000001</v>
      </c>
      <c r="C14" s="682"/>
      <c r="D14" s="683"/>
      <c r="E14" s="684"/>
      <c r="F14" s="39">
        <f>F13/F8</f>
        <v>197.81818181818184</v>
      </c>
      <c r="G14" s="32"/>
      <c r="H14" s="32"/>
    </row>
    <row r="15" spans="1:19" ht="15" x14ac:dyDescent="0.25">
      <c r="A15" s="663" t="s">
        <v>62</v>
      </c>
      <c r="B15" s="664"/>
      <c r="C15" s="664"/>
      <c r="D15" s="665"/>
      <c r="E15" s="666"/>
      <c r="F15" s="18"/>
      <c r="G15"/>
      <c r="H15"/>
    </row>
    <row r="16" spans="1:19" ht="24.75" customHeight="1" x14ac:dyDescent="0.2">
      <c r="A16" s="317" t="s">
        <v>63</v>
      </c>
      <c r="B16" s="41"/>
      <c r="C16" s="42"/>
      <c r="D16" s="150"/>
      <c r="E16" s="43"/>
      <c r="F16" s="18"/>
      <c r="G16" s="32"/>
      <c r="H16" s="32"/>
    </row>
    <row r="17" spans="1:8" ht="20.25" customHeight="1" x14ac:dyDescent="0.2">
      <c r="A17" s="667" t="s">
        <v>64</v>
      </c>
      <c r="B17" s="668"/>
      <c r="C17" s="668"/>
      <c r="D17" s="151"/>
      <c r="E17" s="45">
        <f>SUM(E16:E16)</f>
        <v>0</v>
      </c>
      <c r="F17" s="84"/>
    </row>
    <row r="18" spans="1:8" ht="13.5" thickBot="1" x14ac:dyDescent="0.25">
      <c r="A18" s="669" t="s">
        <v>65</v>
      </c>
      <c r="B18" s="670"/>
      <c r="C18" s="670"/>
      <c r="D18" s="152"/>
      <c r="E18" s="46">
        <f>B14+E17</f>
        <v>19354.649600000001</v>
      </c>
      <c r="F18" s="18"/>
    </row>
    <row r="19" spans="1:8" ht="22.5" customHeight="1" x14ac:dyDescent="0.2">
      <c r="A19" s="671" t="s">
        <v>66</v>
      </c>
      <c r="B19" s="672"/>
      <c r="C19" s="672"/>
      <c r="D19" s="673"/>
      <c r="E19" s="674"/>
      <c r="F19" s="18"/>
    </row>
    <row r="20" spans="1:8" x14ac:dyDescent="0.2">
      <c r="A20" s="47" t="s">
        <v>54</v>
      </c>
      <c r="B20" s="48" t="s">
        <v>23</v>
      </c>
      <c r="C20" s="49" t="s">
        <v>67</v>
      </c>
      <c r="D20" s="50"/>
      <c r="E20" s="51" t="s">
        <v>68</v>
      </c>
      <c r="F20" s="18"/>
    </row>
    <row r="21" spans="1:8" ht="18" customHeight="1" x14ac:dyDescent="0.2">
      <c r="A21" s="52" t="s">
        <v>69</v>
      </c>
      <c r="B21" s="53">
        <f>'BOM R2D CatWalk'!X109</f>
        <v>16</v>
      </c>
      <c r="C21" s="54">
        <v>35</v>
      </c>
      <c r="D21" s="55"/>
      <c r="E21" s="45">
        <f t="shared" ref="E21:E27" si="3">B21*C21</f>
        <v>560</v>
      </c>
      <c r="F21" s="56"/>
      <c r="G21" s="69">
        <f>E21/$F$9</f>
        <v>6.2959548490095116</v>
      </c>
      <c r="H21" s="69"/>
    </row>
    <row r="22" spans="1:8" ht="20.25" customHeight="1" x14ac:dyDescent="0.2">
      <c r="A22" s="52" t="s">
        <v>70</v>
      </c>
      <c r="B22" s="53">
        <f>'BOM R2D CatWalk'!AB109/60</f>
        <v>0.66666666666666663</v>
      </c>
      <c r="C22" s="54">
        <v>550</v>
      </c>
      <c r="D22" s="55"/>
      <c r="E22" s="45">
        <f t="shared" si="3"/>
        <v>366.66666666666663</v>
      </c>
      <c r="F22" s="56"/>
      <c r="G22" s="69">
        <f t="shared" ref="G22:G35" si="4">E22/$F$9</f>
        <v>4.122351389232418</v>
      </c>
      <c r="H22" s="69"/>
    </row>
    <row r="23" spans="1:8" ht="18" customHeight="1" x14ac:dyDescent="0.2">
      <c r="A23" s="52" t="s">
        <v>71</v>
      </c>
      <c r="B23" s="53">
        <f>'BOM R2D CatWalk'!Z109</f>
        <v>0</v>
      </c>
      <c r="C23" s="54">
        <v>100</v>
      </c>
      <c r="D23" s="55"/>
      <c r="E23" s="45">
        <f t="shared" si="3"/>
        <v>0</v>
      </c>
      <c r="F23" s="79"/>
      <c r="G23" s="69">
        <f t="shared" si="4"/>
        <v>0</v>
      </c>
      <c r="H23" s="69"/>
    </row>
    <row r="24" spans="1:8" ht="18" customHeight="1" x14ac:dyDescent="0.2">
      <c r="A24" s="52" t="s">
        <v>72</v>
      </c>
      <c r="B24" s="53">
        <f>'BOM R2D CatWalk'!AF109</f>
        <v>3.456</v>
      </c>
      <c r="C24" s="54">
        <v>250</v>
      </c>
      <c r="D24" s="55"/>
      <c r="E24" s="45">
        <f t="shared" si="3"/>
        <v>864</v>
      </c>
      <c r="F24" s="56"/>
      <c r="G24" s="69">
        <f t="shared" si="4"/>
        <v>9.71375890990039</v>
      </c>
      <c r="H24" s="69"/>
    </row>
    <row r="25" spans="1:8" ht="18" customHeight="1" x14ac:dyDescent="0.2">
      <c r="A25" s="52" t="s">
        <v>73</v>
      </c>
      <c r="B25" s="53">
        <f>B24/12</f>
        <v>0.28799999999999998</v>
      </c>
      <c r="C25" s="54">
        <v>250</v>
      </c>
      <c r="D25" s="55"/>
      <c r="E25" s="45">
        <f t="shared" si="3"/>
        <v>72</v>
      </c>
      <c r="F25" s="56"/>
      <c r="G25" s="69">
        <f t="shared" si="4"/>
        <v>0.80947990915836576</v>
      </c>
      <c r="H25" s="69"/>
    </row>
    <row r="26" spans="1:8" ht="18" customHeight="1" x14ac:dyDescent="0.2">
      <c r="A26" s="52" t="s">
        <v>74</v>
      </c>
      <c r="B26" s="53">
        <f>F9/95</f>
        <v>0.93627368421052626</v>
      </c>
      <c r="C26" s="54">
        <v>1200</v>
      </c>
      <c r="D26" s="55"/>
      <c r="E26" s="45">
        <f t="shared" si="3"/>
        <v>1123.5284210526315</v>
      </c>
      <c r="F26" s="56"/>
      <c r="G26" s="69">
        <f t="shared" si="4"/>
        <v>12.631578947368421</v>
      </c>
      <c r="H26" s="69"/>
    </row>
    <row r="27" spans="1:8" x14ac:dyDescent="0.2">
      <c r="A27" s="57" t="s">
        <v>75</v>
      </c>
      <c r="B27" s="58"/>
      <c r="C27" s="59">
        <v>250</v>
      </c>
      <c r="D27" s="60"/>
      <c r="E27" s="61">
        <f t="shared" si="3"/>
        <v>0</v>
      </c>
      <c r="F27" s="84" t="s">
        <v>76</v>
      </c>
      <c r="G27" s="69">
        <f t="shared" si="4"/>
        <v>0</v>
      </c>
      <c r="H27" s="69"/>
    </row>
    <row r="28" spans="1:8" ht="18" customHeight="1" x14ac:dyDescent="0.2">
      <c r="A28" s="52" t="s">
        <v>77</v>
      </c>
      <c r="B28" s="53"/>
      <c r="C28" s="54">
        <v>5</v>
      </c>
      <c r="D28" s="55"/>
      <c r="E28" s="62">
        <f>C28*F9</f>
        <v>444.73</v>
      </c>
      <c r="F28" s="18"/>
      <c r="G28" s="69">
        <f t="shared" si="4"/>
        <v>5</v>
      </c>
      <c r="H28" s="69"/>
    </row>
    <row r="29" spans="1:8" ht="18" customHeight="1" x14ac:dyDescent="0.2">
      <c r="A29" s="52" t="s">
        <v>78</v>
      </c>
      <c r="B29" s="53">
        <v>0</v>
      </c>
      <c r="C29" s="54">
        <v>50</v>
      </c>
      <c r="D29" s="55"/>
      <c r="E29" s="62">
        <f>B29*C29</f>
        <v>0</v>
      </c>
      <c r="F29" s="18"/>
      <c r="G29" s="69">
        <f t="shared" si="4"/>
        <v>0</v>
      </c>
      <c r="H29" s="69"/>
    </row>
    <row r="30" spans="1:8" ht="18" customHeight="1" x14ac:dyDescent="0.2">
      <c r="A30" s="52" t="s">
        <v>79</v>
      </c>
      <c r="B30" s="54">
        <f>'BOM R2D CatWalk'!AI109</f>
        <v>3.4219951999999996</v>
      </c>
      <c r="C30" s="54">
        <v>1250</v>
      </c>
      <c r="D30" s="55"/>
      <c r="E30" s="62">
        <f>B30*C30</f>
        <v>4277.4939999999997</v>
      </c>
      <c r="F30" s="63" t="s">
        <v>133</v>
      </c>
      <c r="G30" s="69">
        <f t="shared" si="4"/>
        <v>48.090909090909086</v>
      </c>
      <c r="H30" s="69"/>
    </row>
    <row r="31" spans="1:8" ht="18" customHeight="1" x14ac:dyDescent="0.2">
      <c r="A31" s="52" t="s">
        <v>123</v>
      </c>
      <c r="B31" s="54">
        <f>15/60</f>
        <v>0.25</v>
      </c>
      <c r="C31" s="54">
        <v>250</v>
      </c>
      <c r="D31" s="55"/>
      <c r="E31" s="45">
        <f>B31*C31</f>
        <v>62.5</v>
      </c>
      <c r="F31" s="63"/>
      <c r="G31" s="69">
        <f t="shared" si="4"/>
        <v>0.70267353225552587</v>
      </c>
      <c r="H31" s="69"/>
    </row>
    <row r="32" spans="1:8" ht="18" customHeight="1" x14ac:dyDescent="0.2">
      <c r="A32" s="52" t="s">
        <v>135</v>
      </c>
      <c r="B32" s="54"/>
      <c r="C32" s="54">
        <v>5</v>
      </c>
      <c r="D32" s="55"/>
      <c r="E32" s="45">
        <f>C32*F9</f>
        <v>444.73</v>
      </c>
      <c r="F32" s="63"/>
      <c r="G32" s="69">
        <f t="shared" si="4"/>
        <v>5</v>
      </c>
      <c r="H32" s="69"/>
    </row>
    <row r="33" spans="1:13" ht="19.5" customHeight="1" x14ac:dyDescent="0.2">
      <c r="A33" s="47" t="s">
        <v>152</v>
      </c>
      <c r="B33" s="64"/>
      <c r="C33" s="65"/>
      <c r="D33" s="66"/>
      <c r="E33" s="67">
        <f>SUM(E21:E32)</f>
        <v>8215.6490877192973</v>
      </c>
      <c r="F33" s="18"/>
      <c r="G33" s="69">
        <f t="shared" si="4"/>
        <v>92.366706627833707</v>
      </c>
      <c r="H33" s="69"/>
    </row>
    <row r="34" spans="1:13" ht="22.5" customHeight="1" x14ac:dyDescent="0.2">
      <c r="A34" s="675" t="s">
        <v>80</v>
      </c>
      <c r="B34" s="676"/>
      <c r="C34" s="677"/>
      <c r="D34" s="315"/>
      <c r="E34" s="154">
        <f>E18+E33</f>
        <v>27570.298687719296</v>
      </c>
      <c r="F34" s="68"/>
      <c r="G34" s="69"/>
      <c r="H34" s="69"/>
    </row>
    <row r="35" spans="1:13" x14ac:dyDescent="0.2">
      <c r="A35" s="83" t="s">
        <v>126</v>
      </c>
      <c r="B35" s="83"/>
      <c r="C35" s="318"/>
      <c r="D35" s="156">
        <v>0.1</v>
      </c>
      <c r="E35" s="155">
        <f>E34*D35</f>
        <v>2757.0298687719296</v>
      </c>
      <c r="F35" s="70"/>
      <c r="G35" s="69">
        <f t="shared" si="4"/>
        <v>30.996670662783369</v>
      </c>
      <c r="H35" s="69"/>
    </row>
    <row r="36" spans="1:13" x14ac:dyDescent="0.2">
      <c r="A36" s="83" t="s">
        <v>127</v>
      </c>
      <c r="B36" s="83"/>
      <c r="C36" s="318"/>
      <c r="D36" s="318"/>
      <c r="E36" s="155">
        <f>SUM(E34:E35)</f>
        <v>30327.328556491226</v>
      </c>
      <c r="F36" s="70"/>
      <c r="G36" s="69">
        <f>E36/F9</f>
        <v>340.96337729061707</v>
      </c>
      <c r="H36" s="69"/>
      <c r="I36" s="69">
        <f>E36/F8</f>
        <v>309.96670662783373</v>
      </c>
    </row>
    <row r="39" spans="1:13" ht="12.75" customHeight="1" thickBot="1" x14ac:dyDescent="0.25">
      <c r="F39" s="11" t="s">
        <v>81</v>
      </c>
      <c r="G39" s="44"/>
      <c r="H39" s="44"/>
    </row>
    <row r="40" spans="1:13" ht="12.75" customHeight="1" x14ac:dyDescent="0.2">
      <c r="A40" s="678" t="s">
        <v>82</v>
      </c>
      <c r="B40" s="679"/>
      <c r="C40" s="679"/>
      <c r="D40" s="153"/>
      <c r="E40" s="71" t="s">
        <v>83</v>
      </c>
      <c r="F40" s="11" t="s">
        <v>81</v>
      </c>
      <c r="G40" s="44"/>
      <c r="H40" s="44"/>
    </row>
    <row r="41" spans="1:13" x14ac:dyDescent="0.2">
      <c r="A41" s="654" t="s">
        <v>134</v>
      </c>
      <c r="B41" s="655"/>
      <c r="C41" s="655"/>
      <c r="D41" s="316"/>
      <c r="E41" s="72"/>
    </row>
    <row r="42" spans="1:13" ht="13.5" thickBot="1" x14ac:dyDescent="0.25">
      <c r="A42" s="656" t="s">
        <v>84</v>
      </c>
      <c r="B42" s="657"/>
      <c r="C42" s="657"/>
      <c r="D42" s="314"/>
      <c r="E42" s="261" t="s">
        <v>85</v>
      </c>
    </row>
    <row r="43" spans="1:13" ht="20.100000000000001" customHeight="1" x14ac:dyDescent="0.2">
      <c r="G43" s="44"/>
      <c r="H43" s="44"/>
    </row>
    <row r="44" spans="1:13" s="44" customFormat="1" ht="18" customHeight="1" thickBot="1" x14ac:dyDescent="0.25">
      <c r="A44" s="10"/>
      <c r="B44" s="10"/>
      <c r="C44" s="10"/>
      <c r="D44" s="10"/>
      <c r="E44" s="70"/>
      <c r="F44" s="14"/>
      <c r="G44" s="10"/>
      <c r="H44" s="10"/>
      <c r="I44" s="10"/>
    </row>
    <row r="45" spans="1:13" s="44" customFormat="1" ht="15.75" thickBot="1" x14ac:dyDescent="0.25">
      <c r="A45" s="658" t="s">
        <v>161</v>
      </c>
      <c r="B45" s="659"/>
      <c r="C45" s="659"/>
      <c r="D45" s="660"/>
      <c r="E45" s="70"/>
      <c r="F45" s="14"/>
      <c r="G45" s="10"/>
      <c r="H45" s="10"/>
      <c r="I45" s="10"/>
    </row>
    <row r="46" spans="1:13" s="44" customFormat="1" ht="19.5" customHeight="1" thickBot="1" x14ac:dyDescent="0.25">
      <c r="A46" s="282" t="s">
        <v>125</v>
      </c>
      <c r="B46" s="283" t="s">
        <v>159</v>
      </c>
      <c r="C46" s="283" t="s">
        <v>155</v>
      </c>
      <c r="D46" s="284" t="s">
        <v>156</v>
      </c>
      <c r="E46" s="70"/>
      <c r="F46" s="14"/>
      <c r="G46" s="10"/>
      <c r="H46" s="10"/>
      <c r="I46" s="10"/>
      <c r="J46" s="10"/>
      <c r="K46" s="10"/>
      <c r="L46" s="10"/>
      <c r="M46" s="10"/>
    </row>
    <row r="47" spans="1:13" s="44" customFormat="1" ht="15.75" x14ac:dyDescent="0.2">
      <c r="A47" s="288" t="s">
        <v>124</v>
      </c>
      <c r="B47" s="289"/>
      <c r="C47" s="290">
        <v>100</v>
      </c>
      <c r="D47" s="291">
        <f>B47*C47</f>
        <v>0</v>
      </c>
      <c r="E47" s="70"/>
      <c r="F47" s="14"/>
      <c r="G47" s="10"/>
      <c r="H47" s="10"/>
      <c r="I47" s="10"/>
      <c r="J47" s="10"/>
      <c r="K47" s="10"/>
      <c r="L47" s="10"/>
      <c r="M47" s="10"/>
    </row>
    <row r="48" spans="1:13" s="44" customFormat="1" ht="15.75" x14ac:dyDescent="0.2">
      <c r="A48" s="274" t="s">
        <v>157</v>
      </c>
      <c r="B48" s="80"/>
      <c r="C48" s="81">
        <v>100</v>
      </c>
      <c r="D48" s="273">
        <f>B48*C48</f>
        <v>0</v>
      </c>
      <c r="E48" s="70"/>
      <c r="F48" s="14"/>
      <c r="G48" s="10"/>
      <c r="H48" s="10"/>
      <c r="I48" s="10"/>
      <c r="J48" s="10"/>
      <c r="K48" s="10"/>
      <c r="L48" s="10"/>
      <c r="M48" s="10"/>
    </row>
    <row r="49" spans="1:13" s="44" customFormat="1" ht="15.75" x14ac:dyDescent="0.2">
      <c r="A49" s="274" t="s">
        <v>162</v>
      </c>
      <c r="B49" s="80"/>
      <c r="C49" s="81">
        <v>4.5</v>
      </c>
      <c r="D49" s="273">
        <f>B49*C49</f>
        <v>0</v>
      </c>
      <c r="E49" s="70"/>
      <c r="F49" s="14"/>
      <c r="G49" s="10"/>
      <c r="H49" s="10"/>
      <c r="I49" s="10"/>
      <c r="J49" s="10"/>
      <c r="K49" s="10"/>
      <c r="L49" s="10"/>
      <c r="M49" s="10"/>
    </row>
    <row r="50" spans="1:13" s="44" customFormat="1" ht="15.75" x14ac:dyDescent="0.2">
      <c r="A50" s="292" t="s">
        <v>163</v>
      </c>
      <c r="B50" s="286"/>
      <c r="C50" s="287"/>
      <c r="D50" s="293">
        <f>SUM(D47:D49)</f>
        <v>0</v>
      </c>
      <c r="E50" s="70"/>
      <c r="F50" s="14"/>
      <c r="G50" s="10"/>
      <c r="H50" s="10"/>
      <c r="I50" s="10"/>
      <c r="J50" s="10"/>
      <c r="K50" s="10"/>
      <c r="L50" s="10"/>
      <c r="M50" s="10"/>
    </row>
    <row r="51" spans="1:13" s="44" customFormat="1" ht="15.75" x14ac:dyDescent="0.2">
      <c r="A51" s="274" t="s">
        <v>158</v>
      </c>
      <c r="B51" s="80"/>
      <c r="C51" s="81">
        <f>75000/30</f>
        <v>2500</v>
      </c>
      <c r="D51" s="273">
        <f>B51*C51</f>
        <v>0</v>
      </c>
      <c r="E51" s="70"/>
      <c r="F51" s="14"/>
      <c r="G51" s="10"/>
      <c r="H51" s="10"/>
      <c r="I51" s="10"/>
      <c r="J51" s="10"/>
      <c r="K51" s="10"/>
      <c r="L51" s="10"/>
      <c r="M51" s="10"/>
    </row>
    <row r="52" spans="1:13" s="44" customFormat="1" ht="16.5" thickBot="1" x14ac:dyDescent="0.25">
      <c r="A52" s="275" t="s">
        <v>126</v>
      </c>
      <c r="B52" s="276"/>
      <c r="C52" s="285">
        <v>7.0000000000000007E-2</v>
      </c>
      <c r="D52" s="277">
        <f>(D50+D51)*C52</f>
        <v>0</v>
      </c>
      <c r="E52" s="70"/>
      <c r="F52" s="14"/>
      <c r="G52" s="10"/>
      <c r="H52" s="10"/>
      <c r="I52" s="10"/>
      <c r="J52" s="10"/>
      <c r="K52" s="10"/>
      <c r="L52" s="10"/>
      <c r="M52" s="10"/>
    </row>
    <row r="53" spans="1:13" s="265" customFormat="1" ht="16.5" thickBot="1" x14ac:dyDescent="0.25">
      <c r="A53" s="278" t="s">
        <v>160</v>
      </c>
      <c r="B53" s="279"/>
      <c r="C53" s="280"/>
      <c r="D53" s="281">
        <f>SUM(D50:D52)</f>
        <v>0</v>
      </c>
      <c r="E53" s="262"/>
      <c r="F53" s="263"/>
      <c r="G53" s="264"/>
      <c r="H53" s="264"/>
      <c r="I53" s="264"/>
      <c r="J53" s="264"/>
      <c r="K53" s="264"/>
      <c r="L53" s="264"/>
      <c r="M53" s="264"/>
    </row>
    <row r="54" spans="1:13" s="44" customFormat="1" ht="25.5" customHeight="1" x14ac:dyDescent="0.2">
      <c r="A54" s="10"/>
      <c r="B54" s="10"/>
      <c r="C54" s="10"/>
      <c r="D54" s="10"/>
      <c r="E54" s="70"/>
      <c r="F54" s="14"/>
      <c r="G54" s="10"/>
      <c r="H54" s="10"/>
      <c r="I54" s="10"/>
      <c r="J54" s="10"/>
      <c r="K54" s="10"/>
      <c r="L54" s="10"/>
      <c r="M54" s="10"/>
    </row>
  </sheetData>
  <sheetProtection selectLockedCells="1" selectUnlockedCells="1"/>
  <mergeCells count="14">
    <mergeCell ref="A15:E15"/>
    <mergeCell ref="A45:D45"/>
    <mergeCell ref="A1:E1"/>
    <mergeCell ref="I4:O4"/>
    <mergeCell ref="A5:E5"/>
    <mergeCell ref="A6:E6"/>
    <mergeCell ref="B14:E14"/>
    <mergeCell ref="A42:C42"/>
    <mergeCell ref="A17:C17"/>
    <mergeCell ref="A18:C18"/>
    <mergeCell ref="A19:E19"/>
    <mergeCell ref="A34:C34"/>
    <mergeCell ref="A40:C40"/>
    <mergeCell ref="A41:C4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8B7B-CEF4-49C5-8499-69A940D60CDB}">
  <sheetPr>
    <pageSetUpPr fitToPage="1"/>
  </sheetPr>
  <dimension ref="A1:S54"/>
  <sheetViews>
    <sheetView topLeftCell="A34" zoomScale="85" zoomScaleNormal="85" zoomScaleSheetLayoutView="100" workbookViewId="0">
      <selection activeCell="C51" sqref="C51"/>
    </sheetView>
  </sheetViews>
  <sheetFormatPr defaultRowHeight="12.75" x14ac:dyDescent="0.2"/>
  <cols>
    <col min="1" max="1" width="38.42578125" style="10" customWidth="1"/>
    <col min="2" max="2" width="25.28515625" style="10" bestFit="1" customWidth="1"/>
    <col min="3" max="3" width="17.42578125" style="10" bestFit="1" customWidth="1"/>
    <col min="4" max="4" width="20" style="10" bestFit="1" customWidth="1"/>
    <col min="5" max="5" width="18.5703125" style="70" bestFit="1" customWidth="1"/>
    <col min="6" max="6" width="21.140625" style="14" customWidth="1"/>
    <col min="7" max="8" width="10.140625" style="10" customWidth="1"/>
    <col min="9" max="9" width="8.5703125" style="10" bestFit="1" customWidth="1"/>
    <col min="10" max="10" width="6" style="10" bestFit="1" customWidth="1"/>
    <col min="11" max="11" width="20.28515625" style="10" bestFit="1" customWidth="1"/>
    <col min="12" max="12" width="17.85546875" style="10" bestFit="1" customWidth="1"/>
    <col min="13" max="13" width="12.5703125" style="10" bestFit="1" customWidth="1"/>
    <col min="14" max="14" width="13.85546875" style="10" customWidth="1"/>
    <col min="15" max="15" width="12.5703125" style="10" bestFit="1" customWidth="1"/>
    <col min="16" max="17" width="11.5703125" style="10" bestFit="1" customWidth="1"/>
    <col min="18" max="18" width="8.42578125" style="10" bestFit="1" customWidth="1"/>
    <col min="19" max="19" width="11.5703125" style="10" bestFit="1" customWidth="1"/>
    <col min="20" max="20" width="23.85546875" style="10" customWidth="1"/>
    <col min="21" max="203" width="9.140625" style="10"/>
    <col min="204" max="204" width="37.42578125" style="10" customWidth="1"/>
    <col min="205" max="205" width="13.5703125" style="10" customWidth="1"/>
    <col min="206" max="206" width="14.42578125" style="10" customWidth="1"/>
    <col min="207" max="207" width="8.42578125" style="10" bestFit="1" customWidth="1"/>
    <col min="208" max="208" width="16.85546875" style="10" customWidth="1"/>
    <col min="209" max="209" width="9.140625" style="10"/>
    <col min="210" max="210" width="11.28515625" style="10" customWidth="1"/>
    <col min="211" max="459" width="9.140625" style="10"/>
    <col min="460" max="460" width="37.42578125" style="10" customWidth="1"/>
    <col min="461" max="461" width="13.5703125" style="10" customWidth="1"/>
    <col min="462" max="462" width="14.42578125" style="10" customWidth="1"/>
    <col min="463" max="463" width="8.42578125" style="10" bestFit="1" customWidth="1"/>
    <col min="464" max="464" width="16.85546875" style="10" customWidth="1"/>
    <col min="465" max="465" width="9.140625" style="10"/>
    <col min="466" max="466" width="11.28515625" style="10" customWidth="1"/>
    <col min="467" max="715" width="9.140625" style="10"/>
    <col min="716" max="716" width="37.42578125" style="10" customWidth="1"/>
    <col min="717" max="717" width="13.5703125" style="10" customWidth="1"/>
    <col min="718" max="718" width="14.42578125" style="10" customWidth="1"/>
    <col min="719" max="719" width="8.42578125" style="10" bestFit="1" customWidth="1"/>
    <col min="720" max="720" width="16.85546875" style="10" customWidth="1"/>
    <col min="721" max="721" width="9.140625" style="10"/>
    <col min="722" max="722" width="11.28515625" style="10" customWidth="1"/>
    <col min="723" max="971" width="9.140625" style="10"/>
    <col min="972" max="972" width="37.42578125" style="10" customWidth="1"/>
    <col min="973" max="973" width="13.5703125" style="10" customWidth="1"/>
    <col min="974" max="974" width="14.42578125" style="10" customWidth="1"/>
    <col min="975" max="975" width="8.42578125" style="10" bestFit="1" customWidth="1"/>
    <col min="976" max="976" width="16.85546875" style="10" customWidth="1"/>
    <col min="977" max="977" width="9.140625" style="10"/>
    <col min="978" max="978" width="11.28515625" style="10" customWidth="1"/>
    <col min="979" max="1227" width="9.140625" style="10"/>
    <col min="1228" max="1228" width="37.42578125" style="10" customWidth="1"/>
    <col min="1229" max="1229" width="13.5703125" style="10" customWidth="1"/>
    <col min="1230" max="1230" width="14.42578125" style="10" customWidth="1"/>
    <col min="1231" max="1231" width="8.42578125" style="10" bestFit="1" customWidth="1"/>
    <col min="1232" max="1232" width="16.85546875" style="10" customWidth="1"/>
    <col min="1233" max="1233" width="9.140625" style="10"/>
    <col min="1234" max="1234" width="11.28515625" style="10" customWidth="1"/>
    <col min="1235" max="1483" width="9.140625" style="10"/>
    <col min="1484" max="1484" width="37.42578125" style="10" customWidth="1"/>
    <col min="1485" max="1485" width="13.5703125" style="10" customWidth="1"/>
    <col min="1486" max="1486" width="14.42578125" style="10" customWidth="1"/>
    <col min="1487" max="1487" width="8.42578125" style="10" bestFit="1" customWidth="1"/>
    <col min="1488" max="1488" width="16.85546875" style="10" customWidth="1"/>
    <col min="1489" max="1489" width="9.140625" style="10"/>
    <col min="1490" max="1490" width="11.28515625" style="10" customWidth="1"/>
    <col min="1491" max="1739" width="9.140625" style="10"/>
    <col min="1740" max="1740" width="37.42578125" style="10" customWidth="1"/>
    <col min="1741" max="1741" width="13.5703125" style="10" customWidth="1"/>
    <col min="1742" max="1742" width="14.42578125" style="10" customWidth="1"/>
    <col min="1743" max="1743" width="8.42578125" style="10" bestFit="1" customWidth="1"/>
    <col min="1744" max="1744" width="16.85546875" style="10" customWidth="1"/>
    <col min="1745" max="1745" width="9.140625" style="10"/>
    <col min="1746" max="1746" width="11.28515625" style="10" customWidth="1"/>
    <col min="1747" max="1995" width="9.140625" style="10"/>
    <col min="1996" max="1996" width="37.42578125" style="10" customWidth="1"/>
    <col min="1997" max="1997" width="13.5703125" style="10" customWidth="1"/>
    <col min="1998" max="1998" width="14.42578125" style="10" customWidth="1"/>
    <col min="1999" max="1999" width="8.42578125" style="10" bestFit="1" customWidth="1"/>
    <col min="2000" max="2000" width="16.85546875" style="10" customWidth="1"/>
    <col min="2001" max="2001" width="9.140625" style="10"/>
    <col min="2002" max="2002" width="11.28515625" style="10" customWidth="1"/>
    <col min="2003" max="2251" width="9.140625" style="10"/>
    <col min="2252" max="2252" width="37.42578125" style="10" customWidth="1"/>
    <col min="2253" max="2253" width="13.5703125" style="10" customWidth="1"/>
    <col min="2254" max="2254" width="14.42578125" style="10" customWidth="1"/>
    <col min="2255" max="2255" width="8.42578125" style="10" bestFit="1" customWidth="1"/>
    <col min="2256" max="2256" width="16.85546875" style="10" customWidth="1"/>
    <col min="2257" max="2257" width="9.140625" style="10"/>
    <col min="2258" max="2258" width="11.28515625" style="10" customWidth="1"/>
    <col min="2259" max="2507" width="9.140625" style="10"/>
    <col min="2508" max="2508" width="37.42578125" style="10" customWidth="1"/>
    <col min="2509" max="2509" width="13.5703125" style="10" customWidth="1"/>
    <col min="2510" max="2510" width="14.42578125" style="10" customWidth="1"/>
    <col min="2511" max="2511" width="8.42578125" style="10" bestFit="1" customWidth="1"/>
    <col min="2512" max="2512" width="16.85546875" style="10" customWidth="1"/>
    <col min="2513" max="2513" width="9.140625" style="10"/>
    <col min="2514" max="2514" width="11.28515625" style="10" customWidth="1"/>
    <col min="2515" max="2763" width="9.140625" style="10"/>
    <col min="2764" max="2764" width="37.42578125" style="10" customWidth="1"/>
    <col min="2765" max="2765" width="13.5703125" style="10" customWidth="1"/>
    <col min="2766" max="2766" width="14.42578125" style="10" customWidth="1"/>
    <col min="2767" max="2767" width="8.42578125" style="10" bestFit="1" customWidth="1"/>
    <col min="2768" max="2768" width="16.85546875" style="10" customWidth="1"/>
    <col min="2769" max="2769" width="9.140625" style="10"/>
    <col min="2770" max="2770" width="11.28515625" style="10" customWidth="1"/>
    <col min="2771" max="3019" width="9.140625" style="10"/>
    <col min="3020" max="3020" width="37.42578125" style="10" customWidth="1"/>
    <col min="3021" max="3021" width="13.5703125" style="10" customWidth="1"/>
    <col min="3022" max="3022" width="14.42578125" style="10" customWidth="1"/>
    <col min="3023" max="3023" width="8.42578125" style="10" bestFit="1" customWidth="1"/>
    <col min="3024" max="3024" width="16.85546875" style="10" customWidth="1"/>
    <col min="3025" max="3025" width="9.140625" style="10"/>
    <col min="3026" max="3026" width="11.28515625" style="10" customWidth="1"/>
    <col min="3027" max="3275" width="9.140625" style="10"/>
    <col min="3276" max="3276" width="37.42578125" style="10" customWidth="1"/>
    <col min="3277" max="3277" width="13.5703125" style="10" customWidth="1"/>
    <col min="3278" max="3278" width="14.42578125" style="10" customWidth="1"/>
    <col min="3279" max="3279" width="8.42578125" style="10" bestFit="1" customWidth="1"/>
    <col min="3280" max="3280" width="16.85546875" style="10" customWidth="1"/>
    <col min="3281" max="3281" width="9.140625" style="10"/>
    <col min="3282" max="3282" width="11.28515625" style="10" customWidth="1"/>
    <col min="3283" max="3531" width="9.140625" style="10"/>
    <col min="3532" max="3532" width="37.42578125" style="10" customWidth="1"/>
    <col min="3533" max="3533" width="13.5703125" style="10" customWidth="1"/>
    <col min="3534" max="3534" width="14.42578125" style="10" customWidth="1"/>
    <col min="3535" max="3535" width="8.42578125" style="10" bestFit="1" customWidth="1"/>
    <col min="3536" max="3536" width="16.85546875" style="10" customWidth="1"/>
    <col min="3537" max="3537" width="9.140625" style="10"/>
    <col min="3538" max="3538" width="11.28515625" style="10" customWidth="1"/>
    <col min="3539" max="3787" width="9.140625" style="10"/>
    <col min="3788" max="3788" width="37.42578125" style="10" customWidth="1"/>
    <col min="3789" max="3789" width="13.5703125" style="10" customWidth="1"/>
    <col min="3790" max="3790" width="14.42578125" style="10" customWidth="1"/>
    <col min="3791" max="3791" width="8.42578125" style="10" bestFit="1" customWidth="1"/>
    <col min="3792" max="3792" width="16.85546875" style="10" customWidth="1"/>
    <col min="3793" max="3793" width="9.140625" style="10"/>
    <col min="3794" max="3794" width="11.28515625" style="10" customWidth="1"/>
    <col min="3795" max="4043" width="9.140625" style="10"/>
    <col min="4044" max="4044" width="37.42578125" style="10" customWidth="1"/>
    <col min="4045" max="4045" width="13.5703125" style="10" customWidth="1"/>
    <col min="4046" max="4046" width="14.42578125" style="10" customWidth="1"/>
    <col min="4047" max="4047" width="8.42578125" style="10" bestFit="1" customWidth="1"/>
    <col min="4048" max="4048" width="16.85546875" style="10" customWidth="1"/>
    <col min="4049" max="4049" width="9.140625" style="10"/>
    <col min="4050" max="4050" width="11.28515625" style="10" customWidth="1"/>
    <col min="4051" max="4299" width="9.140625" style="10"/>
    <col min="4300" max="4300" width="37.42578125" style="10" customWidth="1"/>
    <col min="4301" max="4301" width="13.5703125" style="10" customWidth="1"/>
    <col min="4302" max="4302" width="14.42578125" style="10" customWidth="1"/>
    <col min="4303" max="4303" width="8.42578125" style="10" bestFit="1" customWidth="1"/>
    <col min="4304" max="4304" width="16.85546875" style="10" customWidth="1"/>
    <col min="4305" max="4305" width="9.140625" style="10"/>
    <col min="4306" max="4306" width="11.28515625" style="10" customWidth="1"/>
    <col min="4307" max="4555" width="9.140625" style="10"/>
    <col min="4556" max="4556" width="37.42578125" style="10" customWidth="1"/>
    <col min="4557" max="4557" width="13.5703125" style="10" customWidth="1"/>
    <col min="4558" max="4558" width="14.42578125" style="10" customWidth="1"/>
    <col min="4559" max="4559" width="8.42578125" style="10" bestFit="1" customWidth="1"/>
    <col min="4560" max="4560" width="16.85546875" style="10" customWidth="1"/>
    <col min="4561" max="4561" width="9.140625" style="10"/>
    <col min="4562" max="4562" width="11.28515625" style="10" customWidth="1"/>
    <col min="4563" max="4811" width="9.140625" style="10"/>
    <col min="4812" max="4812" width="37.42578125" style="10" customWidth="1"/>
    <col min="4813" max="4813" width="13.5703125" style="10" customWidth="1"/>
    <col min="4814" max="4814" width="14.42578125" style="10" customWidth="1"/>
    <col min="4815" max="4815" width="8.42578125" style="10" bestFit="1" customWidth="1"/>
    <col min="4816" max="4816" width="16.85546875" style="10" customWidth="1"/>
    <col min="4817" max="4817" width="9.140625" style="10"/>
    <col min="4818" max="4818" width="11.28515625" style="10" customWidth="1"/>
    <col min="4819" max="5067" width="9.140625" style="10"/>
    <col min="5068" max="5068" width="37.42578125" style="10" customWidth="1"/>
    <col min="5069" max="5069" width="13.5703125" style="10" customWidth="1"/>
    <col min="5070" max="5070" width="14.42578125" style="10" customWidth="1"/>
    <col min="5071" max="5071" width="8.42578125" style="10" bestFit="1" customWidth="1"/>
    <col min="5072" max="5072" width="16.85546875" style="10" customWidth="1"/>
    <col min="5073" max="5073" width="9.140625" style="10"/>
    <col min="5074" max="5074" width="11.28515625" style="10" customWidth="1"/>
    <col min="5075" max="5323" width="9.140625" style="10"/>
    <col min="5324" max="5324" width="37.42578125" style="10" customWidth="1"/>
    <col min="5325" max="5325" width="13.5703125" style="10" customWidth="1"/>
    <col min="5326" max="5326" width="14.42578125" style="10" customWidth="1"/>
    <col min="5327" max="5327" width="8.42578125" style="10" bestFit="1" customWidth="1"/>
    <col min="5328" max="5328" width="16.85546875" style="10" customWidth="1"/>
    <col min="5329" max="5329" width="9.140625" style="10"/>
    <col min="5330" max="5330" width="11.28515625" style="10" customWidth="1"/>
    <col min="5331" max="5579" width="9.140625" style="10"/>
    <col min="5580" max="5580" width="37.42578125" style="10" customWidth="1"/>
    <col min="5581" max="5581" width="13.5703125" style="10" customWidth="1"/>
    <col min="5582" max="5582" width="14.42578125" style="10" customWidth="1"/>
    <col min="5583" max="5583" width="8.42578125" style="10" bestFit="1" customWidth="1"/>
    <col min="5584" max="5584" width="16.85546875" style="10" customWidth="1"/>
    <col min="5585" max="5585" width="9.140625" style="10"/>
    <col min="5586" max="5586" width="11.28515625" style="10" customWidth="1"/>
    <col min="5587" max="5835" width="9.140625" style="10"/>
    <col min="5836" max="5836" width="37.42578125" style="10" customWidth="1"/>
    <col min="5837" max="5837" width="13.5703125" style="10" customWidth="1"/>
    <col min="5838" max="5838" width="14.42578125" style="10" customWidth="1"/>
    <col min="5839" max="5839" width="8.42578125" style="10" bestFit="1" customWidth="1"/>
    <col min="5840" max="5840" width="16.85546875" style="10" customWidth="1"/>
    <col min="5841" max="5841" width="9.140625" style="10"/>
    <col min="5842" max="5842" width="11.28515625" style="10" customWidth="1"/>
    <col min="5843" max="6091" width="9.140625" style="10"/>
    <col min="6092" max="6092" width="37.42578125" style="10" customWidth="1"/>
    <col min="6093" max="6093" width="13.5703125" style="10" customWidth="1"/>
    <col min="6094" max="6094" width="14.42578125" style="10" customWidth="1"/>
    <col min="6095" max="6095" width="8.42578125" style="10" bestFit="1" customWidth="1"/>
    <col min="6096" max="6096" width="16.85546875" style="10" customWidth="1"/>
    <col min="6097" max="6097" width="9.140625" style="10"/>
    <col min="6098" max="6098" width="11.28515625" style="10" customWidth="1"/>
    <col min="6099" max="6347" width="9.140625" style="10"/>
    <col min="6348" max="6348" width="37.42578125" style="10" customWidth="1"/>
    <col min="6349" max="6349" width="13.5703125" style="10" customWidth="1"/>
    <col min="6350" max="6350" width="14.42578125" style="10" customWidth="1"/>
    <col min="6351" max="6351" width="8.42578125" style="10" bestFit="1" customWidth="1"/>
    <col min="6352" max="6352" width="16.85546875" style="10" customWidth="1"/>
    <col min="6353" max="6353" width="9.140625" style="10"/>
    <col min="6354" max="6354" width="11.28515625" style="10" customWidth="1"/>
    <col min="6355" max="6603" width="9.140625" style="10"/>
    <col min="6604" max="6604" width="37.42578125" style="10" customWidth="1"/>
    <col min="6605" max="6605" width="13.5703125" style="10" customWidth="1"/>
    <col min="6606" max="6606" width="14.42578125" style="10" customWidth="1"/>
    <col min="6607" max="6607" width="8.42578125" style="10" bestFit="1" customWidth="1"/>
    <col min="6608" max="6608" width="16.85546875" style="10" customWidth="1"/>
    <col min="6609" max="6609" width="9.140625" style="10"/>
    <col min="6610" max="6610" width="11.28515625" style="10" customWidth="1"/>
    <col min="6611" max="6859" width="9.140625" style="10"/>
    <col min="6860" max="6860" width="37.42578125" style="10" customWidth="1"/>
    <col min="6861" max="6861" width="13.5703125" style="10" customWidth="1"/>
    <col min="6862" max="6862" width="14.42578125" style="10" customWidth="1"/>
    <col min="6863" max="6863" width="8.42578125" style="10" bestFit="1" customWidth="1"/>
    <col min="6864" max="6864" width="16.85546875" style="10" customWidth="1"/>
    <col min="6865" max="6865" width="9.140625" style="10"/>
    <col min="6866" max="6866" width="11.28515625" style="10" customWidth="1"/>
    <col min="6867" max="7115" width="9.140625" style="10"/>
    <col min="7116" max="7116" width="37.42578125" style="10" customWidth="1"/>
    <col min="7117" max="7117" width="13.5703125" style="10" customWidth="1"/>
    <col min="7118" max="7118" width="14.42578125" style="10" customWidth="1"/>
    <col min="7119" max="7119" width="8.42578125" style="10" bestFit="1" customWidth="1"/>
    <col min="7120" max="7120" width="16.85546875" style="10" customWidth="1"/>
    <col min="7121" max="7121" width="9.140625" style="10"/>
    <col min="7122" max="7122" width="11.28515625" style="10" customWidth="1"/>
    <col min="7123" max="7371" width="9.140625" style="10"/>
    <col min="7372" max="7372" width="37.42578125" style="10" customWidth="1"/>
    <col min="7373" max="7373" width="13.5703125" style="10" customWidth="1"/>
    <col min="7374" max="7374" width="14.42578125" style="10" customWidth="1"/>
    <col min="7375" max="7375" width="8.42578125" style="10" bestFit="1" customWidth="1"/>
    <col min="7376" max="7376" width="16.85546875" style="10" customWidth="1"/>
    <col min="7377" max="7377" width="9.140625" style="10"/>
    <col min="7378" max="7378" width="11.28515625" style="10" customWidth="1"/>
    <col min="7379" max="7627" width="9.140625" style="10"/>
    <col min="7628" max="7628" width="37.42578125" style="10" customWidth="1"/>
    <col min="7629" max="7629" width="13.5703125" style="10" customWidth="1"/>
    <col min="7630" max="7630" width="14.42578125" style="10" customWidth="1"/>
    <col min="7631" max="7631" width="8.42578125" style="10" bestFit="1" customWidth="1"/>
    <col min="7632" max="7632" width="16.85546875" style="10" customWidth="1"/>
    <col min="7633" max="7633" width="9.140625" style="10"/>
    <col min="7634" max="7634" width="11.28515625" style="10" customWidth="1"/>
    <col min="7635" max="7883" width="9.140625" style="10"/>
    <col min="7884" max="7884" width="37.42578125" style="10" customWidth="1"/>
    <col min="7885" max="7885" width="13.5703125" style="10" customWidth="1"/>
    <col min="7886" max="7886" width="14.42578125" style="10" customWidth="1"/>
    <col min="7887" max="7887" width="8.42578125" style="10" bestFit="1" customWidth="1"/>
    <col min="7888" max="7888" width="16.85546875" style="10" customWidth="1"/>
    <col min="7889" max="7889" width="9.140625" style="10"/>
    <col min="7890" max="7890" width="11.28515625" style="10" customWidth="1"/>
    <col min="7891" max="8139" width="9.140625" style="10"/>
    <col min="8140" max="8140" width="37.42578125" style="10" customWidth="1"/>
    <col min="8141" max="8141" width="13.5703125" style="10" customWidth="1"/>
    <col min="8142" max="8142" width="14.42578125" style="10" customWidth="1"/>
    <col min="8143" max="8143" width="8.42578125" style="10" bestFit="1" customWidth="1"/>
    <col min="8144" max="8144" width="16.85546875" style="10" customWidth="1"/>
    <col min="8145" max="8145" width="9.140625" style="10"/>
    <col min="8146" max="8146" width="11.28515625" style="10" customWidth="1"/>
    <col min="8147" max="8395" width="9.140625" style="10"/>
    <col min="8396" max="8396" width="37.42578125" style="10" customWidth="1"/>
    <col min="8397" max="8397" width="13.5703125" style="10" customWidth="1"/>
    <col min="8398" max="8398" width="14.42578125" style="10" customWidth="1"/>
    <col min="8399" max="8399" width="8.42578125" style="10" bestFit="1" customWidth="1"/>
    <col min="8400" max="8400" width="16.85546875" style="10" customWidth="1"/>
    <col min="8401" max="8401" width="9.140625" style="10"/>
    <col min="8402" max="8402" width="11.28515625" style="10" customWidth="1"/>
    <col min="8403" max="8651" width="9.140625" style="10"/>
    <col min="8652" max="8652" width="37.42578125" style="10" customWidth="1"/>
    <col min="8653" max="8653" width="13.5703125" style="10" customWidth="1"/>
    <col min="8654" max="8654" width="14.42578125" style="10" customWidth="1"/>
    <col min="8655" max="8655" width="8.42578125" style="10" bestFit="1" customWidth="1"/>
    <col min="8656" max="8656" width="16.85546875" style="10" customWidth="1"/>
    <col min="8657" max="8657" width="9.140625" style="10"/>
    <col min="8658" max="8658" width="11.28515625" style="10" customWidth="1"/>
    <col min="8659" max="8907" width="9.140625" style="10"/>
    <col min="8908" max="8908" width="37.42578125" style="10" customWidth="1"/>
    <col min="8909" max="8909" width="13.5703125" style="10" customWidth="1"/>
    <col min="8910" max="8910" width="14.42578125" style="10" customWidth="1"/>
    <col min="8911" max="8911" width="8.42578125" style="10" bestFit="1" customWidth="1"/>
    <col min="8912" max="8912" width="16.85546875" style="10" customWidth="1"/>
    <col min="8913" max="8913" width="9.140625" style="10"/>
    <col min="8914" max="8914" width="11.28515625" style="10" customWidth="1"/>
    <col min="8915" max="9163" width="9.140625" style="10"/>
    <col min="9164" max="9164" width="37.42578125" style="10" customWidth="1"/>
    <col min="9165" max="9165" width="13.5703125" style="10" customWidth="1"/>
    <col min="9166" max="9166" width="14.42578125" style="10" customWidth="1"/>
    <col min="9167" max="9167" width="8.42578125" style="10" bestFit="1" customWidth="1"/>
    <col min="9168" max="9168" width="16.85546875" style="10" customWidth="1"/>
    <col min="9169" max="9169" width="9.140625" style="10"/>
    <col min="9170" max="9170" width="11.28515625" style="10" customWidth="1"/>
    <col min="9171" max="9419" width="9.140625" style="10"/>
    <col min="9420" max="9420" width="37.42578125" style="10" customWidth="1"/>
    <col min="9421" max="9421" width="13.5703125" style="10" customWidth="1"/>
    <col min="9422" max="9422" width="14.42578125" style="10" customWidth="1"/>
    <col min="9423" max="9423" width="8.42578125" style="10" bestFit="1" customWidth="1"/>
    <col min="9424" max="9424" width="16.85546875" style="10" customWidth="1"/>
    <col min="9425" max="9425" width="9.140625" style="10"/>
    <col min="9426" max="9426" width="11.28515625" style="10" customWidth="1"/>
    <col min="9427" max="9675" width="9.140625" style="10"/>
    <col min="9676" max="9676" width="37.42578125" style="10" customWidth="1"/>
    <col min="9677" max="9677" width="13.5703125" style="10" customWidth="1"/>
    <col min="9678" max="9678" width="14.42578125" style="10" customWidth="1"/>
    <col min="9679" max="9679" width="8.42578125" style="10" bestFit="1" customWidth="1"/>
    <col min="9680" max="9680" width="16.85546875" style="10" customWidth="1"/>
    <col min="9681" max="9681" width="9.140625" style="10"/>
    <col min="9682" max="9682" width="11.28515625" style="10" customWidth="1"/>
    <col min="9683" max="9931" width="9.140625" style="10"/>
    <col min="9932" max="9932" width="37.42578125" style="10" customWidth="1"/>
    <col min="9933" max="9933" width="13.5703125" style="10" customWidth="1"/>
    <col min="9934" max="9934" width="14.42578125" style="10" customWidth="1"/>
    <col min="9935" max="9935" width="8.42578125" style="10" bestFit="1" customWidth="1"/>
    <col min="9936" max="9936" width="16.85546875" style="10" customWidth="1"/>
    <col min="9937" max="9937" width="9.140625" style="10"/>
    <col min="9938" max="9938" width="11.28515625" style="10" customWidth="1"/>
    <col min="9939" max="10187" width="9.140625" style="10"/>
    <col min="10188" max="10188" width="37.42578125" style="10" customWidth="1"/>
    <col min="10189" max="10189" width="13.5703125" style="10" customWidth="1"/>
    <col min="10190" max="10190" width="14.42578125" style="10" customWidth="1"/>
    <col min="10191" max="10191" width="8.42578125" style="10" bestFit="1" customWidth="1"/>
    <col min="10192" max="10192" width="16.85546875" style="10" customWidth="1"/>
    <col min="10193" max="10193" width="9.140625" style="10"/>
    <col min="10194" max="10194" width="11.28515625" style="10" customWidth="1"/>
    <col min="10195" max="10443" width="9.140625" style="10"/>
    <col min="10444" max="10444" width="37.42578125" style="10" customWidth="1"/>
    <col min="10445" max="10445" width="13.5703125" style="10" customWidth="1"/>
    <col min="10446" max="10446" width="14.42578125" style="10" customWidth="1"/>
    <col min="10447" max="10447" width="8.42578125" style="10" bestFit="1" customWidth="1"/>
    <col min="10448" max="10448" width="16.85546875" style="10" customWidth="1"/>
    <col min="10449" max="10449" width="9.140625" style="10"/>
    <col min="10450" max="10450" width="11.28515625" style="10" customWidth="1"/>
    <col min="10451" max="10699" width="9.140625" style="10"/>
    <col min="10700" max="10700" width="37.42578125" style="10" customWidth="1"/>
    <col min="10701" max="10701" width="13.5703125" style="10" customWidth="1"/>
    <col min="10702" max="10702" width="14.42578125" style="10" customWidth="1"/>
    <col min="10703" max="10703" width="8.42578125" style="10" bestFit="1" customWidth="1"/>
    <col min="10704" max="10704" width="16.85546875" style="10" customWidth="1"/>
    <col min="10705" max="10705" width="9.140625" style="10"/>
    <col min="10706" max="10706" width="11.28515625" style="10" customWidth="1"/>
    <col min="10707" max="10955" width="9.140625" style="10"/>
    <col min="10956" max="10956" width="37.42578125" style="10" customWidth="1"/>
    <col min="10957" max="10957" width="13.5703125" style="10" customWidth="1"/>
    <col min="10958" max="10958" width="14.42578125" style="10" customWidth="1"/>
    <col min="10959" max="10959" width="8.42578125" style="10" bestFit="1" customWidth="1"/>
    <col min="10960" max="10960" width="16.85546875" style="10" customWidth="1"/>
    <col min="10961" max="10961" width="9.140625" style="10"/>
    <col min="10962" max="10962" width="11.28515625" style="10" customWidth="1"/>
    <col min="10963" max="11211" width="9.140625" style="10"/>
    <col min="11212" max="11212" width="37.42578125" style="10" customWidth="1"/>
    <col min="11213" max="11213" width="13.5703125" style="10" customWidth="1"/>
    <col min="11214" max="11214" width="14.42578125" style="10" customWidth="1"/>
    <col min="11215" max="11215" width="8.42578125" style="10" bestFit="1" customWidth="1"/>
    <col min="11216" max="11216" width="16.85546875" style="10" customWidth="1"/>
    <col min="11217" max="11217" width="9.140625" style="10"/>
    <col min="11218" max="11218" width="11.28515625" style="10" customWidth="1"/>
    <col min="11219" max="11467" width="9.140625" style="10"/>
    <col min="11468" max="11468" width="37.42578125" style="10" customWidth="1"/>
    <col min="11469" max="11469" width="13.5703125" style="10" customWidth="1"/>
    <col min="11470" max="11470" width="14.42578125" style="10" customWidth="1"/>
    <col min="11471" max="11471" width="8.42578125" style="10" bestFit="1" customWidth="1"/>
    <col min="11472" max="11472" width="16.85546875" style="10" customWidth="1"/>
    <col min="11473" max="11473" width="9.140625" style="10"/>
    <col min="11474" max="11474" width="11.28515625" style="10" customWidth="1"/>
    <col min="11475" max="11723" width="9.140625" style="10"/>
    <col min="11724" max="11724" width="37.42578125" style="10" customWidth="1"/>
    <col min="11725" max="11725" width="13.5703125" style="10" customWidth="1"/>
    <col min="11726" max="11726" width="14.42578125" style="10" customWidth="1"/>
    <col min="11727" max="11727" width="8.42578125" style="10" bestFit="1" customWidth="1"/>
    <col min="11728" max="11728" width="16.85546875" style="10" customWidth="1"/>
    <col min="11729" max="11729" width="9.140625" style="10"/>
    <col min="11730" max="11730" width="11.28515625" style="10" customWidth="1"/>
    <col min="11731" max="11979" width="9.140625" style="10"/>
    <col min="11980" max="11980" width="37.42578125" style="10" customWidth="1"/>
    <col min="11981" max="11981" width="13.5703125" style="10" customWidth="1"/>
    <col min="11982" max="11982" width="14.42578125" style="10" customWidth="1"/>
    <col min="11983" max="11983" width="8.42578125" style="10" bestFit="1" customWidth="1"/>
    <col min="11984" max="11984" width="16.85546875" style="10" customWidth="1"/>
    <col min="11985" max="11985" width="9.140625" style="10"/>
    <col min="11986" max="11986" width="11.28515625" style="10" customWidth="1"/>
    <col min="11987" max="12235" width="9.140625" style="10"/>
    <col min="12236" max="12236" width="37.42578125" style="10" customWidth="1"/>
    <col min="12237" max="12237" width="13.5703125" style="10" customWidth="1"/>
    <col min="12238" max="12238" width="14.42578125" style="10" customWidth="1"/>
    <col min="12239" max="12239" width="8.42578125" style="10" bestFit="1" customWidth="1"/>
    <col min="12240" max="12240" width="16.85546875" style="10" customWidth="1"/>
    <col min="12241" max="12241" width="9.140625" style="10"/>
    <col min="12242" max="12242" width="11.28515625" style="10" customWidth="1"/>
    <col min="12243" max="12491" width="9.140625" style="10"/>
    <col min="12492" max="12492" width="37.42578125" style="10" customWidth="1"/>
    <col min="12493" max="12493" width="13.5703125" style="10" customWidth="1"/>
    <col min="12494" max="12494" width="14.42578125" style="10" customWidth="1"/>
    <col min="12495" max="12495" width="8.42578125" style="10" bestFit="1" customWidth="1"/>
    <col min="12496" max="12496" width="16.85546875" style="10" customWidth="1"/>
    <col min="12497" max="12497" width="9.140625" style="10"/>
    <col min="12498" max="12498" width="11.28515625" style="10" customWidth="1"/>
    <col min="12499" max="12747" width="9.140625" style="10"/>
    <col min="12748" max="12748" width="37.42578125" style="10" customWidth="1"/>
    <col min="12749" max="12749" width="13.5703125" style="10" customWidth="1"/>
    <col min="12750" max="12750" width="14.42578125" style="10" customWidth="1"/>
    <col min="12751" max="12751" width="8.42578125" style="10" bestFit="1" customWidth="1"/>
    <col min="12752" max="12752" width="16.85546875" style="10" customWidth="1"/>
    <col min="12753" max="12753" width="9.140625" style="10"/>
    <col min="12754" max="12754" width="11.28515625" style="10" customWidth="1"/>
    <col min="12755" max="13003" width="9.140625" style="10"/>
    <col min="13004" max="13004" width="37.42578125" style="10" customWidth="1"/>
    <col min="13005" max="13005" width="13.5703125" style="10" customWidth="1"/>
    <col min="13006" max="13006" width="14.42578125" style="10" customWidth="1"/>
    <col min="13007" max="13007" width="8.42578125" style="10" bestFit="1" customWidth="1"/>
    <col min="13008" max="13008" width="16.85546875" style="10" customWidth="1"/>
    <col min="13009" max="13009" width="9.140625" style="10"/>
    <col min="13010" max="13010" width="11.28515625" style="10" customWidth="1"/>
    <col min="13011" max="13259" width="9.140625" style="10"/>
    <col min="13260" max="13260" width="37.42578125" style="10" customWidth="1"/>
    <col min="13261" max="13261" width="13.5703125" style="10" customWidth="1"/>
    <col min="13262" max="13262" width="14.42578125" style="10" customWidth="1"/>
    <col min="13263" max="13263" width="8.42578125" style="10" bestFit="1" customWidth="1"/>
    <col min="13264" max="13264" width="16.85546875" style="10" customWidth="1"/>
    <col min="13265" max="13265" width="9.140625" style="10"/>
    <col min="13266" max="13266" width="11.28515625" style="10" customWidth="1"/>
    <col min="13267" max="13515" width="9.140625" style="10"/>
    <col min="13516" max="13516" width="37.42578125" style="10" customWidth="1"/>
    <col min="13517" max="13517" width="13.5703125" style="10" customWidth="1"/>
    <col min="13518" max="13518" width="14.42578125" style="10" customWidth="1"/>
    <col min="13519" max="13519" width="8.42578125" style="10" bestFit="1" customWidth="1"/>
    <col min="13520" max="13520" width="16.85546875" style="10" customWidth="1"/>
    <col min="13521" max="13521" width="9.140625" style="10"/>
    <col min="13522" max="13522" width="11.28515625" style="10" customWidth="1"/>
    <col min="13523" max="13771" width="9.140625" style="10"/>
    <col min="13772" max="13772" width="37.42578125" style="10" customWidth="1"/>
    <col min="13773" max="13773" width="13.5703125" style="10" customWidth="1"/>
    <col min="13774" max="13774" width="14.42578125" style="10" customWidth="1"/>
    <col min="13775" max="13775" width="8.42578125" style="10" bestFit="1" customWidth="1"/>
    <col min="13776" max="13776" width="16.85546875" style="10" customWidth="1"/>
    <col min="13777" max="13777" width="9.140625" style="10"/>
    <col min="13778" max="13778" width="11.28515625" style="10" customWidth="1"/>
    <col min="13779" max="14027" width="9.140625" style="10"/>
    <col min="14028" max="14028" width="37.42578125" style="10" customWidth="1"/>
    <col min="14029" max="14029" width="13.5703125" style="10" customWidth="1"/>
    <col min="14030" max="14030" width="14.42578125" style="10" customWidth="1"/>
    <col min="14031" max="14031" width="8.42578125" style="10" bestFit="1" customWidth="1"/>
    <col min="14032" max="14032" width="16.85546875" style="10" customWidth="1"/>
    <col min="14033" max="14033" width="9.140625" style="10"/>
    <col min="14034" max="14034" width="11.28515625" style="10" customWidth="1"/>
    <col min="14035" max="14283" width="9.140625" style="10"/>
    <col min="14284" max="14284" width="37.42578125" style="10" customWidth="1"/>
    <col min="14285" max="14285" width="13.5703125" style="10" customWidth="1"/>
    <col min="14286" max="14286" width="14.42578125" style="10" customWidth="1"/>
    <col min="14287" max="14287" width="8.42578125" style="10" bestFit="1" customWidth="1"/>
    <col min="14288" max="14288" width="16.85546875" style="10" customWidth="1"/>
    <col min="14289" max="14289" width="9.140625" style="10"/>
    <col min="14290" max="14290" width="11.28515625" style="10" customWidth="1"/>
    <col min="14291" max="14539" width="9.140625" style="10"/>
    <col min="14540" max="14540" width="37.42578125" style="10" customWidth="1"/>
    <col min="14541" max="14541" width="13.5703125" style="10" customWidth="1"/>
    <col min="14542" max="14542" width="14.42578125" style="10" customWidth="1"/>
    <col min="14543" max="14543" width="8.42578125" style="10" bestFit="1" customWidth="1"/>
    <col min="14544" max="14544" width="16.85546875" style="10" customWidth="1"/>
    <col min="14545" max="14545" width="9.140625" style="10"/>
    <col min="14546" max="14546" width="11.28515625" style="10" customWidth="1"/>
    <col min="14547" max="14795" width="9.140625" style="10"/>
    <col min="14796" max="14796" width="37.42578125" style="10" customWidth="1"/>
    <col min="14797" max="14797" width="13.5703125" style="10" customWidth="1"/>
    <col min="14798" max="14798" width="14.42578125" style="10" customWidth="1"/>
    <col min="14799" max="14799" width="8.42578125" style="10" bestFit="1" customWidth="1"/>
    <col min="14800" max="14800" width="16.85546875" style="10" customWidth="1"/>
    <col min="14801" max="14801" width="9.140625" style="10"/>
    <col min="14802" max="14802" width="11.28515625" style="10" customWidth="1"/>
    <col min="14803" max="15051" width="9.140625" style="10"/>
    <col min="15052" max="15052" width="37.42578125" style="10" customWidth="1"/>
    <col min="15053" max="15053" width="13.5703125" style="10" customWidth="1"/>
    <col min="15054" max="15054" width="14.42578125" style="10" customWidth="1"/>
    <col min="15055" max="15055" width="8.42578125" style="10" bestFit="1" customWidth="1"/>
    <col min="15056" max="15056" width="16.85546875" style="10" customWidth="1"/>
    <col min="15057" max="15057" width="9.140625" style="10"/>
    <col min="15058" max="15058" width="11.28515625" style="10" customWidth="1"/>
    <col min="15059" max="15307" width="9.140625" style="10"/>
    <col min="15308" max="15308" width="37.42578125" style="10" customWidth="1"/>
    <col min="15309" max="15309" width="13.5703125" style="10" customWidth="1"/>
    <col min="15310" max="15310" width="14.42578125" style="10" customWidth="1"/>
    <col min="15311" max="15311" width="8.42578125" style="10" bestFit="1" customWidth="1"/>
    <col min="15312" max="15312" width="16.85546875" style="10" customWidth="1"/>
    <col min="15313" max="15313" width="9.140625" style="10"/>
    <col min="15314" max="15314" width="11.28515625" style="10" customWidth="1"/>
    <col min="15315" max="15563" width="9.140625" style="10"/>
    <col min="15564" max="15564" width="37.42578125" style="10" customWidth="1"/>
    <col min="15565" max="15565" width="13.5703125" style="10" customWidth="1"/>
    <col min="15566" max="15566" width="14.42578125" style="10" customWidth="1"/>
    <col min="15567" max="15567" width="8.42578125" style="10" bestFit="1" customWidth="1"/>
    <col min="15568" max="15568" width="16.85546875" style="10" customWidth="1"/>
    <col min="15569" max="15569" width="9.140625" style="10"/>
    <col min="15570" max="15570" width="11.28515625" style="10" customWidth="1"/>
    <col min="15571" max="15819" width="9.140625" style="10"/>
    <col min="15820" max="15820" width="37.42578125" style="10" customWidth="1"/>
    <col min="15821" max="15821" width="13.5703125" style="10" customWidth="1"/>
    <col min="15822" max="15822" width="14.42578125" style="10" customWidth="1"/>
    <col min="15823" max="15823" width="8.42578125" style="10" bestFit="1" customWidth="1"/>
    <col min="15824" max="15824" width="16.85546875" style="10" customWidth="1"/>
    <col min="15825" max="15825" width="9.140625" style="10"/>
    <col min="15826" max="15826" width="11.28515625" style="10" customWidth="1"/>
    <col min="15827" max="16075" width="9.140625" style="10"/>
    <col min="16076" max="16076" width="37.42578125" style="10" customWidth="1"/>
    <col min="16077" max="16077" width="13.5703125" style="10" customWidth="1"/>
    <col min="16078" max="16078" width="14.42578125" style="10" customWidth="1"/>
    <col min="16079" max="16079" width="8.42578125" style="10" bestFit="1" customWidth="1"/>
    <col min="16080" max="16080" width="16.85546875" style="10" customWidth="1"/>
    <col min="16081" max="16081" width="9.140625" style="10"/>
    <col min="16082" max="16082" width="11.28515625" style="10" customWidth="1"/>
    <col min="16083" max="16384" width="9.140625" style="10"/>
  </cols>
  <sheetData>
    <row r="1" spans="1:19" ht="15.75" x14ac:dyDescent="0.2">
      <c r="A1" s="685" t="s">
        <v>46</v>
      </c>
      <c r="B1" s="686"/>
      <c r="C1" s="686"/>
      <c r="D1" s="687"/>
      <c r="E1" s="688"/>
      <c r="F1" s="9"/>
    </row>
    <row r="2" spans="1:19" ht="25.5" x14ac:dyDescent="0.2">
      <c r="A2" s="12" t="s">
        <v>47</v>
      </c>
      <c r="B2" s="313" t="str">
        <f>'BOM R2D CatWalk'!I105</f>
        <v>WELDMENT, SAFETY BAR, PC4100</v>
      </c>
      <c r="C2" s="13"/>
      <c r="D2" s="13" t="s">
        <v>48</v>
      </c>
      <c r="E2" s="85"/>
    </row>
    <row r="3" spans="1:19" ht="13.5" thickBot="1" x14ac:dyDescent="0.25">
      <c r="A3" s="12" t="s">
        <v>49</v>
      </c>
      <c r="B3" s="313" t="str">
        <f>'BOM R2D CatWalk'!G105</f>
        <v>AY30062</v>
      </c>
      <c r="C3" s="13"/>
      <c r="D3" s="13" t="s">
        <v>50</v>
      </c>
      <c r="E3" s="15">
        <f>'BOM R2D CatWalk'!K105</f>
        <v>1</v>
      </c>
      <c r="F3" s="9"/>
    </row>
    <row r="4" spans="1:19" ht="16.5" customHeight="1" thickBot="1" x14ac:dyDescent="0.25">
      <c r="A4" s="12" t="s">
        <v>51</v>
      </c>
      <c r="B4" s="86">
        <f>'BOM R2D CatWalk'!N105</f>
        <v>21</v>
      </c>
      <c r="C4" s="16"/>
      <c r="D4" s="147"/>
      <c r="E4" s="17"/>
      <c r="F4" s="9"/>
      <c r="I4" s="707" t="s">
        <v>685</v>
      </c>
      <c r="J4" s="708"/>
      <c r="K4" s="708"/>
      <c r="L4" s="708"/>
      <c r="M4" s="708"/>
      <c r="N4" s="708"/>
      <c r="O4" s="708"/>
      <c r="P4" s="359" t="str">
        <f>'RM Details'!H65</f>
        <v>AY30062</v>
      </c>
      <c r="Q4" s="359"/>
      <c r="R4" s="359"/>
      <c r="S4" s="360"/>
    </row>
    <row r="5" spans="1:19" ht="21.75" customHeight="1" thickBot="1" x14ac:dyDescent="0.25">
      <c r="A5" s="691" t="s">
        <v>52</v>
      </c>
      <c r="B5" s="692"/>
      <c r="C5" s="692"/>
      <c r="D5" s="693"/>
      <c r="E5" s="694"/>
      <c r="F5" s="18"/>
      <c r="I5" s="381" t="s">
        <v>0</v>
      </c>
      <c r="J5" s="381" t="s">
        <v>13</v>
      </c>
      <c r="K5" s="381" t="s">
        <v>154</v>
      </c>
      <c r="L5" s="381" t="s">
        <v>544</v>
      </c>
      <c r="M5" s="382" t="s">
        <v>551</v>
      </c>
      <c r="N5" s="382" t="s">
        <v>552</v>
      </c>
      <c r="O5" s="381" t="s">
        <v>548</v>
      </c>
      <c r="P5" s="381" t="s">
        <v>34</v>
      </c>
      <c r="Q5" s="381" t="s">
        <v>549</v>
      </c>
      <c r="R5" s="381" t="s">
        <v>547</v>
      </c>
      <c r="S5" s="381" t="s">
        <v>156</v>
      </c>
    </row>
    <row r="6" spans="1:19" ht="16.5" thickBot="1" x14ac:dyDescent="0.25">
      <c r="A6" s="695" t="s">
        <v>53</v>
      </c>
      <c r="B6" s="696"/>
      <c r="C6" s="696"/>
      <c r="D6" s="697"/>
      <c r="E6" s="698"/>
      <c r="F6" s="18"/>
      <c r="G6" s="19"/>
      <c r="H6" s="19"/>
      <c r="I6" s="143">
        <v>1</v>
      </c>
      <c r="J6" s="143" t="s">
        <v>21</v>
      </c>
      <c r="K6" s="143">
        <v>10</v>
      </c>
      <c r="L6" s="143" t="s">
        <v>543</v>
      </c>
      <c r="M6" s="145">
        <f>'RM Details'!E67</f>
        <v>2.4</v>
      </c>
      <c r="N6" s="145">
        <f>'RM Details'!F67</f>
        <v>3.3849200000000002</v>
      </c>
      <c r="O6" s="145">
        <v>0</v>
      </c>
      <c r="P6" s="145"/>
      <c r="Q6" s="145">
        <f t="shared" ref="Q6:Q8" si="0">IF(O6&gt;N6,O6,IF(O6&lt;N6,N6))</f>
        <v>3.3849200000000002</v>
      </c>
      <c r="R6" s="145">
        <v>90</v>
      </c>
      <c r="S6" s="145">
        <f t="shared" ref="S6" si="1">R6*Q6</f>
        <v>304.64280000000002</v>
      </c>
    </row>
    <row r="7" spans="1:19" ht="26.25" thickBot="1" x14ac:dyDescent="0.25">
      <c r="A7" s="20" t="s">
        <v>54</v>
      </c>
      <c r="B7" s="21"/>
      <c r="C7" s="21" t="s">
        <v>573</v>
      </c>
      <c r="D7" s="21" t="str">
        <f>L7</f>
        <v>ASTM A106 GR.B</v>
      </c>
      <c r="E7" s="21" t="s">
        <v>686</v>
      </c>
      <c r="F7" s="18"/>
      <c r="G7" s="1"/>
      <c r="H7" s="1"/>
      <c r="I7" s="143">
        <v>2</v>
      </c>
      <c r="J7" s="143" t="s">
        <v>286</v>
      </c>
      <c r="K7" s="143" t="s">
        <v>321</v>
      </c>
      <c r="L7" s="143" t="s">
        <v>271</v>
      </c>
      <c r="M7" s="145">
        <f>'RM Details'!E68</f>
        <v>17.9876</v>
      </c>
      <c r="N7" s="145">
        <f>'RM Details'!F68</f>
        <v>19.786360000000002</v>
      </c>
      <c r="O7" s="145">
        <f>18.64*6/2</f>
        <v>55.92</v>
      </c>
      <c r="P7" s="145"/>
      <c r="Q7" s="145">
        <f t="shared" si="0"/>
        <v>55.92</v>
      </c>
      <c r="R7" s="145">
        <v>110</v>
      </c>
      <c r="S7" s="145">
        <f>R7*Q7</f>
        <v>6151.2</v>
      </c>
    </row>
    <row r="8" spans="1:19" ht="17.25" customHeight="1" x14ac:dyDescent="0.2">
      <c r="A8" s="23" t="s">
        <v>55</v>
      </c>
      <c r="B8" s="24"/>
      <c r="C8" s="25">
        <f>Q6</f>
        <v>3.3849200000000002</v>
      </c>
      <c r="D8" s="25">
        <f>Q7</f>
        <v>55.92</v>
      </c>
      <c r="E8" s="26">
        <f>Q8</f>
        <v>2.67</v>
      </c>
      <c r="F8" s="18">
        <f>SUM(C8:E8)</f>
        <v>61.974920000000004</v>
      </c>
      <c r="G8" s="1"/>
      <c r="I8" s="143">
        <v>3</v>
      </c>
      <c r="J8" s="143" t="s">
        <v>44</v>
      </c>
      <c r="K8" s="143" t="s">
        <v>326</v>
      </c>
      <c r="L8" s="110" t="s">
        <v>542</v>
      </c>
      <c r="M8" s="145">
        <f>'RM Details'!E69</f>
        <v>0.3</v>
      </c>
      <c r="N8" s="145">
        <f>'RM Details'!F69</f>
        <v>2.011009</v>
      </c>
      <c r="O8" s="320">
        <f>0.89*3</f>
        <v>2.67</v>
      </c>
      <c r="P8" s="145"/>
      <c r="Q8" s="145">
        <f t="shared" si="0"/>
        <v>2.67</v>
      </c>
      <c r="R8" s="145">
        <v>110</v>
      </c>
      <c r="S8" s="145">
        <f>R8*Q8</f>
        <v>293.7</v>
      </c>
    </row>
    <row r="9" spans="1:19" ht="18" customHeight="1" x14ac:dyDescent="0.2">
      <c r="A9" s="27" t="s">
        <v>56</v>
      </c>
      <c r="B9" s="77"/>
      <c r="C9" s="28">
        <f>M6</f>
        <v>2.4</v>
      </c>
      <c r="D9" s="28">
        <f>M7</f>
        <v>17.9876</v>
      </c>
      <c r="E9" s="74">
        <f>M8</f>
        <v>0.3</v>
      </c>
      <c r="F9" s="18">
        <f>SUM(C9:E9)</f>
        <v>20.6876</v>
      </c>
      <c r="G9" s="1"/>
      <c r="H9" s="1"/>
      <c r="I9" s="341"/>
      <c r="J9" s="341"/>
      <c r="K9" s="341" t="s">
        <v>45</v>
      </c>
      <c r="L9" s="341"/>
      <c r="M9" s="342">
        <f>SUM(M6:M8)</f>
        <v>20.6876</v>
      </c>
      <c r="N9" s="342">
        <f>SUM(N6:N8)</f>
        <v>25.182289000000004</v>
      </c>
      <c r="O9" s="346"/>
      <c r="P9" s="346"/>
      <c r="Q9" s="342">
        <f>SUM(Q6:Q8)</f>
        <v>61.974920000000004</v>
      </c>
      <c r="R9" s="145">
        <f>S9/Q9</f>
        <v>108.90764844875957</v>
      </c>
      <c r="S9" s="342">
        <f>SUM(S6:S8)</f>
        <v>6749.5427999999993</v>
      </c>
    </row>
    <row r="10" spans="1:19" ht="15" x14ac:dyDescent="0.2">
      <c r="A10" s="29" t="s">
        <v>57</v>
      </c>
      <c r="B10" s="78"/>
      <c r="C10" s="30">
        <f t="shared" ref="C10" si="2">(C8-C9)*80%</f>
        <v>0.78793600000000019</v>
      </c>
      <c r="D10" s="30">
        <f t="shared" ref="D10" si="3">(D8-D9)*80%</f>
        <v>30.345920000000003</v>
      </c>
      <c r="E10" s="30">
        <f t="shared" ref="E10" si="4">(E8-E9)*80%</f>
        <v>1.8960000000000001</v>
      </c>
      <c r="F10" s="31">
        <f>(F8-F9)/F9</f>
        <v>1.9957520447031076</v>
      </c>
      <c r="G10" s="32"/>
      <c r="H10" s="32"/>
    </row>
    <row r="11" spans="1:19" ht="15" x14ac:dyDescent="0.25">
      <c r="A11" s="33" t="s">
        <v>58</v>
      </c>
      <c r="B11" s="34"/>
      <c r="C11" s="35">
        <f>R6</f>
        <v>90</v>
      </c>
      <c r="D11" s="35">
        <f>R7</f>
        <v>110</v>
      </c>
      <c r="E11" s="35">
        <f>R8</f>
        <v>110</v>
      </c>
      <c r="F11" s="18">
        <f>SUMPRODUCT(B11:E11,B8:E8)</f>
        <v>6749.5427999999993</v>
      </c>
      <c r="G11"/>
      <c r="H11"/>
    </row>
    <row r="12" spans="1:19" ht="15.75" thickBot="1" x14ac:dyDescent="0.3">
      <c r="A12" s="29" t="s">
        <v>59</v>
      </c>
      <c r="B12" s="352"/>
      <c r="C12" s="353">
        <v>30</v>
      </c>
      <c r="D12" s="353">
        <v>30</v>
      </c>
      <c r="E12" s="353">
        <v>30</v>
      </c>
      <c r="F12" s="18"/>
      <c r="G12"/>
      <c r="H12"/>
    </row>
    <row r="13" spans="1:19" ht="15.75" thickBot="1" x14ac:dyDescent="0.3">
      <c r="A13" s="36" t="s">
        <v>60</v>
      </c>
      <c r="B13" s="349"/>
      <c r="C13" s="349">
        <f>(C8*C11)-(C10*C12)</f>
        <v>281.00472000000002</v>
      </c>
      <c r="D13" s="349">
        <f>(D8*D11)-(D10*D12)</f>
        <v>5240.8224</v>
      </c>
      <c r="E13" s="349">
        <f>(E8*E11)-(E10*E12)</f>
        <v>236.82</v>
      </c>
      <c r="F13" s="37">
        <f>SUM(B13:E13)</f>
        <v>5758.6471199999996</v>
      </c>
      <c r="G13"/>
      <c r="H13"/>
    </row>
    <row r="14" spans="1:19" ht="15.75" thickBot="1" x14ac:dyDescent="0.25">
      <c r="A14" s="38" t="s">
        <v>61</v>
      </c>
      <c r="B14" s="680">
        <f>SUM(B13:E13)</f>
        <v>5758.6471199999996</v>
      </c>
      <c r="C14" s="682"/>
      <c r="D14" s="683"/>
      <c r="E14" s="684"/>
      <c r="F14" s="39">
        <f>F13/F8</f>
        <v>92.918992392406466</v>
      </c>
      <c r="G14" s="32"/>
      <c r="H14" s="32"/>
    </row>
    <row r="15" spans="1:19" ht="15" x14ac:dyDescent="0.25">
      <c r="A15" s="663" t="s">
        <v>62</v>
      </c>
      <c r="B15" s="664"/>
      <c r="C15" s="664"/>
      <c r="D15" s="665"/>
      <c r="E15" s="666"/>
      <c r="F15" s="18"/>
      <c r="G15"/>
      <c r="H15"/>
    </row>
    <row r="16" spans="1:19" ht="24.75" customHeight="1" x14ac:dyDescent="0.2">
      <c r="A16" s="317" t="s">
        <v>63</v>
      </c>
      <c r="B16" s="41"/>
      <c r="C16" s="42"/>
      <c r="D16" s="150"/>
      <c r="E16" s="43"/>
      <c r="F16" s="18"/>
      <c r="G16" s="32"/>
      <c r="H16" s="32"/>
    </row>
    <row r="17" spans="1:8" ht="20.25" customHeight="1" x14ac:dyDescent="0.2">
      <c r="A17" s="667" t="s">
        <v>64</v>
      </c>
      <c r="B17" s="668"/>
      <c r="C17" s="668"/>
      <c r="D17" s="151"/>
      <c r="E17" s="45">
        <f>SUM(E16:E16)</f>
        <v>0</v>
      </c>
      <c r="F17" s="84"/>
    </row>
    <row r="18" spans="1:8" ht="13.5" thickBot="1" x14ac:dyDescent="0.25">
      <c r="A18" s="669" t="s">
        <v>65</v>
      </c>
      <c r="B18" s="670"/>
      <c r="C18" s="670"/>
      <c r="D18" s="152"/>
      <c r="E18" s="46">
        <f>B14+E17</f>
        <v>5758.6471199999996</v>
      </c>
      <c r="F18" s="18"/>
    </row>
    <row r="19" spans="1:8" ht="22.5" customHeight="1" x14ac:dyDescent="0.2">
      <c r="A19" s="671" t="s">
        <v>66</v>
      </c>
      <c r="B19" s="672"/>
      <c r="C19" s="672"/>
      <c r="D19" s="673"/>
      <c r="E19" s="674"/>
      <c r="F19" s="18"/>
    </row>
    <row r="20" spans="1:8" x14ac:dyDescent="0.2">
      <c r="A20" s="47" t="s">
        <v>54</v>
      </c>
      <c r="B20" s="48" t="s">
        <v>23</v>
      </c>
      <c r="C20" s="49" t="s">
        <v>67</v>
      </c>
      <c r="D20" s="50"/>
      <c r="E20" s="51" t="s">
        <v>68</v>
      </c>
      <c r="F20" s="18"/>
    </row>
    <row r="21" spans="1:8" ht="18" customHeight="1" x14ac:dyDescent="0.2">
      <c r="A21" s="52" t="s">
        <v>69</v>
      </c>
      <c r="B21" s="53">
        <f>'BOM R2D CatWalk'!X105</f>
        <v>4.1709090909090909</v>
      </c>
      <c r="C21" s="54">
        <v>35</v>
      </c>
      <c r="D21" s="55"/>
      <c r="E21" s="45">
        <f t="shared" ref="E21:E27" si="5">B21*C21</f>
        <v>145.98181818181817</v>
      </c>
      <c r="F21" s="56"/>
      <c r="G21" s="69">
        <f>E21/$F$9</f>
        <v>7.0564888233443304</v>
      </c>
      <c r="H21" s="69"/>
    </row>
    <row r="22" spans="1:8" ht="20.25" customHeight="1" x14ac:dyDescent="0.2">
      <c r="A22" s="52" t="s">
        <v>70</v>
      </c>
      <c r="B22" s="53">
        <f>'BOM R2D CatWalk'!AB105</f>
        <v>0</v>
      </c>
      <c r="C22" s="54">
        <v>550</v>
      </c>
      <c r="D22" s="55"/>
      <c r="E22" s="45">
        <f t="shared" si="5"/>
        <v>0</v>
      </c>
      <c r="F22" s="56"/>
      <c r="G22" s="69">
        <f t="shared" ref="G22:G35" si="6">E22/$F$9</f>
        <v>0</v>
      </c>
      <c r="H22" s="69"/>
    </row>
    <row r="23" spans="1:8" ht="18" customHeight="1" x14ac:dyDescent="0.2">
      <c r="A23" s="52" t="s">
        <v>71</v>
      </c>
      <c r="B23" s="53">
        <v>2</v>
      </c>
      <c r="C23" s="54">
        <v>100</v>
      </c>
      <c r="D23" s="55"/>
      <c r="E23" s="45">
        <f t="shared" si="5"/>
        <v>200</v>
      </c>
      <c r="F23" s="79"/>
      <c r="G23" s="69">
        <f t="shared" si="6"/>
        <v>9.6676269842804388</v>
      </c>
      <c r="H23" s="69"/>
    </row>
    <row r="24" spans="1:8" ht="18" customHeight="1" x14ac:dyDescent="0.2">
      <c r="A24" s="52" t="s">
        <v>72</v>
      </c>
      <c r="B24" s="53">
        <f>'BOM R2D CatWalk'!AF105</f>
        <v>0.85910400000000009</v>
      </c>
      <c r="C24" s="54">
        <v>250</v>
      </c>
      <c r="D24" s="55"/>
      <c r="E24" s="45">
        <f t="shared" si="5"/>
        <v>214.77600000000001</v>
      </c>
      <c r="F24" s="56"/>
      <c r="G24" s="69">
        <f t="shared" si="6"/>
        <v>10.381871265879077</v>
      </c>
      <c r="H24" s="69"/>
    </row>
    <row r="25" spans="1:8" ht="18" customHeight="1" x14ac:dyDescent="0.2">
      <c r="A25" s="52" t="s">
        <v>73</v>
      </c>
      <c r="B25" s="53">
        <f>B24/12</f>
        <v>7.1592000000000003E-2</v>
      </c>
      <c r="C25" s="54">
        <v>250</v>
      </c>
      <c r="D25" s="55"/>
      <c r="E25" s="45">
        <f t="shared" si="5"/>
        <v>17.898</v>
      </c>
      <c r="F25" s="56"/>
      <c r="G25" s="69">
        <f t="shared" si="6"/>
        <v>0.86515593882325648</v>
      </c>
      <c r="H25" s="69"/>
    </row>
    <row r="26" spans="1:8" ht="18" customHeight="1" x14ac:dyDescent="0.2">
      <c r="A26" s="52" t="s">
        <v>74</v>
      </c>
      <c r="B26" s="53">
        <f>F9/95</f>
        <v>0.21776421052631578</v>
      </c>
      <c r="C26" s="54">
        <v>1200</v>
      </c>
      <c r="D26" s="55"/>
      <c r="E26" s="45">
        <f t="shared" si="5"/>
        <v>261.31705263157892</v>
      </c>
      <c r="F26" s="56"/>
      <c r="G26" s="69">
        <f t="shared" si="6"/>
        <v>12.631578947368419</v>
      </c>
      <c r="H26" s="69"/>
    </row>
    <row r="27" spans="1:8" x14ac:dyDescent="0.2">
      <c r="A27" s="57" t="s">
        <v>75</v>
      </c>
      <c r="B27" s="58"/>
      <c r="C27" s="59">
        <v>250</v>
      </c>
      <c r="D27" s="60"/>
      <c r="E27" s="61">
        <f t="shared" si="5"/>
        <v>0</v>
      </c>
      <c r="F27" s="84" t="s">
        <v>76</v>
      </c>
      <c r="G27" s="69">
        <f t="shared" si="6"/>
        <v>0</v>
      </c>
      <c r="H27" s="69"/>
    </row>
    <row r="28" spans="1:8" ht="18" customHeight="1" x14ac:dyDescent="0.2">
      <c r="A28" s="52" t="s">
        <v>77</v>
      </c>
      <c r="B28" s="53"/>
      <c r="C28" s="54">
        <v>5</v>
      </c>
      <c r="D28" s="55"/>
      <c r="E28" s="62">
        <f>C28*F9</f>
        <v>103.438</v>
      </c>
      <c r="F28" s="18"/>
      <c r="G28" s="69">
        <f t="shared" si="6"/>
        <v>5</v>
      </c>
      <c r="H28" s="69"/>
    </row>
    <row r="29" spans="1:8" ht="18" customHeight="1" x14ac:dyDescent="0.2">
      <c r="A29" s="52" t="s">
        <v>78</v>
      </c>
      <c r="B29" s="53">
        <v>0</v>
      </c>
      <c r="C29" s="54">
        <v>50</v>
      </c>
      <c r="D29" s="55"/>
      <c r="E29" s="62">
        <f>B29*C29</f>
        <v>0</v>
      </c>
      <c r="F29" s="18"/>
      <c r="G29" s="69">
        <f t="shared" si="6"/>
        <v>0</v>
      </c>
      <c r="H29" s="69"/>
    </row>
    <row r="30" spans="1:8" ht="18" customHeight="1" x14ac:dyDescent="0.2">
      <c r="A30" s="52" t="s">
        <v>79</v>
      </c>
      <c r="B30" s="54">
        <f>'BOM R2D CatWalk'!AI105</f>
        <v>0.4461355199999999</v>
      </c>
      <c r="C30" s="54">
        <v>1250</v>
      </c>
      <c r="D30" s="55"/>
      <c r="E30" s="62">
        <f>B30*C30</f>
        <v>557.66939999999988</v>
      </c>
      <c r="F30" s="63" t="s">
        <v>133</v>
      </c>
      <c r="G30" s="69">
        <f t="shared" si="6"/>
        <v>26.956698698737402</v>
      </c>
      <c r="H30" s="69"/>
    </row>
    <row r="31" spans="1:8" ht="18" customHeight="1" x14ac:dyDescent="0.2">
      <c r="A31" s="52" t="s">
        <v>123</v>
      </c>
      <c r="B31" s="54">
        <f>15/60</f>
        <v>0.25</v>
      </c>
      <c r="C31" s="54">
        <v>250</v>
      </c>
      <c r="D31" s="55"/>
      <c r="E31" s="45">
        <f>B31*C31</f>
        <v>62.5</v>
      </c>
      <c r="F31" s="63"/>
      <c r="G31" s="69">
        <f t="shared" si="6"/>
        <v>3.0211334325876371</v>
      </c>
      <c r="H31" s="69"/>
    </row>
    <row r="32" spans="1:8" ht="18" customHeight="1" x14ac:dyDescent="0.2">
      <c r="A32" s="52" t="s">
        <v>135</v>
      </c>
      <c r="B32" s="54"/>
      <c r="C32" s="54">
        <v>5</v>
      </c>
      <c r="D32" s="55"/>
      <c r="E32" s="45">
        <f>C32*F9</f>
        <v>103.438</v>
      </c>
      <c r="F32" s="63"/>
      <c r="G32" s="69">
        <f t="shared" si="6"/>
        <v>5</v>
      </c>
      <c r="H32" s="69"/>
    </row>
    <row r="33" spans="1:13" ht="19.5" customHeight="1" x14ac:dyDescent="0.2">
      <c r="A33" s="47" t="s">
        <v>152</v>
      </c>
      <c r="B33" s="64"/>
      <c r="C33" s="65"/>
      <c r="D33" s="66"/>
      <c r="E33" s="67">
        <f>SUM(E21:E32)</f>
        <v>1667.0182708133971</v>
      </c>
      <c r="F33" s="18"/>
      <c r="G33" s="69">
        <f t="shared" si="6"/>
        <v>80.580554091020574</v>
      </c>
      <c r="H33" s="69"/>
    </row>
    <row r="34" spans="1:13" ht="22.5" customHeight="1" x14ac:dyDescent="0.2">
      <c r="A34" s="675" t="s">
        <v>80</v>
      </c>
      <c r="B34" s="676"/>
      <c r="C34" s="677"/>
      <c r="D34" s="315"/>
      <c r="E34" s="154">
        <f>E18+E33</f>
        <v>7425.6653908133967</v>
      </c>
      <c r="F34" s="68"/>
      <c r="G34" s="69"/>
      <c r="H34" s="69"/>
    </row>
    <row r="35" spans="1:13" x14ac:dyDescent="0.2">
      <c r="A35" s="83" t="s">
        <v>126</v>
      </c>
      <c r="B35" s="83"/>
      <c r="C35" s="318"/>
      <c r="D35" s="156">
        <v>0.1</v>
      </c>
      <c r="E35" s="155">
        <f>E34*D35</f>
        <v>742.56653908133967</v>
      </c>
      <c r="F35" s="70"/>
      <c r="G35" s="69">
        <f t="shared" si="6"/>
        <v>35.894281554232471</v>
      </c>
      <c r="H35" s="69"/>
    </row>
    <row r="36" spans="1:13" x14ac:dyDescent="0.2">
      <c r="A36" s="83" t="s">
        <v>127</v>
      </c>
      <c r="B36" s="83"/>
      <c r="C36" s="318"/>
      <c r="D36" s="318"/>
      <c r="E36" s="155">
        <f>SUM(E34:E35)</f>
        <v>8168.2319298947368</v>
      </c>
      <c r="F36" s="70"/>
      <c r="G36" s="69">
        <f>E36/F9</f>
        <v>394.83709709655722</v>
      </c>
      <c r="H36" s="69"/>
      <c r="I36" s="69">
        <f>E36/F8</f>
        <v>131.79899110631746</v>
      </c>
    </row>
    <row r="39" spans="1:13" ht="12.75" customHeight="1" thickBot="1" x14ac:dyDescent="0.25">
      <c r="F39" s="11" t="s">
        <v>81</v>
      </c>
      <c r="G39" s="44"/>
      <c r="H39" s="44"/>
    </row>
    <row r="40" spans="1:13" ht="12.75" customHeight="1" x14ac:dyDescent="0.2">
      <c r="A40" s="678" t="s">
        <v>82</v>
      </c>
      <c r="B40" s="679"/>
      <c r="C40" s="679"/>
      <c r="D40" s="153"/>
      <c r="E40" s="71" t="s">
        <v>83</v>
      </c>
      <c r="F40" s="11" t="s">
        <v>81</v>
      </c>
      <c r="G40" s="44"/>
      <c r="H40" s="44"/>
    </row>
    <row r="41" spans="1:13" x14ac:dyDescent="0.2">
      <c r="A41" s="654" t="s">
        <v>134</v>
      </c>
      <c r="B41" s="655"/>
      <c r="C41" s="655"/>
      <c r="D41" s="316"/>
      <c r="E41" s="72"/>
    </row>
    <row r="42" spans="1:13" ht="13.5" thickBot="1" x14ac:dyDescent="0.25">
      <c r="A42" s="656" t="s">
        <v>84</v>
      </c>
      <c r="B42" s="657"/>
      <c r="C42" s="657"/>
      <c r="D42" s="314"/>
      <c r="E42" s="261" t="s">
        <v>85</v>
      </c>
    </row>
    <row r="43" spans="1:13" ht="20.100000000000001" customHeight="1" x14ac:dyDescent="0.2">
      <c r="G43" s="44"/>
      <c r="H43" s="44"/>
    </row>
    <row r="44" spans="1:13" s="44" customFormat="1" ht="18" customHeight="1" thickBot="1" x14ac:dyDescent="0.25">
      <c r="A44" s="10"/>
      <c r="B44" s="10"/>
      <c r="C44" s="10"/>
      <c r="D44" s="10"/>
      <c r="E44" s="70"/>
      <c r="F44" s="14"/>
      <c r="G44" s="10"/>
      <c r="H44" s="10"/>
      <c r="I44" s="10"/>
    </row>
    <row r="45" spans="1:13" s="44" customFormat="1" ht="15.75" thickBot="1" x14ac:dyDescent="0.25">
      <c r="A45" s="658" t="s">
        <v>161</v>
      </c>
      <c r="B45" s="659"/>
      <c r="C45" s="659"/>
      <c r="D45" s="660"/>
      <c r="E45" s="70"/>
      <c r="F45" s="14"/>
      <c r="G45" s="10"/>
      <c r="H45" s="10"/>
      <c r="I45" s="10"/>
    </row>
    <row r="46" spans="1:13" s="44" customFormat="1" ht="19.5" customHeight="1" thickBot="1" x14ac:dyDescent="0.25">
      <c r="A46" s="282" t="s">
        <v>125</v>
      </c>
      <c r="B46" s="283" t="s">
        <v>159</v>
      </c>
      <c r="C46" s="283" t="s">
        <v>155</v>
      </c>
      <c r="D46" s="284" t="s">
        <v>156</v>
      </c>
      <c r="E46" s="70"/>
      <c r="F46" s="14"/>
      <c r="G46" s="10"/>
      <c r="H46" s="10"/>
      <c r="I46" s="10"/>
      <c r="J46" s="10"/>
      <c r="K46" s="10"/>
      <c r="L46" s="10"/>
      <c r="M46" s="10"/>
    </row>
    <row r="47" spans="1:13" s="44" customFormat="1" ht="15.75" x14ac:dyDescent="0.2">
      <c r="A47" s="288" t="s">
        <v>124</v>
      </c>
      <c r="B47" s="289"/>
      <c r="C47" s="290">
        <v>100</v>
      </c>
      <c r="D47" s="291">
        <f>B47*C47</f>
        <v>0</v>
      </c>
      <c r="E47" s="70"/>
      <c r="F47" s="14"/>
      <c r="G47" s="10"/>
      <c r="H47" s="10"/>
      <c r="I47" s="10"/>
      <c r="J47" s="10"/>
      <c r="K47" s="10"/>
      <c r="L47" s="10"/>
      <c r="M47" s="10"/>
    </row>
    <row r="48" spans="1:13" s="44" customFormat="1" ht="15.75" x14ac:dyDescent="0.2">
      <c r="A48" s="274" t="s">
        <v>712</v>
      </c>
      <c r="B48" s="80"/>
      <c r="C48" s="81">
        <v>200</v>
      </c>
      <c r="D48" s="273">
        <f>B48*C48</f>
        <v>0</v>
      </c>
      <c r="E48" s="70"/>
      <c r="F48" s="14"/>
      <c r="G48" s="10"/>
      <c r="H48" s="10"/>
      <c r="I48" s="10"/>
      <c r="J48" s="10"/>
      <c r="K48" s="10"/>
      <c r="L48" s="10"/>
      <c r="M48" s="10"/>
    </row>
    <row r="49" spans="1:13" s="44" customFormat="1" ht="15.75" x14ac:dyDescent="0.2">
      <c r="A49" s="274" t="s">
        <v>162</v>
      </c>
      <c r="B49" s="80"/>
      <c r="C49" s="81">
        <v>4.5</v>
      </c>
      <c r="D49" s="273">
        <f>B49*C49</f>
        <v>0</v>
      </c>
      <c r="E49" s="70"/>
      <c r="F49" s="14"/>
      <c r="G49" s="10"/>
      <c r="H49" s="10"/>
      <c r="I49" s="10"/>
      <c r="J49" s="10"/>
      <c r="K49" s="10"/>
      <c r="L49" s="10"/>
      <c r="M49" s="10"/>
    </row>
    <row r="50" spans="1:13" s="44" customFormat="1" ht="15.75" x14ac:dyDescent="0.2">
      <c r="A50" s="292" t="s">
        <v>163</v>
      </c>
      <c r="B50" s="286"/>
      <c r="C50" s="287"/>
      <c r="D50" s="293">
        <f>SUM(D47:D49)</f>
        <v>0</v>
      </c>
      <c r="E50" s="70"/>
      <c r="F50" s="14"/>
      <c r="G50" s="10"/>
      <c r="H50" s="10"/>
      <c r="I50" s="10"/>
      <c r="J50" s="10"/>
      <c r="K50" s="10"/>
      <c r="L50" s="10"/>
      <c r="M50" s="10"/>
    </row>
    <row r="51" spans="1:13" s="44" customFormat="1" ht="15.75" x14ac:dyDescent="0.2">
      <c r="A51" s="274" t="s">
        <v>158</v>
      </c>
      <c r="B51" s="80"/>
      <c r="C51" s="81">
        <f>75000/30</f>
        <v>2500</v>
      </c>
      <c r="D51" s="273">
        <f>B51*C51</f>
        <v>0</v>
      </c>
      <c r="E51" s="70"/>
      <c r="F51" s="14"/>
      <c r="G51" s="10"/>
      <c r="H51" s="10"/>
      <c r="I51" s="10"/>
      <c r="J51" s="10"/>
      <c r="K51" s="10"/>
      <c r="L51" s="10"/>
      <c r="M51" s="10"/>
    </row>
    <row r="52" spans="1:13" s="44" customFormat="1" ht="16.5" thickBot="1" x14ac:dyDescent="0.25">
      <c r="A52" s="275" t="s">
        <v>126</v>
      </c>
      <c r="B52" s="276"/>
      <c r="C52" s="285">
        <v>7.0000000000000007E-2</v>
      </c>
      <c r="D52" s="277">
        <f>(D50+D51)*C52</f>
        <v>0</v>
      </c>
      <c r="E52" s="70"/>
      <c r="F52" s="14"/>
      <c r="G52" s="10"/>
      <c r="H52" s="10"/>
      <c r="I52" s="10"/>
      <c r="J52" s="10"/>
      <c r="K52" s="10"/>
      <c r="L52" s="10"/>
      <c r="M52" s="10"/>
    </row>
    <row r="53" spans="1:13" s="265" customFormat="1" ht="16.5" thickBot="1" x14ac:dyDescent="0.25">
      <c r="A53" s="278" t="s">
        <v>160</v>
      </c>
      <c r="B53" s="279"/>
      <c r="C53" s="280"/>
      <c r="D53" s="281">
        <f>SUM(D50:D52)</f>
        <v>0</v>
      </c>
      <c r="E53" s="262"/>
      <c r="F53" s="263"/>
      <c r="G53" s="264"/>
      <c r="H53" s="264"/>
      <c r="I53" s="264"/>
      <c r="J53" s="264"/>
      <c r="K53" s="264"/>
      <c r="L53" s="264"/>
      <c r="M53" s="264"/>
    </row>
    <row r="54" spans="1:13" s="44" customFormat="1" ht="25.5" customHeight="1" x14ac:dyDescent="0.2">
      <c r="A54" s="10"/>
      <c r="B54" s="10"/>
      <c r="C54" s="10"/>
      <c r="D54" s="10"/>
      <c r="E54" s="70"/>
      <c r="F54" s="14"/>
      <c r="G54" s="10"/>
      <c r="H54" s="10"/>
      <c r="I54" s="10"/>
      <c r="J54" s="10"/>
      <c r="K54" s="10"/>
      <c r="L54" s="10"/>
      <c r="M54" s="10"/>
    </row>
  </sheetData>
  <sheetProtection selectLockedCells="1" selectUnlockedCells="1"/>
  <mergeCells count="14">
    <mergeCell ref="A41:C41"/>
    <mergeCell ref="A42:C42"/>
    <mergeCell ref="A17:C17"/>
    <mergeCell ref="A45:D45"/>
    <mergeCell ref="I4:O4"/>
    <mergeCell ref="A18:C18"/>
    <mergeCell ref="A19:E19"/>
    <mergeCell ref="A34:C34"/>
    <mergeCell ref="A40:C40"/>
    <mergeCell ref="A1:E1"/>
    <mergeCell ref="A5:E5"/>
    <mergeCell ref="A6:E6"/>
    <mergeCell ref="B14:E14"/>
    <mergeCell ref="A15:E1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1940-DBE8-439C-B5CA-629A88C9BC12}">
  <sheetPr>
    <pageSetUpPr fitToPage="1"/>
  </sheetPr>
  <dimension ref="A1:S54"/>
  <sheetViews>
    <sheetView topLeftCell="A34" zoomScale="85" zoomScaleNormal="85" zoomScaleSheetLayoutView="100" workbookViewId="0">
      <selection activeCell="C51" sqref="C51"/>
    </sheetView>
  </sheetViews>
  <sheetFormatPr defaultRowHeight="12.75" x14ac:dyDescent="0.2"/>
  <cols>
    <col min="1" max="1" width="38.42578125" style="10" customWidth="1"/>
    <col min="2" max="2" width="31.5703125" style="10" bestFit="1" customWidth="1"/>
    <col min="3" max="3" width="17.42578125" style="10" bestFit="1" customWidth="1"/>
    <col min="4" max="4" width="20" style="10" bestFit="1" customWidth="1"/>
    <col min="5" max="5" width="18.5703125" style="70" bestFit="1" customWidth="1"/>
    <col min="6" max="6" width="21.140625" style="14" customWidth="1"/>
    <col min="7" max="8" width="10.140625" style="10" customWidth="1"/>
    <col min="9" max="9" width="9.28515625" style="10" bestFit="1" customWidth="1"/>
    <col min="10" max="10" width="12.140625" style="10" bestFit="1" customWidth="1"/>
    <col min="11" max="11" width="14.140625" style="10" bestFit="1" customWidth="1"/>
    <col min="12" max="12" width="11.28515625" style="10" bestFit="1" customWidth="1"/>
    <col min="13" max="13" width="16" style="10" bestFit="1" customWidth="1"/>
    <col min="14" max="14" width="26" style="10" bestFit="1" customWidth="1"/>
    <col min="15" max="15" width="17.140625" style="10" customWidth="1"/>
    <col min="16" max="16" width="11.140625" style="10" bestFit="1" customWidth="1"/>
    <col min="17" max="17" width="15.140625" style="10" bestFit="1" customWidth="1"/>
    <col min="18" max="18" width="10.42578125" style="10" bestFit="1" customWidth="1"/>
    <col min="19" max="19" width="13.140625" style="10" bestFit="1" customWidth="1"/>
    <col min="20" max="20" width="23.85546875" style="10" customWidth="1"/>
    <col min="21" max="203" width="9.140625" style="10"/>
    <col min="204" max="204" width="37.42578125" style="10" customWidth="1"/>
    <col min="205" max="205" width="13.5703125" style="10" customWidth="1"/>
    <col min="206" max="206" width="14.42578125" style="10" customWidth="1"/>
    <col min="207" max="207" width="8.42578125" style="10" bestFit="1" customWidth="1"/>
    <col min="208" max="208" width="16.85546875" style="10" customWidth="1"/>
    <col min="209" max="209" width="9.140625" style="10"/>
    <col min="210" max="210" width="11.28515625" style="10" customWidth="1"/>
    <col min="211" max="459" width="9.140625" style="10"/>
    <col min="460" max="460" width="37.42578125" style="10" customWidth="1"/>
    <col min="461" max="461" width="13.5703125" style="10" customWidth="1"/>
    <col min="462" max="462" width="14.42578125" style="10" customWidth="1"/>
    <col min="463" max="463" width="8.42578125" style="10" bestFit="1" customWidth="1"/>
    <col min="464" max="464" width="16.85546875" style="10" customWidth="1"/>
    <col min="465" max="465" width="9.140625" style="10"/>
    <col min="466" max="466" width="11.28515625" style="10" customWidth="1"/>
    <col min="467" max="715" width="9.140625" style="10"/>
    <col min="716" max="716" width="37.42578125" style="10" customWidth="1"/>
    <col min="717" max="717" width="13.5703125" style="10" customWidth="1"/>
    <col min="718" max="718" width="14.42578125" style="10" customWidth="1"/>
    <col min="719" max="719" width="8.42578125" style="10" bestFit="1" customWidth="1"/>
    <col min="720" max="720" width="16.85546875" style="10" customWidth="1"/>
    <col min="721" max="721" width="9.140625" style="10"/>
    <col min="722" max="722" width="11.28515625" style="10" customWidth="1"/>
    <col min="723" max="971" width="9.140625" style="10"/>
    <col min="972" max="972" width="37.42578125" style="10" customWidth="1"/>
    <col min="973" max="973" width="13.5703125" style="10" customWidth="1"/>
    <col min="974" max="974" width="14.42578125" style="10" customWidth="1"/>
    <col min="975" max="975" width="8.42578125" style="10" bestFit="1" customWidth="1"/>
    <col min="976" max="976" width="16.85546875" style="10" customWidth="1"/>
    <col min="977" max="977" width="9.140625" style="10"/>
    <col min="978" max="978" width="11.28515625" style="10" customWidth="1"/>
    <col min="979" max="1227" width="9.140625" style="10"/>
    <col min="1228" max="1228" width="37.42578125" style="10" customWidth="1"/>
    <col min="1229" max="1229" width="13.5703125" style="10" customWidth="1"/>
    <col min="1230" max="1230" width="14.42578125" style="10" customWidth="1"/>
    <col min="1231" max="1231" width="8.42578125" style="10" bestFit="1" customWidth="1"/>
    <col min="1232" max="1232" width="16.85546875" style="10" customWidth="1"/>
    <col min="1233" max="1233" width="9.140625" style="10"/>
    <col min="1234" max="1234" width="11.28515625" style="10" customWidth="1"/>
    <col min="1235" max="1483" width="9.140625" style="10"/>
    <col min="1484" max="1484" width="37.42578125" style="10" customWidth="1"/>
    <col min="1485" max="1485" width="13.5703125" style="10" customWidth="1"/>
    <col min="1486" max="1486" width="14.42578125" style="10" customWidth="1"/>
    <col min="1487" max="1487" width="8.42578125" style="10" bestFit="1" customWidth="1"/>
    <col min="1488" max="1488" width="16.85546875" style="10" customWidth="1"/>
    <col min="1489" max="1489" width="9.140625" style="10"/>
    <col min="1490" max="1490" width="11.28515625" style="10" customWidth="1"/>
    <col min="1491" max="1739" width="9.140625" style="10"/>
    <col min="1740" max="1740" width="37.42578125" style="10" customWidth="1"/>
    <col min="1741" max="1741" width="13.5703125" style="10" customWidth="1"/>
    <col min="1742" max="1742" width="14.42578125" style="10" customWidth="1"/>
    <col min="1743" max="1743" width="8.42578125" style="10" bestFit="1" customWidth="1"/>
    <col min="1744" max="1744" width="16.85546875" style="10" customWidth="1"/>
    <col min="1745" max="1745" width="9.140625" style="10"/>
    <col min="1746" max="1746" width="11.28515625" style="10" customWidth="1"/>
    <col min="1747" max="1995" width="9.140625" style="10"/>
    <col min="1996" max="1996" width="37.42578125" style="10" customWidth="1"/>
    <col min="1997" max="1997" width="13.5703125" style="10" customWidth="1"/>
    <col min="1998" max="1998" width="14.42578125" style="10" customWidth="1"/>
    <col min="1999" max="1999" width="8.42578125" style="10" bestFit="1" customWidth="1"/>
    <col min="2000" max="2000" width="16.85546875" style="10" customWidth="1"/>
    <col min="2001" max="2001" width="9.140625" style="10"/>
    <col min="2002" max="2002" width="11.28515625" style="10" customWidth="1"/>
    <col min="2003" max="2251" width="9.140625" style="10"/>
    <col min="2252" max="2252" width="37.42578125" style="10" customWidth="1"/>
    <col min="2253" max="2253" width="13.5703125" style="10" customWidth="1"/>
    <col min="2254" max="2254" width="14.42578125" style="10" customWidth="1"/>
    <col min="2255" max="2255" width="8.42578125" style="10" bestFit="1" customWidth="1"/>
    <col min="2256" max="2256" width="16.85546875" style="10" customWidth="1"/>
    <col min="2257" max="2257" width="9.140625" style="10"/>
    <col min="2258" max="2258" width="11.28515625" style="10" customWidth="1"/>
    <col min="2259" max="2507" width="9.140625" style="10"/>
    <col min="2508" max="2508" width="37.42578125" style="10" customWidth="1"/>
    <col min="2509" max="2509" width="13.5703125" style="10" customWidth="1"/>
    <col min="2510" max="2510" width="14.42578125" style="10" customWidth="1"/>
    <col min="2511" max="2511" width="8.42578125" style="10" bestFit="1" customWidth="1"/>
    <col min="2512" max="2512" width="16.85546875" style="10" customWidth="1"/>
    <col min="2513" max="2513" width="9.140625" style="10"/>
    <col min="2514" max="2514" width="11.28515625" style="10" customWidth="1"/>
    <col min="2515" max="2763" width="9.140625" style="10"/>
    <col min="2764" max="2764" width="37.42578125" style="10" customWidth="1"/>
    <col min="2765" max="2765" width="13.5703125" style="10" customWidth="1"/>
    <col min="2766" max="2766" width="14.42578125" style="10" customWidth="1"/>
    <col min="2767" max="2767" width="8.42578125" style="10" bestFit="1" customWidth="1"/>
    <col min="2768" max="2768" width="16.85546875" style="10" customWidth="1"/>
    <col min="2769" max="2769" width="9.140625" style="10"/>
    <col min="2770" max="2770" width="11.28515625" style="10" customWidth="1"/>
    <col min="2771" max="3019" width="9.140625" style="10"/>
    <col min="3020" max="3020" width="37.42578125" style="10" customWidth="1"/>
    <col min="3021" max="3021" width="13.5703125" style="10" customWidth="1"/>
    <col min="3022" max="3022" width="14.42578125" style="10" customWidth="1"/>
    <col min="3023" max="3023" width="8.42578125" style="10" bestFit="1" customWidth="1"/>
    <col min="3024" max="3024" width="16.85546875" style="10" customWidth="1"/>
    <col min="3025" max="3025" width="9.140625" style="10"/>
    <col min="3026" max="3026" width="11.28515625" style="10" customWidth="1"/>
    <col min="3027" max="3275" width="9.140625" style="10"/>
    <col min="3276" max="3276" width="37.42578125" style="10" customWidth="1"/>
    <col min="3277" max="3277" width="13.5703125" style="10" customWidth="1"/>
    <col min="3278" max="3278" width="14.42578125" style="10" customWidth="1"/>
    <col min="3279" max="3279" width="8.42578125" style="10" bestFit="1" customWidth="1"/>
    <col min="3280" max="3280" width="16.85546875" style="10" customWidth="1"/>
    <col min="3281" max="3281" width="9.140625" style="10"/>
    <col min="3282" max="3282" width="11.28515625" style="10" customWidth="1"/>
    <col min="3283" max="3531" width="9.140625" style="10"/>
    <col min="3532" max="3532" width="37.42578125" style="10" customWidth="1"/>
    <col min="3533" max="3533" width="13.5703125" style="10" customWidth="1"/>
    <col min="3534" max="3534" width="14.42578125" style="10" customWidth="1"/>
    <col min="3535" max="3535" width="8.42578125" style="10" bestFit="1" customWidth="1"/>
    <col min="3536" max="3536" width="16.85546875" style="10" customWidth="1"/>
    <col min="3537" max="3537" width="9.140625" style="10"/>
    <col min="3538" max="3538" width="11.28515625" style="10" customWidth="1"/>
    <col min="3539" max="3787" width="9.140625" style="10"/>
    <col min="3788" max="3788" width="37.42578125" style="10" customWidth="1"/>
    <col min="3789" max="3789" width="13.5703125" style="10" customWidth="1"/>
    <col min="3790" max="3790" width="14.42578125" style="10" customWidth="1"/>
    <col min="3791" max="3791" width="8.42578125" style="10" bestFit="1" customWidth="1"/>
    <col min="3792" max="3792" width="16.85546875" style="10" customWidth="1"/>
    <col min="3793" max="3793" width="9.140625" style="10"/>
    <col min="3794" max="3794" width="11.28515625" style="10" customWidth="1"/>
    <col min="3795" max="4043" width="9.140625" style="10"/>
    <col min="4044" max="4044" width="37.42578125" style="10" customWidth="1"/>
    <col min="4045" max="4045" width="13.5703125" style="10" customWidth="1"/>
    <col min="4046" max="4046" width="14.42578125" style="10" customWidth="1"/>
    <col min="4047" max="4047" width="8.42578125" style="10" bestFit="1" customWidth="1"/>
    <col min="4048" max="4048" width="16.85546875" style="10" customWidth="1"/>
    <col min="4049" max="4049" width="9.140625" style="10"/>
    <col min="4050" max="4050" width="11.28515625" style="10" customWidth="1"/>
    <col min="4051" max="4299" width="9.140625" style="10"/>
    <col min="4300" max="4300" width="37.42578125" style="10" customWidth="1"/>
    <col min="4301" max="4301" width="13.5703125" style="10" customWidth="1"/>
    <col min="4302" max="4302" width="14.42578125" style="10" customWidth="1"/>
    <col min="4303" max="4303" width="8.42578125" style="10" bestFit="1" customWidth="1"/>
    <col min="4304" max="4304" width="16.85546875" style="10" customWidth="1"/>
    <col min="4305" max="4305" width="9.140625" style="10"/>
    <col min="4306" max="4306" width="11.28515625" style="10" customWidth="1"/>
    <col min="4307" max="4555" width="9.140625" style="10"/>
    <col min="4556" max="4556" width="37.42578125" style="10" customWidth="1"/>
    <col min="4557" max="4557" width="13.5703125" style="10" customWidth="1"/>
    <col min="4558" max="4558" width="14.42578125" style="10" customWidth="1"/>
    <col min="4559" max="4559" width="8.42578125" style="10" bestFit="1" customWidth="1"/>
    <col min="4560" max="4560" width="16.85546875" style="10" customWidth="1"/>
    <col min="4561" max="4561" width="9.140625" style="10"/>
    <col min="4562" max="4562" width="11.28515625" style="10" customWidth="1"/>
    <col min="4563" max="4811" width="9.140625" style="10"/>
    <col min="4812" max="4812" width="37.42578125" style="10" customWidth="1"/>
    <col min="4813" max="4813" width="13.5703125" style="10" customWidth="1"/>
    <col min="4814" max="4814" width="14.42578125" style="10" customWidth="1"/>
    <col min="4815" max="4815" width="8.42578125" style="10" bestFit="1" customWidth="1"/>
    <col min="4816" max="4816" width="16.85546875" style="10" customWidth="1"/>
    <col min="4817" max="4817" width="9.140625" style="10"/>
    <col min="4818" max="4818" width="11.28515625" style="10" customWidth="1"/>
    <col min="4819" max="5067" width="9.140625" style="10"/>
    <col min="5068" max="5068" width="37.42578125" style="10" customWidth="1"/>
    <col min="5069" max="5069" width="13.5703125" style="10" customWidth="1"/>
    <col min="5070" max="5070" width="14.42578125" style="10" customWidth="1"/>
    <col min="5071" max="5071" width="8.42578125" style="10" bestFit="1" customWidth="1"/>
    <col min="5072" max="5072" width="16.85546875" style="10" customWidth="1"/>
    <col min="5073" max="5073" width="9.140625" style="10"/>
    <col min="5074" max="5074" width="11.28515625" style="10" customWidth="1"/>
    <col min="5075" max="5323" width="9.140625" style="10"/>
    <col min="5324" max="5324" width="37.42578125" style="10" customWidth="1"/>
    <col min="5325" max="5325" width="13.5703125" style="10" customWidth="1"/>
    <col min="5326" max="5326" width="14.42578125" style="10" customWidth="1"/>
    <col min="5327" max="5327" width="8.42578125" style="10" bestFit="1" customWidth="1"/>
    <col min="5328" max="5328" width="16.85546875" style="10" customWidth="1"/>
    <col min="5329" max="5329" width="9.140625" style="10"/>
    <col min="5330" max="5330" width="11.28515625" style="10" customWidth="1"/>
    <col min="5331" max="5579" width="9.140625" style="10"/>
    <col min="5580" max="5580" width="37.42578125" style="10" customWidth="1"/>
    <col min="5581" max="5581" width="13.5703125" style="10" customWidth="1"/>
    <col min="5582" max="5582" width="14.42578125" style="10" customWidth="1"/>
    <col min="5583" max="5583" width="8.42578125" style="10" bestFit="1" customWidth="1"/>
    <col min="5584" max="5584" width="16.85546875" style="10" customWidth="1"/>
    <col min="5585" max="5585" width="9.140625" style="10"/>
    <col min="5586" max="5586" width="11.28515625" style="10" customWidth="1"/>
    <col min="5587" max="5835" width="9.140625" style="10"/>
    <col min="5836" max="5836" width="37.42578125" style="10" customWidth="1"/>
    <col min="5837" max="5837" width="13.5703125" style="10" customWidth="1"/>
    <col min="5838" max="5838" width="14.42578125" style="10" customWidth="1"/>
    <col min="5839" max="5839" width="8.42578125" style="10" bestFit="1" customWidth="1"/>
    <col min="5840" max="5840" width="16.85546875" style="10" customWidth="1"/>
    <col min="5841" max="5841" width="9.140625" style="10"/>
    <col min="5842" max="5842" width="11.28515625" style="10" customWidth="1"/>
    <col min="5843" max="6091" width="9.140625" style="10"/>
    <col min="6092" max="6092" width="37.42578125" style="10" customWidth="1"/>
    <col min="6093" max="6093" width="13.5703125" style="10" customWidth="1"/>
    <col min="6094" max="6094" width="14.42578125" style="10" customWidth="1"/>
    <col min="6095" max="6095" width="8.42578125" style="10" bestFit="1" customWidth="1"/>
    <col min="6096" max="6096" width="16.85546875" style="10" customWidth="1"/>
    <col min="6097" max="6097" width="9.140625" style="10"/>
    <col min="6098" max="6098" width="11.28515625" style="10" customWidth="1"/>
    <col min="6099" max="6347" width="9.140625" style="10"/>
    <col min="6348" max="6348" width="37.42578125" style="10" customWidth="1"/>
    <col min="6349" max="6349" width="13.5703125" style="10" customWidth="1"/>
    <col min="6350" max="6350" width="14.42578125" style="10" customWidth="1"/>
    <col min="6351" max="6351" width="8.42578125" style="10" bestFit="1" customWidth="1"/>
    <col min="6352" max="6352" width="16.85546875" style="10" customWidth="1"/>
    <col min="6353" max="6353" width="9.140625" style="10"/>
    <col min="6354" max="6354" width="11.28515625" style="10" customWidth="1"/>
    <col min="6355" max="6603" width="9.140625" style="10"/>
    <col min="6604" max="6604" width="37.42578125" style="10" customWidth="1"/>
    <col min="6605" max="6605" width="13.5703125" style="10" customWidth="1"/>
    <col min="6606" max="6606" width="14.42578125" style="10" customWidth="1"/>
    <col min="6607" max="6607" width="8.42578125" style="10" bestFit="1" customWidth="1"/>
    <col min="6608" max="6608" width="16.85546875" style="10" customWidth="1"/>
    <col min="6609" max="6609" width="9.140625" style="10"/>
    <col min="6610" max="6610" width="11.28515625" style="10" customWidth="1"/>
    <col min="6611" max="6859" width="9.140625" style="10"/>
    <col min="6860" max="6860" width="37.42578125" style="10" customWidth="1"/>
    <col min="6861" max="6861" width="13.5703125" style="10" customWidth="1"/>
    <col min="6862" max="6862" width="14.42578125" style="10" customWidth="1"/>
    <col min="6863" max="6863" width="8.42578125" style="10" bestFit="1" customWidth="1"/>
    <col min="6864" max="6864" width="16.85546875" style="10" customWidth="1"/>
    <col min="6865" max="6865" width="9.140625" style="10"/>
    <col min="6866" max="6866" width="11.28515625" style="10" customWidth="1"/>
    <col min="6867" max="7115" width="9.140625" style="10"/>
    <col min="7116" max="7116" width="37.42578125" style="10" customWidth="1"/>
    <col min="7117" max="7117" width="13.5703125" style="10" customWidth="1"/>
    <col min="7118" max="7118" width="14.42578125" style="10" customWidth="1"/>
    <col min="7119" max="7119" width="8.42578125" style="10" bestFit="1" customWidth="1"/>
    <col min="7120" max="7120" width="16.85546875" style="10" customWidth="1"/>
    <col min="7121" max="7121" width="9.140625" style="10"/>
    <col min="7122" max="7122" width="11.28515625" style="10" customWidth="1"/>
    <col min="7123" max="7371" width="9.140625" style="10"/>
    <col min="7372" max="7372" width="37.42578125" style="10" customWidth="1"/>
    <col min="7373" max="7373" width="13.5703125" style="10" customWidth="1"/>
    <col min="7374" max="7374" width="14.42578125" style="10" customWidth="1"/>
    <col min="7375" max="7375" width="8.42578125" style="10" bestFit="1" customWidth="1"/>
    <col min="7376" max="7376" width="16.85546875" style="10" customWidth="1"/>
    <col min="7377" max="7377" width="9.140625" style="10"/>
    <col min="7378" max="7378" width="11.28515625" style="10" customWidth="1"/>
    <col min="7379" max="7627" width="9.140625" style="10"/>
    <col min="7628" max="7628" width="37.42578125" style="10" customWidth="1"/>
    <col min="7629" max="7629" width="13.5703125" style="10" customWidth="1"/>
    <col min="7630" max="7630" width="14.42578125" style="10" customWidth="1"/>
    <col min="7631" max="7631" width="8.42578125" style="10" bestFit="1" customWidth="1"/>
    <col min="7632" max="7632" width="16.85546875" style="10" customWidth="1"/>
    <col min="7633" max="7633" width="9.140625" style="10"/>
    <col min="7634" max="7634" width="11.28515625" style="10" customWidth="1"/>
    <col min="7635" max="7883" width="9.140625" style="10"/>
    <col min="7884" max="7884" width="37.42578125" style="10" customWidth="1"/>
    <col min="7885" max="7885" width="13.5703125" style="10" customWidth="1"/>
    <col min="7886" max="7886" width="14.42578125" style="10" customWidth="1"/>
    <col min="7887" max="7887" width="8.42578125" style="10" bestFit="1" customWidth="1"/>
    <col min="7888" max="7888" width="16.85546875" style="10" customWidth="1"/>
    <col min="7889" max="7889" width="9.140625" style="10"/>
    <col min="7890" max="7890" width="11.28515625" style="10" customWidth="1"/>
    <col min="7891" max="8139" width="9.140625" style="10"/>
    <col min="8140" max="8140" width="37.42578125" style="10" customWidth="1"/>
    <col min="8141" max="8141" width="13.5703125" style="10" customWidth="1"/>
    <col min="8142" max="8142" width="14.42578125" style="10" customWidth="1"/>
    <col min="8143" max="8143" width="8.42578125" style="10" bestFit="1" customWidth="1"/>
    <col min="8144" max="8144" width="16.85546875" style="10" customWidth="1"/>
    <col min="8145" max="8145" width="9.140625" style="10"/>
    <col min="8146" max="8146" width="11.28515625" style="10" customWidth="1"/>
    <col min="8147" max="8395" width="9.140625" style="10"/>
    <col min="8396" max="8396" width="37.42578125" style="10" customWidth="1"/>
    <col min="8397" max="8397" width="13.5703125" style="10" customWidth="1"/>
    <col min="8398" max="8398" width="14.42578125" style="10" customWidth="1"/>
    <col min="8399" max="8399" width="8.42578125" style="10" bestFit="1" customWidth="1"/>
    <col min="8400" max="8400" width="16.85546875" style="10" customWidth="1"/>
    <col min="8401" max="8401" width="9.140625" style="10"/>
    <col min="8402" max="8402" width="11.28515625" style="10" customWidth="1"/>
    <col min="8403" max="8651" width="9.140625" style="10"/>
    <col min="8652" max="8652" width="37.42578125" style="10" customWidth="1"/>
    <col min="8653" max="8653" width="13.5703125" style="10" customWidth="1"/>
    <col min="8654" max="8654" width="14.42578125" style="10" customWidth="1"/>
    <col min="8655" max="8655" width="8.42578125" style="10" bestFit="1" customWidth="1"/>
    <col min="8656" max="8656" width="16.85546875" style="10" customWidth="1"/>
    <col min="8657" max="8657" width="9.140625" style="10"/>
    <col min="8658" max="8658" width="11.28515625" style="10" customWidth="1"/>
    <col min="8659" max="8907" width="9.140625" style="10"/>
    <col min="8908" max="8908" width="37.42578125" style="10" customWidth="1"/>
    <col min="8909" max="8909" width="13.5703125" style="10" customWidth="1"/>
    <col min="8910" max="8910" width="14.42578125" style="10" customWidth="1"/>
    <col min="8911" max="8911" width="8.42578125" style="10" bestFit="1" customWidth="1"/>
    <col min="8912" max="8912" width="16.85546875" style="10" customWidth="1"/>
    <col min="8913" max="8913" width="9.140625" style="10"/>
    <col min="8914" max="8914" width="11.28515625" style="10" customWidth="1"/>
    <col min="8915" max="9163" width="9.140625" style="10"/>
    <col min="9164" max="9164" width="37.42578125" style="10" customWidth="1"/>
    <col min="9165" max="9165" width="13.5703125" style="10" customWidth="1"/>
    <col min="9166" max="9166" width="14.42578125" style="10" customWidth="1"/>
    <col min="9167" max="9167" width="8.42578125" style="10" bestFit="1" customWidth="1"/>
    <col min="9168" max="9168" width="16.85546875" style="10" customWidth="1"/>
    <col min="9169" max="9169" width="9.140625" style="10"/>
    <col min="9170" max="9170" width="11.28515625" style="10" customWidth="1"/>
    <col min="9171" max="9419" width="9.140625" style="10"/>
    <col min="9420" max="9420" width="37.42578125" style="10" customWidth="1"/>
    <col min="9421" max="9421" width="13.5703125" style="10" customWidth="1"/>
    <col min="9422" max="9422" width="14.42578125" style="10" customWidth="1"/>
    <col min="9423" max="9423" width="8.42578125" style="10" bestFit="1" customWidth="1"/>
    <col min="9424" max="9424" width="16.85546875" style="10" customWidth="1"/>
    <col min="9425" max="9425" width="9.140625" style="10"/>
    <col min="9426" max="9426" width="11.28515625" style="10" customWidth="1"/>
    <col min="9427" max="9675" width="9.140625" style="10"/>
    <col min="9676" max="9676" width="37.42578125" style="10" customWidth="1"/>
    <col min="9677" max="9677" width="13.5703125" style="10" customWidth="1"/>
    <col min="9678" max="9678" width="14.42578125" style="10" customWidth="1"/>
    <col min="9679" max="9679" width="8.42578125" style="10" bestFit="1" customWidth="1"/>
    <col min="9680" max="9680" width="16.85546875" style="10" customWidth="1"/>
    <col min="9681" max="9681" width="9.140625" style="10"/>
    <col min="9682" max="9682" width="11.28515625" style="10" customWidth="1"/>
    <col min="9683" max="9931" width="9.140625" style="10"/>
    <col min="9932" max="9932" width="37.42578125" style="10" customWidth="1"/>
    <col min="9933" max="9933" width="13.5703125" style="10" customWidth="1"/>
    <col min="9934" max="9934" width="14.42578125" style="10" customWidth="1"/>
    <col min="9935" max="9935" width="8.42578125" style="10" bestFit="1" customWidth="1"/>
    <col min="9936" max="9936" width="16.85546875" style="10" customWidth="1"/>
    <col min="9937" max="9937" width="9.140625" style="10"/>
    <col min="9938" max="9938" width="11.28515625" style="10" customWidth="1"/>
    <col min="9939" max="10187" width="9.140625" style="10"/>
    <col min="10188" max="10188" width="37.42578125" style="10" customWidth="1"/>
    <col min="10189" max="10189" width="13.5703125" style="10" customWidth="1"/>
    <col min="10190" max="10190" width="14.42578125" style="10" customWidth="1"/>
    <col min="10191" max="10191" width="8.42578125" style="10" bestFit="1" customWidth="1"/>
    <col min="10192" max="10192" width="16.85546875" style="10" customWidth="1"/>
    <col min="10193" max="10193" width="9.140625" style="10"/>
    <col min="10194" max="10194" width="11.28515625" style="10" customWidth="1"/>
    <col min="10195" max="10443" width="9.140625" style="10"/>
    <col min="10444" max="10444" width="37.42578125" style="10" customWidth="1"/>
    <col min="10445" max="10445" width="13.5703125" style="10" customWidth="1"/>
    <col min="10446" max="10446" width="14.42578125" style="10" customWidth="1"/>
    <col min="10447" max="10447" width="8.42578125" style="10" bestFit="1" customWidth="1"/>
    <col min="10448" max="10448" width="16.85546875" style="10" customWidth="1"/>
    <col min="10449" max="10449" width="9.140625" style="10"/>
    <col min="10450" max="10450" width="11.28515625" style="10" customWidth="1"/>
    <col min="10451" max="10699" width="9.140625" style="10"/>
    <col min="10700" max="10700" width="37.42578125" style="10" customWidth="1"/>
    <col min="10701" max="10701" width="13.5703125" style="10" customWidth="1"/>
    <col min="10702" max="10702" width="14.42578125" style="10" customWidth="1"/>
    <col min="10703" max="10703" width="8.42578125" style="10" bestFit="1" customWidth="1"/>
    <col min="10704" max="10704" width="16.85546875" style="10" customWidth="1"/>
    <col min="10705" max="10705" width="9.140625" style="10"/>
    <col min="10706" max="10706" width="11.28515625" style="10" customWidth="1"/>
    <col min="10707" max="10955" width="9.140625" style="10"/>
    <col min="10956" max="10956" width="37.42578125" style="10" customWidth="1"/>
    <col min="10957" max="10957" width="13.5703125" style="10" customWidth="1"/>
    <col min="10958" max="10958" width="14.42578125" style="10" customWidth="1"/>
    <col min="10959" max="10959" width="8.42578125" style="10" bestFit="1" customWidth="1"/>
    <col min="10960" max="10960" width="16.85546875" style="10" customWidth="1"/>
    <col min="10961" max="10961" width="9.140625" style="10"/>
    <col min="10962" max="10962" width="11.28515625" style="10" customWidth="1"/>
    <col min="10963" max="11211" width="9.140625" style="10"/>
    <col min="11212" max="11212" width="37.42578125" style="10" customWidth="1"/>
    <col min="11213" max="11213" width="13.5703125" style="10" customWidth="1"/>
    <col min="11214" max="11214" width="14.42578125" style="10" customWidth="1"/>
    <col min="11215" max="11215" width="8.42578125" style="10" bestFit="1" customWidth="1"/>
    <col min="11216" max="11216" width="16.85546875" style="10" customWidth="1"/>
    <col min="11217" max="11217" width="9.140625" style="10"/>
    <col min="11218" max="11218" width="11.28515625" style="10" customWidth="1"/>
    <col min="11219" max="11467" width="9.140625" style="10"/>
    <col min="11468" max="11468" width="37.42578125" style="10" customWidth="1"/>
    <col min="11469" max="11469" width="13.5703125" style="10" customWidth="1"/>
    <col min="11470" max="11470" width="14.42578125" style="10" customWidth="1"/>
    <col min="11471" max="11471" width="8.42578125" style="10" bestFit="1" customWidth="1"/>
    <col min="11472" max="11472" width="16.85546875" style="10" customWidth="1"/>
    <col min="11473" max="11473" width="9.140625" style="10"/>
    <col min="11474" max="11474" width="11.28515625" style="10" customWidth="1"/>
    <col min="11475" max="11723" width="9.140625" style="10"/>
    <col min="11724" max="11724" width="37.42578125" style="10" customWidth="1"/>
    <col min="11725" max="11725" width="13.5703125" style="10" customWidth="1"/>
    <col min="11726" max="11726" width="14.42578125" style="10" customWidth="1"/>
    <col min="11727" max="11727" width="8.42578125" style="10" bestFit="1" customWidth="1"/>
    <col min="11728" max="11728" width="16.85546875" style="10" customWidth="1"/>
    <col min="11729" max="11729" width="9.140625" style="10"/>
    <col min="11730" max="11730" width="11.28515625" style="10" customWidth="1"/>
    <col min="11731" max="11979" width="9.140625" style="10"/>
    <col min="11980" max="11980" width="37.42578125" style="10" customWidth="1"/>
    <col min="11981" max="11981" width="13.5703125" style="10" customWidth="1"/>
    <col min="11982" max="11982" width="14.42578125" style="10" customWidth="1"/>
    <col min="11983" max="11983" width="8.42578125" style="10" bestFit="1" customWidth="1"/>
    <col min="11984" max="11984" width="16.85546875" style="10" customWidth="1"/>
    <col min="11985" max="11985" width="9.140625" style="10"/>
    <col min="11986" max="11986" width="11.28515625" style="10" customWidth="1"/>
    <col min="11987" max="12235" width="9.140625" style="10"/>
    <col min="12236" max="12236" width="37.42578125" style="10" customWidth="1"/>
    <col min="12237" max="12237" width="13.5703125" style="10" customWidth="1"/>
    <col min="12238" max="12238" width="14.42578125" style="10" customWidth="1"/>
    <col min="12239" max="12239" width="8.42578125" style="10" bestFit="1" customWidth="1"/>
    <col min="12240" max="12240" width="16.85546875" style="10" customWidth="1"/>
    <col min="12241" max="12241" width="9.140625" style="10"/>
    <col min="12242" max="12242" width="11.28515625" style="10" customWidth="1"/>
    <col min="12243" max="12491" width="9.140625" style="10"/>
    <col min="12492" max="12492" width="37.42578125" style="10" customWidth="1"/>
    <col min="12493" max="12493" width="13.5703125" style="10" customWidth="1"/>
    <col min="12494" max="12494" width="14.42578125" style="10" customWidth="1"/>
    <col min="12495" max="12495" width="8.42578125" style="10" bestFit="1" customWidth="1"/>
    <col min="12496" max="12496" width="16.85546875" style="10" customWidth="1"/>
    <col min="12497" max="12497" width="9.140625" style="10"/>
    <col min="12498" max="12498" width="11.28515625" style="10" customWidth="1"/>
    <col min="12499" max="12747" width="9.140625" style="10"/>
    <col min="12748" max="12748" width="37.42578125" style="10" customWidth="1"/>
    <col min="12749" max="12749" width="13.5703125" style="10" customWidth="1"/>
    <col min="12750" max="12750" width="14.42578125" style="10" customWidth="1"/>
    <col min="12751" max="12751" width="8.42578125" style="10" bestFit="1" customWidth="1"/>
    <col min="12752" max="12752" width="16.85546875" style="10" customWidth="1"/>
    <col min="12753" max="12753" width="9.140625" style="10"/>
    <col min="12754" max="12754" width="11.28515625" style="10" customWidth="1"/>
    <col min="12755" max="13003" width="9.140625" style="10"/>
    <col min="13004" max="13004" width="37.42578125" style="10" customWidth="1"/>
    <col min="13005" max="13005" width="13.5703125" style="10" customWidth="1"/>
    <col min="13006" max="13006" width="14.42578125" style="10" customWidth="1"/>
    <col min="13007" max="13007" width="8.42578125" style="10" bestFit="1" customWidth="1"/>
    <col min="13008" max="13008" width="16.85546875" style="10" customWidth="1"/>
    <col min="13009" max="13009" width="9.140625" style="10"/>
    <col min="13010" max="13010" width="11.28515625" style="10" customWidth="1"/>
    <col min="13011" max="13259" width="9.140625" style="10"/>
    <col min="13260" max="13260" width="37.42578125" style="10" customWidth="1"/>
    <col min="13261" max="13261" width="13.5703125" style="10" customWidth="1"/>
    <col min="13262" max="13262" width="14.42578125" style="10" customWidth="1"/>
    <col min="13263" max="13263" width="8.42578125" style="10" bestFit="1" customWidth="1"/>
    <col min="13264" max="13264" width="16.85546875" style="10" customWidth="1"/>
    <col min="13265" max="13265" width="9.140625" style="10"/>
    <col min="13266" max="13266" width="11.28515625" style="10" customWidth="1"/>
    <col min="13267" max="13515" width="9.140625" style="10"/>
    <col min="13516" max="13516" width="37.42578125" style="10" customWidth="1"/>
    <col min="13517" max="13517" width="13.5703125" style="10" customWidth="1"/>
    <col min="13518" max="13518" width="14.42578125" style="10" customWidth="1"/>
    <col min="13519" max="13519" width="8.42578125" style="10" bestFit="1" customWidth="1"/>
    <col min="13520" max="13520" width="16.85546875" style="10" customWidth="1"/>
    <col min="13521" max="13521" width="9.140625" style="10"/>
    <col min="13522" max="13522" width="11.28515625" style="10" customWidth="1"/>
    <col min="13523" max="13771" width="9.140625" style="10"/>
    <col min="13772" max="13772" width="37.42578125" style="10" customWidth="1"/>
    <col min="13773" max="13773" width="13.5703125" style="10" customWidth="1"/>
    <col min="13774" max="13774" width="14.42578125" style="10" customWidth="1"/>
    <col min="13775" max="13775" width="8.42578125" style="10" bestFit="1" customWidth="1"/>
    <col min="13776" max="13776" width="16.85546875" style="10" customWidth="1"/>
    <col min="13777" max="13777" width="9.140625" style="10"/>
    <col min="13778" max="13778" width="11.28515625" style="10" customWidth="1"/>
    <col min="13779" max="14027" width="9.140625" style="10"/>
    <col min="14028" max="14028" width="37.42578125" style="10" customWidth="1"/>
    <col min="14029" max="14029" width="13.5703125" style="10" customWidth="1"/>
    <col min="14030" max="14030" width="14.42578125" style="10" customWidth="1"/>
    <col min="14031" max="14031" width="8.42578125" style="10" bestFit="1" customWidth="1"/>
    <col min="14032" max="14032" width="16.85546875" style="10" customWidth="1"/>
    <col min="14033" max="14033" width="9.140625" style="10"/>
    <col min="14034" max="14034" width="11.28515625" style="10" customWidth="1"/>
    <col min="14035" max="14283" width="9.140625" style="10"/>
    <col min="14284" max="14284" width="37.42578125" style="10" customWidth="1"/>
    <col min="14285" max="14285" width="13.5703125" style="10" customWidth="1"/>
    <col min="14286" max="14286" width="14.42578125" style="10" customWidth="1"/>
    <col min="14287" max="14287" width="8.42578125" style="10" bestFit="1" customWidth="1"/>
    <col min="14288" max="14288" width="16.85546875" style="10" customWidth="1"/>
    <col min="14289" max="14289" width="9.140625" style="10"/>
    <col min="14290" max="14290" width="11.28515625" style="10" customWidth="1"/>
    <col min="14291" max="14539" width="9.140625" style="10"/>
    <col min="14540" max="14540" width="37.42578125" style="10" customWidth="1"/>
    <col min="14541" max="14541" width="13.5703125" style="10" customWidth="1"/>
    <col min="14542" max="14542" width="14.42578125" style="10" customWidth="1"/>
    <col min="14543" max="14543" width="8.42578125" style="10" bestFit="1" customWidth="1"/>
    <col min="14544" max="14544" width="16.85546875" style="10" customWidth="1"/>
    <col min="14545" max="14545" width="9.140625" style="10"/>
    <col min="14546" max="14546" width="11.28515625" style="10" customWidth="1"/>
    <col min="14547" max="14795" width="9.140625" style="10"/>
    <col min="14796" max="14796" width="37.42578125" style="10" customWidth="1"/>
    <col min="14797" max="14797" width="13.5703125" style="10" customWidth="1"/>
    <col min="14798" max="14798" width="14.42578125" style="10" customWidth="1"/>
    <col min="14799" max="14799" width="8.42578125" style="10" bestFit="1" customWidth="1"/>
    <col min="14800" max="14800" width="16.85546875" style="10" customWidth="1"/>
    <col min="14801" max="14801" width="9.140625" style="10"/>
    <col min="14802" max="14802" width="11.28515625" style="10" customWidth="1"/>
    <col min="14803" max="15051" width="9.140625" style="10"/>
    <col min="15052" max="15052" width="37.42578125" style="10" customWidth="1"/>
    <col min="15053" max="15053" width="13.5703125" style="10" customWidth="1"/>
    <col min="15054" max="15054" width="14.42578125" style="10" customWidth="1"/>
    <col min="15055" max="15055" width="8.42578125" style="10" bestFit="1" customWidth="1"/>
    <col min="15056" max="15056" width="16.85546875" style="10" customWidth="1"/>
    <col min="15057" max="15057" width="9.140625" style="10"/>
    <col min="15058" max="15058" width="11.28515625" style="10" customWidth="1"/>
    <col min="15059" max="15307" width="9.140625" style="10"/>
    <col min="15308" max="15308" width="37.42578125" style="10" customWidth="1"/>
    <col min="15309" max="15309" width="13.5703125" style="10" customWidth="1"/>
    <col min="15310" max="15310" width="14.42578125" style="10" customWidth="1"/>
    <col min="15311" max="15311" width="8.42578125" style="10" bestFit="1" customWidth="1"/>
    <col min="15312" max="15312" width="16.85546875" style="10" customWidth="1"/>
    <col min="15313" max="15313" width="9.140625" style="10"/>
    <col min="15314" max="15314" width="11.28515625" style="10" customWidth="1"/>
    <col min="15315" max="15563" width="9.140625" style="10"/>
    <col min="15564" max="15564" width="37.42578125" style="10" customWidth="1"/>
    <col min="15565" max="15565" width="13.5703125" style="10" customWidth="1"/>
    <col min="15566" max="15566" width="14.42578125" style="10" customWidth="1"/>
    <col min="15567" max="15567" width="8.42578125" style="10" bestFit="1" customWidth="1"/>
    <col min="15568" max="15568" width="16.85546875" style="10" customWidth="1"/>
    <col min="15569" max="15569" width="9.140625" style="10"/>
    <col min="15570" max="15570" width="11.28515625" style="10" customWidth="1"/>
    <col min="15571" max="15819" width="9.140625" style="10"/>
    <col min="15820" max="15820" width="37.42578125" style="10" customWidth="1"/>
    <col min="15821" max="15821" width="13.5703125" style="10" customWidth="1"/>
    <col min="15822" max="15822" width="14.42578125" style="10" customWidth="1"/>
    <col min="15823" max="15823" width="8.42578125" style="10" bestFit="1" customWidth="1"/>
    <col min="15824" max="15824" width="16.85546875" style="10" customWidth="1"/>
    <col min="15825" max="15825" width="9.140625" style="10"/>
    <col min="15826" max="15826" width="11.28515625" style="10" customWidth="1"/>
    <col min="15827" max="16075" width="9.140625" style="10"/>
    <col min="16076" max="16076" width="37.42578125" style="10" customWidth="1"/>
    <col min="16077" max="16077" width="13.5703125" style="10" customWidth="1"/>
    <col min="16078" max="16078" width="14.42578125" style="10" customWidth="1"/>
    <col min="16079" max="16079" width="8.42578125" style="10" bestFit="1" customWidth="1"/>
    <col min="16080" max="16080" width="16.85546875" style="10" customWidth="1"/>
    <col min="16081" max="16081" width="9.140625" style="10"/>
    <col min="16082" max="16082" width="11.28515625" style="10" customWidth="1"/>
    <col min="16083" max="16384" width="9.140625" style="10"/>
  </cols>
  <sheetData>
    <row r="1" spans="1:19" ht="15.75" x14ac:dyDescent="0.2">
      <c r="A1" s="685" t="s">
        <v>46</v>
      </c>
      <c r="B1" s="686"/>
      <c r="C1" s="686"/>
      <c r="D1" s="687"/>
      <c r="E1" s="688"/>
      <c r="F1" s="9"/>
    </row>
    <row r="2" spans="1:19" ht="25.5" x14ac:dyDescent="0.2">
      <c r="A2" s="12" t="s">
        <v>47</v>
      </c>
      <c r="B2" s="313" t="str">
        <f>'BOM R2D CatWalk'!I100</f>
        <v>WELDMENT, HINGED FLOOR, PC4100</v>
      </c>
      <c r="C2" s="13"/>
      <c r="D2" s="13" t="s">
        <v>48</v>
      </c>
      <c r="E2" s="85"/>
    </row>
    <row r="3" spans="1:19" x14ac:dyDescent="0.2">
      <c r="A3" s="12" t="s">
        <v>49</v>
      </c>
      <c r="B3" s="313" t="str">
        <f>'BOM R2D CatWalk'!G100</f>
        <v>AY30027</v>
      </c>
      <c r="C3" s="13"/>
      <c r="D3" s="13" t="s">
        <v>50</v>
      </c>
      <c r="E3" s="15">
        <f>'BOM R2D CatWalk'!K100</f>
        <v>23</v>
      </c>
      <c r="F3" s="9"/>
    </row>
    <row r="4" spans="1:19" ht="16.5" customHeight="1" x14ac:dyDescent="0.2">
      <c r="A4" s="12" t="s">
        <v>51</v>
      </c>
      <c r="B4" s="86">
        <f>'BOM R2D CatWalk'!N100</f>
        <v>455.40000000000003</v>
      </c>
      <c r="C4" s="16"/>
      <c r="D4" s="147"/>
      <c r="E4" s="17"/>
      <c r="F4" s="9"/>
      <c r="I4" s="321" t="s">
        <v>0</v>
      </c>
      <c r="J4" s="321" t="s">
        <v>13</v>
      </c>
      <c r="K4" s="321" t="s">
        <v>154</v>
      </c>
      <c r="L4" s="321" t="s">
        <v>544</v>
      </c>
      <c r="M4" s="340" t="s">
        <v>551</v>
      </c>
      <c r="N4" s="340" t="s">
        <v>571</v>
      </c>
      <c r="O4" s="321" t="s">
        <v>548</v>
      </c>
      <c r="P4" s="321" t="s">
        <v>34</v>
      </c>
      <c r="Q4" s="321" t="s">
        <v>549</v>
      </c>
      <c r="R4" s="321" t="s">
        <v>547</v>
      </c>
      <c r="S4" s="321" t="s">
        <v>156</v>
      </c>
    </row>
    <row r="5" spans="1:19" ht="21.75" customHeight="1" thickBot="1" x14ac:dyDescent="0.25">
      <c r="A5" s="691" t="s">
        <v>52</v>
      </c>
      <c r="B5" s="692"/>
      <c r="C5" s="692"/>
      <c r="D5" s="693"/>
      <c r="E5" s="694"/>
      <c r="F5" s="18"/>
      <c r="I5" s="143">
        <v>1</v>
      </c>
      <c r="J5" s="143" t="s">
        <v>21</v>
      </c>
      <c r="K5" s="143">
        <v>6</v>
      </c>
      <c r="L5" s="143" t="s">
        <v>543</v>
      </c>
      <c r="M5" s="145">
        <f>'RM Details'!E56</f>
        <v>391</v>
      </c>
      <c r="N5" s="145">
        <f>'RM Details'!F56</f>
        <v>428.97607533000001</v>
      </c>
      <c r="O5" s="145">
        <v>0</v>
      </c>
      <c r="P5" s="145"/>
      <c r="Q5" s="145">
        <f t="shared" ref="Q5:Q6" si="0">IF(O5&gt;N5,O5,IF(O5&lt;N5,N5))</f>
        <v>428.97607533000001</v>
      </c>
      <c r="R5" s="145">
        <v>90</v>
      </c>
      <c r="S5" s="145">
        <f t="shared" ref="S5:S6" si="1">R5*Q5</f>
        <v>38607.846779700005</v>
      </c>
    </row>
    <row r="6" spans="1:19" ht="16.5" thickBot="1" x14ac:dyDescent="0.25">
      <c r="A6" s="695" t="s">
        <v>53</v>
      </c>
      <c r="B6" s="696"/>
      <c r="C6" s="696"/>
      <c r="D6" s="697"/>
      <c r="E6" s="698"/>
      <c r="F6" s="18"/>
      <c r="G6" s="19"/>
      <c r="H6" s="19"/>
      <c r="I6" s="143">
        <v>2</v>
      </c>
      <c r="J6" s="143" t="s">
        <v>21</v>
      </c>
      <c r="K6" s="143">
        <v>10</v>
      </c>
      <c r="L6" s="143" t="s">
        <v>543</v>
      </c>
      <c r="M6" s="145">
        <f>'RM Details'!E57</f>
        <v>52.058131000000003</v>
      </c>
      <c r="N6" s="145">
        <f>'RM Details'!F57</f>
        <v>61.561989059999995</v>
      </c>
      <c r="O6" s="145">
        <v>0</v>
      </c>
      <c r="P6" s="145"/>
      <c r="Q6" s="145">
        <f t="shared" si="0"/>
        <v>61.561989059999995</v>
      </c>
      <c r="R6" s="145">
        <v>90</v>
      </c>
      <c r="S6" s="145">
        <f t="shared" si="1"/>
        <v>5540.5790153999997</v>
      </c>
    </row>
    <row r="7" spans="1:19" ht="26.25" thickBot="1" x14ac:dyDescent="0.25">
      <c r="A7" s="20" t="s">
        <v>54</v>
      </c>
      <c r="B7" s="21"/>
      <c r="C7" s="21"/>
      <c r="D7" s="21" t="s">
        <v>573</v>
      </c>
      <c r="E7" s="22"/>
      <c r="F7" s="18"/>
      <c r="G7" s="1"/>
      <c r="H7" s="1"/>
      <c r="I7" s="341"/>
      <c r="J7" s="341"/>
      <c r="K7" s="341" t="s">
        <v>45</v>
      </c>
      <c r="L7" s="341"/>
      <c r="M7" s="342">
        <f>SUM(M5:M6)</f>
        <v>443.058131</v>
      </c>
      <c r="N7" s="342">
        <f>SUM(N5:N6)</f>
        <v>490.53806438999999</v>
      </c>
      <c r="O7" s="346"/>
      <c r="P7" s="346"/>
      <c r="Q7" s="342">
        <f>SUM(Q5:Q6)</f>
        <v>490.53806438999999</v>
      </c>
      <c r="R7" s="145">
        <f>S7/Q7</f>
        <v>90.000000000000014</v>
      </c>
      <c r="S7" s="342">
        <f>SUM(S5:S6)</f>
        <v>44148.425795100004</v>
      </c>
    </row>
    <row r="8" spans="1:19" ht="17.25" customHeight="1" x14ac:dyDescent="0.2">
      <c r="A8" s="23" t="s">
        <v>55</v>
      </c>
      <c r="B8" s="24"/>
      <c r="C8" s="25"/>
      <c r="D8" s="25">
        <f>Q5+Q6</f>
        <v>490.53806438999999</v>
      </c>
      <c r="E8" s="26"/>
      <c r="F8" s="18">
        <f>SUM(C8:E8)</f>
        <v>490.53806438999999</v>
      </c>
      <c r="G8" s="1"/>
    </row>
    <row r="9" spans="1:19" ht="18" customHeight="1" x14ac:dyDescent="0.2">
      <c r="A9" s="27" t="s">
        <v>56</v>
      </c>
      <c r="B9" s="77"/>
      <c r="C9" s="28"/>
      <c r="D9" s="28">
        <f>M5+M6</f>
        <v>443.058131</v>
      </c>
      <c r="E9" s="74"/>
      <c r="F9" s="18">
        <f>SUM(C9:E9)</f>
        <v>443.058131</v>
      </c>
      <c r="G9" s="1"/>
      <c r="H9" s="1"/>
    </row>
    <row r="10" spans="1:19" ht="15" x14ac:dyDescent="0.2">
      <c r="A10" s="29" t="s">
        <v>57</v>
      </c>
      <c r="B10" s="78"/>
      <c r="C10" s="30"/>
      <c r="D10" s="30">
        <f t="shared" ref="D10" si="2">(D8-D9)*80%</f>
        <v>37.983946711999991</v>
      </c>
      <c r="E10" s="75"/>
      <c r="F10" s="31">
        <f>(F8-F9)/F9</f>
        <v>0.10716411700387005</v>
      </c>
      <c r="G10" s="32"/>
      <c r="H10" s="32"/>
    </row>
    <row r="11" spans="1:19" ht="15" x14ac:dyDescent="0.25">
      <c r="A11" s="33" t="s">
        <v>58</v>
      </c>
      <c r="B11" s="34"/>
      <c r="C11" s="35"/>
      <c r="D11" s="35">
        <f>R5</f>
        <v>90</v>
      </c>
      <c r="E11" s="76"/>
      <c r="F11" s="18">
        <f>SUMPRODUCT(B11:E11,B8:E8)</f>
        <v>44148.425795099996</v>
      </c>
      <c r="G11"/>
      <c r="H11"/>
    </row>
    <row r="12" spans="1:19" ht="15.75" thickBot="1" x14ac:dyDescent="0.3">
      <c r="A12" s="29" t="s">
        <v>59</v>
      </c>
      <c r="B12" s="352"/>
      <c r="C12" s="353"/>
      <c r="D12" s="353">
        <v>30</v>
      </c>
      <c r="E12" s="354"/>
      <c r="F12" s="18"/>
      <c r="G12"/>
      <c r="H12"/>
    </row>
    <row r="13" spans="1:19" ht="15.75" thickBot="1" x14ac:dyDescent="0.3">
      <c r="A13" s="36" t="s">
        <v>60</v>
      </c>
      <c r="B13" s="349"/>
      <c r="C13" s="349"/>
      <c r="D13" s="349">
        <f>(D8*D11)-(D10*D12)</f>
        <v>43008.907393739995</v>
      </c>
      <c r="E13" s="350"/>
      <c r="F13" s="37">
        <f>SUM(B13:E13)</f>
        <v>43008.907393739995</v>
      </c>
      <c r="G13"/>
      <c r="H13"/>
    </row>
    <row r="14" spans="1:19" ht="15.75" thickBot="1" x14ac:dyDescent="0.25">
      <c r="A14" s="38" t="s">
        <v>61</v>
      </c>
      <c r="B14" s="680">
        <f>SUM(B13:E13)</f>
        <v>43008.907393739995</v>
      </c>
      <c r="C14" s="682"/>
      <c r="D14" s="683"/>
      <c r="E14" s="684"/>
      <c r="F14" s="39">
        <f>F13/F8</f>
        <v>87.677003103159734</v>
      </c>
      <c r="G14" s="32"/>
      <c r="H14" s="32"/>
    </row>
    <row r="15" spans="1:19" ht="15" x14ac:dyDescent="0.25">
      <c r="A15" s="663" t="s">
        <v>62</v>
      </c>
      <c r="B15" s="664"/>
      <c r="C15" s="664"/>
      <c r="D15" s="665"/>
      <c r="E15" s="666"/>
      <c r="F15" s="18"/>
      <c r="G15"/>
      <c r="H15"/>
    </row>
    <row r="16" spans="1:19" ht="24.75" customHeight="1" x14ac:dyDescent="0.2">
      <c r="A16" s="317" t="s">
        <v>63</v>
      </c>
      <c r="B16" s="41"/>
      <c r="C16" s="42"/>
      <c r="D16" s="150"/>
      <c r="E16" s="43"/>
      <c r="F16" s="18"/>
      <c r="G16" s="32"/>
      <c r="H16" s="32"/>
    </row>
    <row r="17" spans="1:8" ht="20.25" customHeight="1" x14ac:dyDescent="0.2">
      <c r="A17" s="667" t="s">
        <v>64</v>
      </c>
      <c r="B17" s="668"/>
      <c r="C17" s="668"/>
      <c r="D17" s="151"/>
      <c r="E17" s="45">
        <f>SUM(E16:E16)</f>
        <v>0</v>
      </c>
      <c r="F17" s="84"/>
    </row>
    <row r="18" spans="1:8" ht="13.5" thickBot="1" x14ac:dyDescent="0.25">
      <c r="A18" s="669" t="s">
        <v>65</v>
      </c>
      <c r="B18" s="670"/>
      <c r="C18" s="670"/>
      <c r="D18" s="152"/>
      <c r="E18" s="46">
        <f>B14+E17</f>
        <v>43008.907393739995</v>
      </c>
      <c r="F18" s="18"/>
    </row>
    <row r="19" spans="1:8" ht="22.5" customHeight="1" x14ac:dyDescent="0.2">
      <c r="A19" s="671" t="s">
        <v>66</v>
      </c>
      <c r="B19" s="672"/>
      <c r="C19" s="672"/>
      <c r="D19" s="673"/>
      <c r="E19" s="674"/>
      <c r="F19" s="18"/>
    </row>
    <row r="20" spans="1:8" x14ac:dyDescent="0.2">
      <c r="A20" s="47" t="s">
        <v>54</v>
      </c>
      <c r="B20" s="48" t="s">
        <v>23</v>
      </c>
      <c r="C20" s="49" t="s">
        <v>67</v>
      </c>
      <c r="D20" s="50"/>
      <c r="E20" s="51" t="s">
        <v>68</v>
      </c>
      <c r="F20" s="18"/>
    </row>
    <row r="21" spans="1:8" ht="18" customHeight="1" x14ac:dyDescent="0.2">
      <c r="A21" s="52" t="s">
        <v>69</v>
      </c>
      <c r="B21" s="53">
        <f>'BOM R2D CatWalk'!X100</f>
        <v>3.1993509881422919</v>
      </c>
      <c r="C21" s="54">
        <v>50</v>
      </c>
      <c r="D21" s="55"/>
      <c r="E21" s="45">
        <f t="shared" ref="E21:E27" si="3">B21*C21</f>
        <v>159.9675494071146</v>
      </c>
      <c r="F21" s="56"/>
      <c r="G21" s="69">
        <f>E21/$F$9</f>
        <v>0.36105318515667778</v>
      </c>
      <c r="H21" s="69"/>
    </row>
    <row r="22" spans="1:8" ht="20.25" customHeight="1" x14ac:dyDescent="0.2">
      <c r="A22" s="52" t="s">
        <v>70</v>
      </c>
      <c r="B22" s="53">
        <f>'BOM R2D CatWalk'!AB100</f>
        <v>0</v>
      </c>
      <c r="C22" s="54">
        <v>550</v>
      </c>
      <c r="D22" s="55"/>
      <c r="E22" s="45">
        <f t="shared" si="3"/>
        <v>0</v>
      </c>
      <c r="F22" s="56"/>
      <c r="G22" s="69">
        <f t="shared" ref="G22:G35" si="4">E22/$F$9</f>
        <v>0</v>
      </c>
      <c r="H22" s="69"/>
    </row>
    <row r="23" spans="1:8" ht="18" customHeight="1" x14ac:dyDescent="0.2">
      <c r="A23" s="52" t="s">
        <v>71</v>
      </c>
      <c r="B23" s="53">
        <f>'BOM R2D CatWalk'!Z100</f>
        <v>92</v>
      </c>
      <c r="C23" s="54">
        <v>100</v>
      </c>
      <c r="D23" s="55"/>
      <c r="E23" s="45">
        <f t="shared" si="3"/>
        <v>9200</v>
      </c>
      <c r="F23" s="79"/>
      <c r="G23" s="69">
        <f t="shared" si="4"/>
        <v>20.764769578283623</v>
      </c>
      <c r="H23" s="69"/>
    </row>
    <row r="24" spans="1:8" ht="18" customHeight="1" x14ac:dyDescent="0.2">
      <c r="A24" s="52" t="s">
        <v>72</v>
      </c>
      <c r="B24" s="53">
        <f>'BOM R2D CatWalk'!AF100</f>
        <v>39.937199999999997</v>
      </c>
      <c r="C24" s="54">
        <v>250</v>
      </c>
      <c r="D24" s="55"/>
      <c r="E24" s="45">
        <f t="shared" si="3"/>
        <v>9984.2999999999993</v>
      </c>
      <c r="F24" s="56"/>
      <c r="G24" s="69">
        <f t="shared" si="4"/>
        <v>22.5349661848323</v>
      </c>
      <c r="H24" s="69"/>
    </row>
    <row r="25" spans="1:8" ht="18" customHeight="1" x14ac:dyDescent="0.2">
      <c r="A25" s="52" t="s">
        <v>73</v>
      </c>
      <c r="B25" s="53">
        <f>B24/12</f>
        <v>3.3280999999999996</v>
      </c>
      <c r="C25" s="54">
        <v>250</v>
      </c>
      <c r="D25" s="55"/>
      <c r="E25" s="45">
        <f t="shared" si="3"/>
        <v>832.02499999999986</v>
      </c>
      <c r="F25" s="56"/>
      <c r="G25" s="69">
        <f t="shared" si="4"/>
        <v>1.8779138487360247</v>
      </c>
      <c r="H25" s="69"/>
    </row>
    <row r="26" spans="1:8" ht="18" customHeight="1" x14ac:dyDescent="0.2">
      <c r="A26" s="52" t="s">
        <v>74</v>
      </c>
      <c r="B26" s="53">
        <f>F9/95</f>
        <v>4.6637697999999999</v>
      </c>
      <c r="C26" s="54">
        <v>1200</v>
      </c>
      <c r="D26" s="55"/>
      <c r="E26" s="45">
        <f t="shared" si="3"/>
        <v>5596.52376</v>
      </c>
      <c r="F26" s="56"/>
      <c r="G26" s="69">
        <f t="shared" si="4"/>
        <v>12.631578947368421</v>
      </c>
      <c r="H26" s="69"/>
    </row>
    <row r="27" spans="1:8" x14ac:dyDescent="0.2">
      <c r="A27" s="57" t="s">
        <v>75</v>
      </c>
      <c r="B27" s="58"/>
      <c r="C27" s="59">
        <v>250</v>
      </c>
      <c r="D27" s="60"/>
      <c r="E27" s="61">
        <f t="shared" si="3"/>
        <v>0</v>
      </c>
      <c r="F27" s="84" t="s">
        <v>76</v>
      </c>
      <c r="G27" s="69">
        <f t="shared" si="4"/>
        <v>0</v>
      </c>
      <c r="H27" s="69"/>
    </row>
    <row r="28" spans="1:8" ht="18" customHeight="1" x14ac:dyDescent="0.2">
      <c r="A28" s="52" t="s">
        <v>77</v>
      </c>
      <c r="B28" s="53"/>
      <c r="C28" s="54">
        <v>5</v>
      </c>
      <c r="D28" s="55"/>
      <c r="E28" s="62">
        <f>C28*F9</f>
        <v>2215.2906549999998</v>
      </c>
      <c r="F28" s="18"/>
      <c r="G28" s="69">
        <f t="shared" si="4"/>
        <v>4.9999999999999991</v>
      </c>
      <c r="H28" s="69"/>
    </row>
    <row r="29" spans="1:8" ht="18" customHeight="1" x14ac:dyDescent="0.2">
      <c r="A29" s="52" t="s">
        <v>78</v>
      </c>
      <c r="B29" s="53">
        <v>0</v>
      </c>
      <c r="C29" s="54">
        <v>50</v>
      </c>
      <c r="D29" s="55"/>
      <c r="E29" s="62">
        <f>B29*C29</f>
        <v>0</v>
      </c>
      <c r="F29" s="18"/>
      <c r="G29" s="69">
        <f t="shared" si="4"/>
        <v>0</v>
      </c>
      <c r="H29" s="69"/>
    </row>
    <row r="30" spans="1:8" ht="18" customHeight="1" x14ac:dyDescent="0.2">
      <c r="A30" s="52" t="s">
        <v>79</v>
      </c>
      <c r="B30" s="54">
        <f>'BOM R2D CatWalk'!AI100</f>
        <v>20.683275780000002</v>
      </c>
      <c r="C30" s="54">
        <v>1250</v>
      </c>
      <c r="D30" s="55"/>
      <c r="E30" s="62">
        <f>B30*C30</f>
        <v>25854.094725000003</v>
      </c>
      <c r="F30" s="63" t="s">
        <v>133</v>
      </c>
      <c r="G30" s="69">
        <f t="shared" si="4"/>
        <v>58.353730393450341</v>
      </c>
      <c r="H30" s="69"/>
    </row>
    <row r="31" spans="1:8" ht="18" customHeight="1" x14ac:dyDescent="0.2">
      <c r="A31" s="52" t="s">
        <v>123</v>
      </c>
      <c r="B31" s="54">
        <f>15/60</f>
        <v>0.25</v>
      </c>
      <c r="C31" s="54">
        <v>250</v>
      </c>
      <c r="D31" s="55"/>
      <c r="E31" s="45">
        <f>B31*C31</f>
        <v>62.5</v>
      </c>
      <c r="F31" s="63"/>
      <c r="G31" s="69">
        <f t="shared" si="4"/>
        <v>0.14106501072203548</v>
      </c>
      <c r="H31" s="69"/>
    </row>
    <row r="32" spans="1:8" ht="18" customHeight="1" x14ac:dyDescent="0.2">
      <c r="A32" s="52" t="s">
        <v>135</v>
      </c>
      <c r="B32" s="54"/>
      <c r="C32" s="54">
        <v>4.5</v>
      </c>
      <c r="D32" s="55"/>
      <c r="E32" s="45">
        <f>C32*F9</f>
        <v>1993.7615894999999</v>
      </c>
      <c r="F32" s="63"/>
      <c r="G32" s="69">
        <f t="shared" si="4"/>
        <v>4.5</v>
      </c>
      <c r="H32" s="69"/>
    </row>
    <row r="33" spans="1:13" ht="19.5" customHeight="1" x14ac:dyDescent="0.2">
      <c r="A33" s="47" t="s">
        <v>152</v>
      </c>
      <c r="B33" s="64"/>
      <c r="C33" s="65"/>
      <c r="D33" s="66"/>
      <c r="E33" s="67">
        <f>SUM(E21:E32)</f>
        <v>55898.463278907118</v>
      </c>
      <c r="F33" s="18"/>
      <c r="G33" s="69">
        <f t="shared" si="4"/>
        <v>126.16507714854943</v>
      </c>
      <c r="H33" s="69"/>
    </row>
    <row r="34" spans="1:13" ht="22.5" customHeight="1" x14ac:dyDescent="0.2">
      <c r="A34" s="675" t="s">
        <v>80</v>
      </c>
      <c r="B34" s="676"/>
      <c r="C34" s="677"/>
      <c r="D34" s="315"/>
      <c r="E34" s="154">
        <f>E18+E33</f>
        <v>98907.370672647114</v>
      </c>
      <c r="F34" s="68"/>
      <c r="G34" s="69"/>
      <c r="H34" s="69"/>
    </row>
    <row r="35" spans="1:13" x14ac:dyDescent="0.2">
      <c r="A35" s="83" t="s">
        <v>126</v>
      </c>
      <c r="B35" s="83"/>
      <c r="C35" s="318"/>
      <c r="D35" s="156">
        <v>0.1</v>
      </c>
      <c r="E35" s="155">
        <f>E34*D35</f>
        <v>9890.7370672647121</v>
      </c>
      <c r="F35" s="70"/>
      <c r="G35" s="69">
        <f t="shared" si="4"/>
        <v>22.323790887080484</v>
      </c>
      <c r="H35" s="69"/>
    </row>
    <row r="36" spans="1:13" x14ac:dyDescent="0.2">
      <c r="A36" s="83" t="s">
        <v>127</v>
      </c>
      <c r="B36" s="83"/>
      <c r="C36" s="318"/>
      <c r="D36" s="318"/>
      <c r="E36" s="155">
        <f>SUM(E34:E35)</f>
        <v>108798.10773991182</v>
      </c>
      <c r="F36" s="70"/>
      <c r="G36" s="69">
        <f>E36/F9</f>
        <v>245.56169975788532</v>
      </c>
      <c r="H36" s="69"/>
      <c r="I36" s="69">
        <f>E36/F8</f>
        <v>221.79340531953582</v>
      </c>
    </row>
    <row r="39" spans="1:13" ht="12.75" customHeight="1" thickBot="1" x14ac:dyDescent="0.25">
      <c r="F39" s="11" t="s">
        <v>81</v>
      </c>
      <c r="G39" s="44"/>
      <c r="H39" s="44"/>
    </row>
    <row r="40" spans="1:13" ht="12.75" customHeight="1" x14ac:dyDescent="0.2">
      <c r="A40" s="678" t="s">
        <v>82</v>
      </c>
      <c r="B40" s="679"/>
      <c r="C40" s="679"/>
      <c r="D40" s="153"/>
      <c r="E40" s="71" t="s">
        <v>83</v>
      </c>
      <c r="F40" s="11" t="s">
        <v>81</v>
      </c>
      <c r="G40" s="44"/>
      <c r="H40" s="44"/>
    </row>
    <row r="41" spans="1:13" x14ac:dyDescent="0.2">
      <c r="A41" s="654" t="s">
        <v>134</v>
      </c>
      <c r="B41" s="655"/>
      <c r="C41" s="655"/>
      <c r="D41" s="316"/>
      <c r="E41" s="72"/>
    </row>
    <row r="42" spans="1:13" ht="13.5" thickBot="1" x14ac:dyDescent="0.25">
      <c r="A42" s="656" t="s">
        <v>84</v>
      </c>
      <c r="B42" s="657"/>
      <c r="C42" s="657"/>
      <c r="D42" s="314"/>
      <c r="E42" s="261" t="s">
        <v>85</v>
      </c>
    </row>
    <row r="43" spans="1:13" ht="20.100000000000001" customHeight="1" x14ac:dyDescent="0.2">
      <c r="G43" s="44"/>
      <c r="H43" s="44"/>
    </row>
    <row r="44" spans="1:13" s="44" customFormat="1" ht="18" customHeight="1" thickBot="1" x14ac:dyDescent="0.25">
      <c r="A44" s="10"/>
      <c r="B44" s="10"/>
      <c r="C44" s="10"/>
      <c r="D44" s="10"/>
      <c r="E44" s="70"/>
      <c r="F44" s="14"/>
      <c r="G44" s="10"/>
      <c r="H44" s="10"/>
      <c r="I44" s="10"/>
    </row>
    <row r="45" spans="1:13" s="44" customFormat="1" ht="15.75" thickBot="1" x14ac:dyDescent="0.25">
      <c r="A45" s="658" t="s">
        <v>161</v>
      </c>
      <c r="B45" s="659"/>
      <c r="C45" s="659"/>
      <c r="D45" s="660"/>
      <c r="E45" s="70"/>
      <c r="F45" s="14"/>
      <c r="G45" s="10"/>
      <c r="H45" s="10"/>
      <c r="I45" s="10"/>
    </row>
    <row r="46" spans="1:13" s="44" customFormat="1" ht="19.5" customHeight="1" thickBot="1" x14ac:dyDescent="0.25">
      <c r="A46" s="282" t="s">
        <v>125</v>
      </c>
      <c r="B46" s="283" t="s">
        <v>159</v>
      </c>
      <c r="C46" s="283" t="s">
        <v>155</v>
      </c>
      <c r="D46" s="284" t="s">
        <v>156</v>
      </c>
      <c r="E46" s="70"/>
      <c r="F46" s="14"/>
      <c r="G46" s="10"/>
      <c r="H46" s="10"/>
      <c r="I46" s="10"/>
      <c r="J46" s="10"/>
      <c r="K46" s="10"/>
      <c r="L46" s="10"/>
      <c r="M46" s="10"/>
    </row>
    <row r="47" spans="1:13" s="44" customFormat="1" ht="15.75" x14ac:dyDescent="0.2">
      <c r="A47" s="288" t="s">
        <v>124</v>
      </c>
      <c r="B47" s="289"/>
      <c r="C47" s="290">
        <v>100</v>
      </c>
      <c r="D47" s="291">
        <f>B47*C47</f>
        <v>0</v>
      </c>
      <c r="E47" s="70"/>
      <c r="F47" s="14"/>
      <c r="G47" s="10"/>
      <c r="H47" s="10"/>
      <c r="I47" s="10"/>
      <c r="J47" s="10"/>
      <c r="K47" s="10"/>
      <c r="L47" s="10"/>
      <c r="M47" s="10"/>
    </row>
    <row r="48" spans="1:13" s="44" customFormat="1" ht="15.75" x14ac:dyDescent="0.2">
      <c r="A48" s="274" t="s">
        <v>157</v>
      </c>
      <c r="B48" s="80"/>
      <c r="C48" s="81">
        <v>100</v>
      </c>
      <c r="D48" s="273">
        <f>B48*C48</f>
        <v>0</v>
      </c>
      <c r="E48" s="70"/>
      <c r="F48" s="14"/>
      <c r="G48" s="10"/>
      <c r="H48" s="10"/>
      <c r="I48" s="10"/>
      <c r="J48" s="10"/>
      <c r="K48" s="10"/>
      <c r="L48" s="10"/>
      <c r="M48" s="10"/>
    </row>
    <row r="49" spans="1:13" s="44" customFormat="1" ht="15.75" x14ac:dyDescent="0.2">
      <c r="A49" s="274" t="s">
        <v>162</v>
      </c>
      <c r="B49" s="80"/>
      <c r="C49" s="81">
        <v>4.5</v>
      </c>
      <c r="D49" s="273">
        <f>B49*C49</f>
        <v>0</v>
      </c>
      <c r="E49" s="70"/>
      <c r="F49" s="14"/>
      <c r="G49" s="10"/>
      <c r="H49" s="10"/>
      <c r="I49" s="10"/>
      <c r="J49" s="10"/>
      <c r="K49" s="10"/>
      <c r="L49" s="10"/>
      <c r="M49" s="10"/>
    </row>
    <row r="50" spans="1:13" s="44" customFormat="1" ht="15.75" x14ac:dyDescent="0.2">
      <c r="A50" s="292" t="s">
        <v>163</v>
      </c>
      <c r="B50" s="286"/>
      <c r="C50" s="287"/>
      <c r="D50" s="293">
        <f>SUM(D47:D49)</f>
        <v>0</v>
      </c>
      <c r="E50" s="70"/>
      <c r="F50" s="14"/>
      <c r="G50" s="10"/>
      <c r="H50" s="10"/>
      <c r="I50" s="10"/>
      <c r="J50" s="10"/>
      <c r="K50" s="10"/>
      <c r="L50" s="10"/>
      <c r="M50" s="10"/>
    </row>
    <row r="51" spans="1:13" s="44" customFormat="1" ht="15.75" x14ac:dyDescent="0.2">
      <c r="A51" s="274" t="s">
        <v>158</v>
      </c>
      <c r="B51" s="80"/>
      <c r="C51" s="81">
        <f>75000/30</f>
        <v>2500</v>
      </c>
      <c r="D51" s="273">
        <f>B51*C51</f>
        <v>0</v>
      </c>
      <c r="E51" s="70"/>
      <c r="F51" s="14"/>
      <c r="G51" s="10"/>
      <c r="H51" s="10"/>
      <c r="I51" s="10"/>
      <c r="J51" s="10"/>
      <c r="K51" s="10"/>
      <c r="L51" s="10"/>
      <c r="M51" s="10"/>
    </row>
    <row r="52" spans="1:13" s="44" customFormat="1" ht="16.5" thickBot="1" x14ac:dyDescent="0.25">
      <c r="A52" s="275" t="s">
        <v>126</v>
      </c>
      <c r="B52" s="276"/>
      <c r="C52" s="285">
        <v>7.0000000000000007E-2</v>
      </c>
      <c r="D52" s="277">
        <f>(D50+D51)*C52</f>
        <v>0</v>
      </c>
      <c r="E52" s="70"/>
      <c r="F52" s="14"/>
      <c r="G52" s="10"/>
      <c r="H52" s="10"/>
      <c r="I52" s="10"/>
      <c r="J52" s="10"/>
      <c r="K52" s="10"/>
      <c r="L52" s="10"/>
      <c r="M52" s="10"/>
    </row>
    <row r="53" spans="1:13" s="265" customFormat="1" ht="16.5" thickBot="1" x14ac:dyDescent="0.25">
      <c r="A53" s="278" t="s">
        <v>160</v>
      </c>
      <c r="B53" s="279"/>
      <c r="C53" s="280"/>
      <c r="D53" s="281">
        <f>SUM(D50:D52)</f>
        <v>0</v>
      </c>
      <c r="E53" s="262"/>
      <c r="F53" s="263"/>
      <c r="G53" s="264"/>
      <c r="H53" s="264"/>
      <c r="I53" s="264"/>
      <c r="J53" s="264"/>
      <c r="K53" s="264"/>
      <c r="L53" s="264"/>
      <c r="M53" s="264"/>
    </row>
    <row r="54" spans="1:13" s="44" customFormat="1" ht="25.5" customHeight="1" x14ac:dyDescent="0.2">
      <c r="A54" s="10"/>
      <c r="B54" s="10"/>
      <c r="C54" s="10"/>
      <c r="D54" s="10"/>
      <c r="E54" s="70"/>
      <c r="F54" s="14"/>
      <c r="G54" s="10"/>
      <c r="H54" s="10"/>
      <c r="I54" s="10"/>
      <c r="J54" s="10"/>
      <c r="K54" s="10"/>
      <c r="L54" s="10"/>
      <c r="M54" s="10"/>
    </row>
  </sheetData>
  <sheetProtection selectLockedCells="1" selectUnlockedCells="1"/>
  <mergeCells count="13">
    <mergeCell ref="A17:C17"/>
    <mergeCell ref="A45:D45"/>
    <mergeCell ref="A1:E1"/>
    <mergeCell ref="A5:E5"/>
    <mergeCell ref="A6:E6"/>
    <mergeCell ref="B14:E14"/>
    <mergeCell ref="A15:E15"/>
    <mergeCell ref="A18:C18"/>
    <mergeCell ref="A19:E19"/>
    <mergeCell ref="A34:C34"/>
    <mergeCell ref="A40:C40"/>
    <mergeCell ref="A41:C41"/>
    <mergeCell ref="A42:C4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41E9-AACA-48D2-BBBD-3012561BE3FE}">
  <sheetPr>
    <pageSetUpPr fitToPage="1"/>
  </sheetPr>
  <dimension ref="A1:S54"/>
  <sheetViews>
    <sheetView topLeftCell="A34" zoomScale="85" zoomScaleNormal="85" zoomScaleSheetLayoutView="100" workbookViewId="0">
      <selection activeCell="J72" sqref="J72"/>
    </sheetView>
  </sheetViews>
  <sheetFormatPr defaultRowHeight="12.75" x14ac:dyDescent="0.2"/>
  <cols>
    <col min="1" max="1" width="38.42578125" style="10" customWidth="1"/>
    <col min="2" max="2" width="31.5703125" style="10" bestFit="1" customWidth="1"/>
    <col min="3" max="3" width="17.42578125" style="10" bestFit="1" customWidth="1"/>
    <col min="4" max="4" width="20" style="10" bestFit="1" customWidth="1"/>
    <col min="5" max="5" width="18.5703125" style="70" bestFit="1" customWidth="1"/>
    <col min="6" max="6" width="21.140625" style="14" customWidth="1"/>
    <col min="7" max="8" width="10.140625" style="10" customWidth="1"/>
    <col min="9" max="9" width="9.28515625" style="10" bestFit="1" customWidth="1"/>
    <col min="10" max="10" width="12.140625" style="10" bestFit="1" customWidth="1"/>
    <col min="11" max="11" width="14.140625" style="10" bestFit="1" customWidth="1"/>
    <col min="12" max="12" width="11.28515625" style="10" bestFit="1" customWidth="1"/>
    <col min="13" max="13" width="16" style="10" bestFit="1" customWidth="1"/>
    <col min="14" max="14" width="26" style="10" bestFit="1" customWidth="1"/>
    <col min="15" max="15" width="17.140625" style="10" customWidth="1"/>
    <col min="16" max="16" width="11.140625" style="10" bestFit="1" customWidth="1"/>
    <col min="17" max="17" width="15.140625" style="10" bestFit="1" customWidth="1"/>
    <col min="18" max="18" width="10.42578125" style="10" bestFit="1" customWidth="1"/>
    <col min="19" max="19" width="13.140625" style="10" bestFit="1" customWidth="1"/>
    <col min="20" max="20" width="23.85546875" style="10" customWidth="1"/>
    <col min="21" max="203" width="9.140625" style="10"/>
    <col min="204" max="204" width="37.42578125" style="10" customWidth="1"/>
    <col min="205" max="205" width="13.5703125" style="10" customWidth="1"/>
    <col min="206" max="206" width="14.42578125" style="10" customWidth="1"/>
    <col min="207" max="207" width="8.42578125" style="10" bestFit="1" customWidth="1"/>
    <col min="208" max="208" width="16.85546875" style="10" customWidth="1"/>
    <col min="209" max="209" width="9.140625" style="10"/>
    <col min="210" max="210" width="11.28515625" style="10" customWidth="1"/>
    <col min="211" max="459" width="9.140625" style="10"/>
    <col min="460" max="460" width="37.42578125" style="10" customWidth="1"/>
    <col min="461" max="461" width="13.5703125" style="10" customWidth="1"/>
    <col min="462" max="462" width="14.42578125" style="10" customWidth="1"/>
    <col min="463" max="463" width="8.42578125" style="10" bestFit="1" customWidth="1"/>
    <col min="464" max="464" width="16.85546875" style="10" customWidth="1"/>
    <col min="465" max="465" width="9.140625" style="10"/>
    <col min="466" max="466" width="11.28515625" style="10" customWidth="1"/>
    <col min="467" max="715" width="9.140625" style="10"/>
    <col min="716" max="716" width="37.42578125" style="10" customWidth="1"/>
    <col min="717" max="717" width="13.5703125" style="10" customWidth="1"/>
    <col min="718" max="718" width="14.42578125" style="10" customWidth="1"/>
    <col min="719" max="719" width="8.42578125" style="10" bestFit="1" customWidth="1"/>
    <col min="720" max="720" width="16.85546875" style="10" customWidth="1"/>
    <col min="721" max="721" width="9.140625" style="10"/>
    <col min="722" max="722" width="11.28515625" style="10" customWidth="1"/>
    <col min="723" max="971" width="9.140625" style="10"/>
    <col min="972" max="972" width="37.42578125" style="10" customWidth="1"/>
    <col min="973" max="973" width="13.5703125" style="10" customWidth="1"/>
    <col min="974" max="974" width="14.42578125" style="10" customWidth="1"/>
    <col min="975" max="975" width="8.42578125" style="10" bestFit="1" customWidth="1"/>
    <col min="976" max="976" width="16.85546875" style="10" customWidth="1"/>
    <col min="977" max="977" width="9.140625" style="10"/>
    <col min="978" max="978" width="11.28515625" style="10" customWidth="1"/>
    <col min="979" max="1227" width="9.140625" style="10"/>
    <col min="1228" max="1228" width="37.42578125" style="10" customWidth="1"/>
    <col min="1229" max="1229" width="13.5703125" style="10" customWidth="1"/>
    <col min="1230" max="1230" width="14.42578125" style="10" customWidth="1"/>
    <col min="1231" max="1231" width="8.42578125" style="10" bestFit="1" customWidth="1"/>
    <col min="1232" max="1232" width="16.85546875" style="10" customWidth="1"/>
    <col min="1233" max="1233" width="9.140625" style="10"/>
    <col min="1234" max="1234" width="11.28515625" style="10" customWidth="1"/>
    <col min="1235" max="1483" width="9.140625" style="10"/>
    <col min="1484" max="1484" width="37.42578125" style="10" customWidth="1"/>
    <col min="1485" max="1485" width="13.5703125" style="10" customWidth="1"/>
    <col min="1486" max="1486" width="14.42578125" style="10" customWidth="1"/>
    <col min="1487" max="1487" width="8.42578125" style="10" bestFit="1" customWidth="1"/>
    <col min="1488" max="1488" width="16.85546875" style="10" customWidth="1"/>
    <col min="1489" max="1489" width="9.140625" style="10"/>
    <col min="1490" max="1490" width="11.28515625" style="10" customWidth="1"/>
    <col min="1491" max="1739" width="9.140625" style="10"/>
    <col min="1740" max="1740" width="37.42578125" style="10" customWidth="1"/>
    <col min="1741" max="1741" width="13.5703125" style="10" customWidth="1"/>
    <col min="1742" max="1742" width="14.42578125" style="10" customWidth="1"/>
    <col min="1743" max="1743" width="8.42578125" style="10" bestFit="1" customWidth="1"/>
    <col min="1744" max="1744" width="16.85546875" style="10" customWidth="1"/>
    <col min="1745" max="1745" width="9.140625" style="10"/>
    <col min="1746" max="1746" width="11.28515625" style="10" customWidth="1"/>
    <col min="1747" max="1995" width="9.140625" style="10"/>
    <col min="1996" max="1996" width="37.42578125" style="10" customWidth="1"/>
    <col min="1997" max="1997" width="13.5703125" style="10" customWidth="1"/>
    <col min="1998" max="1998" width="14.42578125" style="10" customWidth="1"/>
    <col min="1999" max="1999" width="8.42578125" style="10" bestFit="1" customWidth="1"/>
    <col min="2000" max="2000" width="16.85546875" style="10" customWidth="1"/>
    <col min="2001" max="2001" width="9.140625" style="10"/>
    <col min="2002" max="2002" width="11.28515625" style="10" customWidth="1"/>
    <col min="2003" max="2251" width="9.140625" style="10"/>
    <col min="2252" max="2252" width="37.42578125" style="10" customWidth="1"/>
    <col min="2253" max="2253" width="13.5703125" style="10" customWidth="1"/>
    <col min="2254" max="2254" width="14.42578125" style="10" customWidth="1"/>
    <col min="2255" max="2255" width="8.42578125" style="10" bestFit="1" customWidth="1"/>
    <col min="2256" max="2256" width="16.85546875" style="10" customWidth="1"/>
    <col min="2257" max="2257" width="9.140625" style="10"/>
    <col min="2258" max="2258" width="11.28515625" style="10" customWidth="1"/>
    <col min="2259" max="2507" width="9.140625" style="10"/>
    <col min="2508" max="2508" width="37.42578125" style="10" customWidth="1"/>
    <col min="2509" max="2509" width="13.5703125" style="10" customWidth="1"/>
    <col min="2510" max="2510" width="14.42578125" style="10" customWidth="1"/>
    <col min="2511" max="2511" width="8.42578125" style="10" bestFit="1" customWidth="1"/>
    <col min="2512" max="2512" width="16.85546875" style="10" customWidth="1"/>
    <col min="2513" max="2513" width="9.140625" style="10"/>
    <col min="2514" max="2514" width="11.28515625" style="10" customWidth="1"/>
    <col min="2515" max="2763" width="9.140625" style="10"/>
    <col min="2764" max="2764" width="37.42578125" style="10" customWidth="1"/>
    <col min="2765" max="2765" width="13.5703125" style="10" customWidth="1"/>
    <col min="2766" max="2766" width="14.42578125" style="10" customWidth="1"/>
    <col min="2767" max="2767" width="8.42578125" style="10" bestFit="1" customWidth="1"/>
    <col min="2768" max="2768" width="16.85546875" style="10" customWidth="1"/>
    <col min="2769" max="2769" width="9.140625" style="10"/>
    <col min="2770" max="2770" width="11.28515625" style="10" customWidth="1"/>
    <col min="2771" max="3019" width="9.140625" style="10"/>
    <col min="3020" max="3020" width="37.42578125" style="10" customWidth="1"/>
    <col min="3021" max="3021" width="13.5703125" style="10" customWidth="1"/>
    <col min="3022" max="3022" width="14.42578125" style="10" customWidth="1"/>
    <col min="3023" max="3023" width="8.42578125" style="10" bestFit="1" customWidth="1"/>
    <col min="3024" max="3024" width="16.85546875" style="10" customWidth="1"/>
    <col min="3025" max="3025" width="9.140625" style="10"/>
    <col min="3026" max="3026" width="11.28515625" style="10" customWidth="1"/>
    <col min="3027" max="3275" width="9.140625" style="10"/>
    <col min="3276" max="3276" width="37.42578125" style="10" customWidth="1"/>
    <col min="3277" max="3277" width="13.5703125" style="10" customWidth="1"/>
    <col min="3278" max="3278" width="14.42578125" style="10" customWidth="1"/>
    <col min="3279" max="3279" width="8.42578125" style="10" bestFit="1" customWidth="1"/>
    <col min="3280" max="3280" width="16.85546875" style="10" customWidth="1"/>
    <col min="3281" max="3281" width="9.140625" style="10"/>
    <col min="3282" max="3282" width="11.28515625" style="10" customWidth="1"/>
    <col min="3283" max="3531" width="9.140625" style="10"/>
    <col min="3532" max="3532" width="37.42578125" style="10" customWidth="1"/>
    <col min="3533" max="3533" width="13.5703125" style="10" customWidth="1"/>
    <col min="3534" max="3534" width="14.42578125" style="10" customWidth="1"/>
    <col min="3535" max="3535" width="8.42578125" style="10" bestFit="1" customWidth="1"/>
    <col min="3536" max="3536" width="16.85546875" style="10" customWidth="1"/>
    <col min="3537" max="3537" width="9.140625" style="10"/>
    <col min="3538" max="3538" width="11.28515625" style="10" customWidth="1"/>
    <col min="3539" max="3787" width="9.140625" style="10"/>
    <col min="3788" max="3788" width="37.42578125" style="10" customWidth="1"/>
    <col min="3789" max="3789" width="13.5703125" style="10" customWidth="1"/>
    <col min="3790" max="3790" width="14.42578125" style="10" customWidth="1"/>
    <col min="3791" max="3791" width="8.42578125" style="10" bestFit="1" customWidth="1"/>
    <col min="3792" max="3792" width="16.85546875" style="10" customWidth="1"/>
    <col min="3793" max="3793" width="9.140625" style="10"/>
    <col min="3794" max="3794" width="11.28515625" style="10" customWidth="1"/>
    <col min="3795" max="4043" width="9.140625" style="10"/>
    <col min="4044" max="4044" width="37.42578125" style="10" customWidth="1"/>
    <col min="4045" max="4045" width="13.5703125" style="10" customWidth="1"/>
    <col min="4046" max="4046" width="14.42578125" style="10" customWidth="1"/>
    <col min="4047" max="4047" width="8.42578125" style="10" bestFit="1" customWidth="1"/>
    <col min="4048" max="4048" width="16.85546875" style="10" customWidth="1"/>
    <col min="4049" max="4049" width="9.140625" style="10"/>
    <col min="4050" max="4050" width="11.28515625" style="10" customWidth="1"/>
    <col min="4051" max="4299" width="9.140625" style="10"/>
    <col min="4300" max="4300" width="37.42578125" style="10" customWidth="1"/>
    <col min="4301" max="4301" width="13.5703125" style="10" customWidth="1"/>
    <col min="4302" max="4302" width="14.42578125" style="10" customWidth="1"/>
    <col min="4303" max="4303" width="8.42578125" style="10" bestFit="1" customWidth="1"/>
    <col min="4304" max="4304" width="16.85546875" style="10" customWidth="1"/>
    <col min="4305" max="4305" width="9.140625" style="10"/>
    <col min="4306" max="4306" width="11.28515625" style="10" customWidth="1"/>
    <col min="4307" max="4555" width="9.140625" style="10"/>
    <col min="4556" max="4556" width="37.42578125" style="10" customWidth="1"/>
    <col min="4557" max="4557" width="13.5703125" style="10" customWidth="1"/>
    <col min="4558" max="4558" width="14.42578125" style="10" customWidth="1"/>
    <col min="4559" max="4559" width="8.42578125" style="10" bestFit="1" customWidth="1"/>
    <col min="4560" max="4560" width="16.85546875" style="10" customWidth="1"/>
    <col min="4561" max="4561" width="9.140625" style="10"/>
    <col min="4562" max="4562" width="11.28515625" style="10" customWidth="1"/>
    <col min="4563" max="4811" width="9.140625" style="10"/>
    <col min="4812" max="4812" width="37.42578125" style="10" customWidth="1"/>
    <col min="4813" max="4813" width="13.5703125" style="10" customWidth="1"/>
    <col min="4814" max="4814" width="14.42578125" style="10" customWidth="1"/>
    <col min="4815" max="4815" width="8.42578125" style="10" bestFit="1" customWidth="1"/>
    <col min="4816" max="4816" width="16.85546875" style="10" customWidth="1"/>
    <col min="4817" max="4817" width="9.140625" style="10"/>
    <col min="4818" max="4818" width="11.28515625" style="10" customWidth="1"/>
    <col min="4819" max="5067" width="9.140625" style="10"/>
    <col min="5068" max="5068" width="37.42578125" style="10" customWidth="1"/>
    <col min="5069" max="5069" width="13.5703125" style="10" customWidth="1"/>
    <col min="5070" max="5070" width="14.42578125" style="10" customWidth="1"/>
    <col min="5071" max="5071" width="8.42578125" style="10" bestFit="1" customWidth="1"/>
    <col min="5072" max="5072" width="16.85546875" style="10" customWidth="1"/>
    <col min="5073" max="5073" width="9.140625" style="10"/>
    <col min="5074" max="5074" width="11.28515625" style="10" customWidth="1"/>
    <col min="5075" max="5323" width="9.140625" style="10"/>
    <col min="5324" max="5324" width="37.42578125" style="10" customWidth="1"/>
    <col min="5325" max="5325" width="13.5703125" style="10" customWidth="1"/>
    <col min="5326" max="5326" width="14.42578125" style="10" customWidth="1"/>
    <col min="5327" max="5327" width="8.42578125" style="10" bestFit="1" customWidth="1"/>
    <col min="5328" max="5328" width="16.85546875" style="10" customWidth="1"/>
    <col min="5329" max="5329" width="9.140625" style="10"/>
    <col min="5330" max="5330" width="11.28515625" style="10" customWidth="1"/>
    <col min="5331" max="5579" width="9.140625" style="10"/>
    <col min="5580" max="5580" width="37.42578125" style="10" customWidth="1"/>
    <col min="5581" max="5581" width="13.5703125" style="10" customWidth="1"/>
    <col min="5582" max="5582" width="14.42578125" style="10" customWidth="1"/>
    <col min="5583" max="5583" width="8.42578125" style="10" bestFit="1" customWidth="1"/>
    <col min="5584" max="5584" width="16.85546875" style="10" customWidth="1"/>
    <col min="5585" max="5585" width="9.140625" style="10"/>
    <col min="5586" max="5586" width="11.28515625" style="10" customWidth="1"/>
    <col min="5587" max="5835" width="9.140625" style="10"/>
    <col min="5836" max="5836" width="37.42578125" style="10" customWidth="1"/>
    <col min="5837" max="5837" width="13.5703125" style="10" customWidth="1"/>
    <col min="5838" max="5838" width="14.42578125" style="10" customWidth="1"/>
    <col min="5839" max="5839" width="8.42578125" style="10" bestFit="1" customWidth="1"/>
    <col min="5840" max="5840" width="16.85546875" style="10" customWidth="1"/>
    <col min="5841" max="5841" width="9.140625" style="10"/>
    <col min="5842" max="5842" width="11.28515625" style="10" customWidth="1"/>
    <col min="5843" max="6091" width="9.140625" style="10"/>
    <col min="6092" max="6092" width="37.42578125" style="10" customWidth="1"/>
    <col min="6093" max="6093" width="13.5703125" style="10" customWidth="1"/>
    <col min="6094" max="6094" width="14.42578125" style="10" customWidth="1"/>
    <col min="6095" max="6095" width="8.42578125" style="10" bestFit="1" customWidth="1"/>
    <col min="6096" max="6096" width="16.85546875" style="10" customWidth="1"/>
    <col min="6097" max="6097" width="9.140625" style="10"/>
    <col min="6098" max="6098" width="11.28515625" style="10" customWidth="1"/>
    <col min="6099" max="6347" width="9.140625" style="10"/>
    <col min="6348" max="6348" width="37.42578125" style="10" customWidth="1"/>
    <col min="6349" max="6349" width="13.5703125" style="10" customWidth="1"/>
    <col min="6350" max="6350" width="14.42578125" style="10" customWidth="1"/>
    <col min="6351" max="6351" width="8.42578125" style="10" bestFit="1" customWidth="1"/>
    <col min="6352" max="6352" width="16.85546875" style="10" customWidth="1"/>
    <col min="6353" max="6353" width="9.140625" style="10"/>
    <col min="6354" max="6354" width="11.28515625" style="10" customWidth="1"/>
    <col min="6355" max="6603" width="9.140625" style="10"/>
    <col min="6604" max="6604" width="37.42578125" style="10" customWidth="1"/>
    <col min="6605" max="6605" width="13.5703125" style="10" customWidth="1"/>
    <col min="6606" max="6606" width="14.42578125" style="10" customWidth="1"/>
    <col min="6607" max="6607" width="8.42578125" style="10" bestFit="1" customWidth="1"/>
    <col min="6608" max="6608" width="16.85546875" style="10" customWidth="1"/>
    <col min="6609" max="6609" width="9.140625" style="10"/>
    <col min="6610" max="6610" width="11.28515625" style="10" customWidth="1"/>
    <col min="6611" max="6859" width="9.140625" style="10"/>
    <col min="6860" max="6860" width="37.42578125" style="10" customWidth="1"/>
    <col min="6861" max="6861" width="13.5703125" style="10" customWidth="1"/>
    <col min="6862" max="6862" width="14.42578125" style="10" customWidth="1"/>
    <col min="6863" max="6863" width="8.42578125" style="10" bestFit="1" customWidth="1"/>
    <col min="6864" max="6864" width="16.85546875" style="10" customWidth="1"/>
    <col min="6865" max="6865" width="9.140625" style="10"/>
    <col min="6866" max="6866" width="11.28515625" style="10" customWidth="1"/>
    <col min="6867" max="7115" width="9.140625" style="10"/>
    <col min="7116" max="7116" width="37.42578125" style="10" customWidth="1"/>
    <col min="7117" max="7117" width="13.5703125" style="10" customWidth="1"/>
    <col min="7118" max="7118" width="14.42578125" style="10" customWidth="1"/>
    <col min="7119" max="7119" width="8.42578125" style="10" bestFit="1" customWidth="1"/>
    <col min="7120" max="7120" width="16.85546875" style="10" customWidth="1"/>
    <col min="7121" max="7121" width="9.140625" style="10"/>
    <col min="7122" max="7122" width="11.28515625" style="10" customWidth="1"/>
    <col min="7123" max="7371" width="9.140625" style="10"/>
    <col min="7372" max="7372" width="37.42578125" style="10" customWidth="1"/>
    <col min="7373" max="7373" width="13.5703125" style="10" customWidth="1"/>
    <col min="7374" max="7374" width="14.42578125" style="10" customWidth="1"/>
    <col min="7375" max="7375" width="8.42578125" style="10" bestFit="1" customWidth="1"/>
    <col min="7376" max="7376" width="16.85546875" style="10" customWidth="1"/>
    <col min="7377" max="7377" width="9.140625" style="10"/>
    <col min="7378" max="7378" width="11.28515625" style="10" customWidth="1"/>
    <col min="7379" max="7627" width="9.140625" style="10"/>
    <col min="7628" max="7628" width="37.42578125" style="10" customWidth="1"/>
    <col min="7629" max="7629" width="13.5703125" style="10" customWidth="1"/>
    <col min="7630" max="7630" width="14.42578125" style="10" customWidth="1"/>
    <col min="7631" max="7631" width="8.42578125" style="10" bestFit="1" customWidth="1"/>
    <col min="7632" max="7632" width="16.85546875" style="10" customWidth="1"/>
    <col min="7633" max="7633" width="9.140625" style="10"/>
    <col min="7634" max="7634" width="11.28515625" style="10" customWidth="1"/>
    <col min="7635" max="7883" width="9.140625" style="10"/>
    <col min="7884" max="7884" width="37.42578125" style="10" customWidth="1"/>
    <col min="7885" max="7885" width="13.5703125" style="10" customWidth="1"/>
    <col min="7886" max="7886" width="14.42578125" style="10" customWidth="1"/>
    <col min="7887" max="7887" width="8.42578125" style="10" bestFit="1" customWidth="1"/>
    <col min="7888" max="7888" width="16.85546875" style="10" customWidth="1"/>
    <col min="7889" max="7889" width="9.140625" style="10"/>
    <col min="7890" max="7890" width="11.28515625" style="10" customWidth="1"/>
    <col min="7891" max="8139" width="9.140625" style="10"/>
    <col min="8140" max="8140" width="37.42578125" style="10" customWidth="1"/>
    <col min="8141" max="8141" width="13.5703125" style="10" customWidth="1"/>
    <col min="8142" max="8142" width="14.42578125" style="10" customWidth="1"/>
    <col min="8143" max="8143" width="8.42578125" style="10" bestFit="1" customWidth="1"/>
    <col min="8144" max="8144" width="16.85546875" style="10" customWidth="1"/>
    <col min="8145" max="8145" width="9.140625" style="10"/>
    <col min="8146" max="8146" width="11.28515625" style="10" customWidth="1"/>
    <col min="8147" max="8395" width="9.140625" style="10"/>
    <col min="8396" max="8396" width="37.42578125" style="10" customWidth="1"/>
    <col min="8397" max="8397" width="13.5703125" style="10" customWidth="1"/>
    <col min="8398" max="8398" width="14.42578125" style="10" customWidth="1"/>
    <col min="8399" max="8399" width="8.42578125" style="10" bestFit="1" customWidth="1"/>
    <col min="8400" max="8400" width="16.85546875" style="10" customWidth="1"/>
    <col min="8401" max="8401" width="9.140625" style="10"/>
    <col min="8402" max="8402" width="11.28515625" style="10" customWidth="1"/>
    <col min="8403" max="8651" width="9.140625" style="10"/>
    <col min="8652" max="8652" width="37.42578125" style="10" customWidth="1"/>
    <col min="8653" max="8653" width="13.5703125" style="10" customWidth="1"/>
    <col min="8654" max="8654" width="14.42578125" style="10" customWidth="1"/>
    <col min="8655" max="8655" width="8.42578125" style="10" bestFit="1" customWidth="1"/>
    <col min="8656" max="8656" width="16.85546875" style="10" customWidth="1"/>
    <col min="8657" max="8657" width="9.140625" style="10"/>
    <col min="8658" max="8658" width="11.28515625" style="10" customWidth="1"/>
    <col min="8659" max="8907" width="9.140625" style="10"/>
    <col min="8908" max="8908" width="37.42578125" style="10" customWidth="1"/>
    <col min="8909" max="8909" width="13.5703125" style="10" customWidth="1"/>
    <col min="8910" max="8910" width="14.42578125" style="10" customWidth="1"/>
    <col min="8911" max="8911" width="8.42578125" style="10" bestFit="1" customWidth="1"/>
    <col min="8912" max="8912" width="16.85546875" style="10" customWidth="1"/>
    <col min="8913" max="8913" width="9.140625" style="10"/>
    <col min="8914" max="8914" width="11.28515625" style="10" customWidth="1"/>
    <col min="8915" max="9163" width="9.140625" style="10"/>
    <col min="9164" max="9164" width="37.42578125" style="10" customWidth="1"/>
    <col min="9165" max="9165" width="13.5703125" style="10" customWidth="1"/>
    <col min="9166" max="9166" width="14.42578125" style="10" customWidth="1"/>
    <col min="9167" max="9167" width="8.42578125" style="10" bestFit="1" customWidth="1"/>
    <col min="9168" max="9168" width="16.85546875" style="10" customWidth="1"/>
    <col min="9169" max="9169" width="9.140625" style="10"/>
    <col min="9170" max="9170" width="11.28515625" style="10" customWidth="1"/>
    <col min="9171" max="9419" width="9.140625" style="10"/>
    <col min="9420" max="9420" width="37.42578125" style="10" customWidth="1"/>
    <col min="9421" max="9421" width="13.5703125" style="10" customWidth="1"/>
    <col min="9422" max="9422" width="14.42578125" style="10" customWidth="1"/>
    <col min="9423" max="9423" width="8.42578125" style="10" bestFit="1" customWidth="1"/>
    <col min="9424" max="9424" width="16.85546875" style="10" customWidth="1"/>
    <col min="9425" max="9425" width="9.140625" style="10"/>
    <col min="9426" max="9426" width="11.28515625" style="10" customWidth="1"/>
    <col min="9427" max="9675" width="9.140625" style="10"/>
    <col min="9676" max="9676" width="37.42578125" style="10" customWidth="1"/>
    <col min="9677" max="9677" width="13.5703125" style="10" customWidth="1"/>
    <col min="9678" max="9678" width="14.42578125" style="10" customWidth="1"/>
    <col min="9679" max="9679" width="8.42578125" style="10" bestFit="1" customWidth="1"/>
    <col min="9680" max="9680" width="16.85546875" style="10" customWidth="1"/>
    <col min="9681" max="9681" width="9.140625" style="10"/>
    <col min="9682" max="9682" width="11.28515625" style="10" customWidth="1"/>
    <col min="9683" max="9931" width="9.140625" style="10"/>
    <col min="9932" max="9932" width="37.42578125" style="10" customWidth="1"/>
    <col min="9933" max="9933" width="13.5703125" style="10" customWidth="1"/>
    <col min="9934" max="9934" width="14.42578125" style="10" customWidth="1"/>
    <col min="9935" max="9935" width="8.42578125" style="10" bestFit="1" customWidth="1"/>
    <col min="9936" max="9936" width="16.85546875" style="10" customWidth="1"/>
    <col min="9937" max="9937" width="9.140625" style="10"/>
    <col min="9938" max="9938" width="11.28515625" style="10" customWidth="1"/>
    <col min="9939" max="10187" width="9.140625" style="10"/>
    <col min="10188" max="10188" width="37.42578125" style="10" customWidth="1"/>
    <col min="10189" max="10189" width="13.5703125" style="10" customWidth="1"/>
    <col min="10190" max="10190" width="14.42578125" style="10" customWidth="1"/>
    <col min="10191" max="10191" width="8.42578125" style="10" bestFit="1" customWidth="1"/>
    <col min="10192" max="10192" width="16.85546875" style="10" customWidth="1"/>
    <col min="10193" max="10193" width="9.140625" style="10"/>
    <col min="10194" max="10194" width="11.28515625" style="10" customWidth="1"/>
    <col min="10195" max="10443" width="9.140625" style="10"/>
    <col min="10444" max="10444" width="37.42578125" style="10" customWidth="1"/>
    <col min="10445" max="10445" width="13.5703125" style="10" customWidth="1"/>
    <col min="10446" max="10446" width="14.42578125" style="10" customWidth="1"/>
    <col min="10447" max="10447" width="8.42578125" style="10" bestFit="1" customWidth="1"/>
    <col min="10448" max="10448" width="16.85546875" style="10" customWidth="1"/>
    <col min="10449" max="10449" width="9.140625" style="10"/>
    <col min="10450" max="10450" width="11.28515625" style="10" customWidth="1"/>
    <col min="10451" max="10699" width="9.140625" style="10"/>
    <col min="10700" max="10700" width="37.42578125" style="10" customWidth="1"/>
    <col min="10701" max="10701" width="13.5703125" style="10" customWidth="1"/>
    <col min="10702" max="10702" width="14.42578125" style="10" customWidth="1"/>
    <col min="10703" max="10703" width="8.42578125" style="10" bestFit="1" customWidth="1"/>
    <col min="10704" max="10704" width="16.85546875" style="10" customWidth="1"/>
    <col min="10705" max="10705" width="9.140625" style="10"/>
    <col min="10706" max="10706" width="11.28515625" style="10" customWidth="1"/>
    <col min="10707" max="10955" width="9.140625" style="10"/>
    <col min="10956" max="10956" width="37.42578125" style="10" customWidth="1"/>
    <col min="10957" max="10957" width="13.5703125" style="10" customWidth="1"/>
    <col min="10958" max="10958" width="14.42578125" style="10" customWidth="1"/>
    <col min="10959" max="10959" width="8.42578125" style="10" bestFit="1" customWidth="1"/>
    <col min="10960" max="10960" width="16.85546875" style="10" customWidth="1"/>
    <col min="10961" max="10961" width="9.140625" style="10"/>
    <col min="10962" max="10962" width="11.28515625" style="10" customWidth="1"/>
    <col min="10963" max="11211" width="9.140625" style="10"/>
    <col min="11212" max="11212" width="37.42578125" style="10" customWidth="1"/>
    <col min="11213" max="11213" width="13.5703125" style="10" customWidth="1"/>
    <col min="11214" max="11214" width="14.42578125" style="10" customWidth="1"/>
    <col min="11215" max="11215" width="8.42578125" style="10" bestFit="1" customWidth="1"/>
    <col min="11216" max="11216" width="16.85546875" style="10" customWidth="1"/>
    <col min="11217" max="11217" width="9.140625" style="10"/>
    <col min="11218" max="11218" width="11.28515625" style="10" customWidth="1"/>
    <col min="11219" max="11467" width="9.140625" style="10"/>
    <col min="11468" max="11468" width="37.42578125" style="10" customWidth="1"/>
    <col min="11469" max="11469" width="13.5703125" style="10" customWidth="1"/>
    <col min="11470" max="11470" width="14.42578125" style="10" customWidth="1"/>
    <col min="11471" max="11471" width="8.42578125" style="10" bestFit="1" customWidth="1"/>
    <col min="11472" max="11472" width="16.85546875" style="10" customWidth="1"/>
    <col min="11473" max="11473" width="9.140625" style="10"/>
    <col min="11474" max="11474" width="11.28515625" style="10" customWidth="1"/>
    <col min="11475" max="11723" width="9.140625" style="10"/>
    <col min="11724" max="11724" width="37.42578125" style="10" customWidth="1"/>
    <col min="11725" max="11725" width="13.5703125" style="10" customWidth="1"/>
    <col min="11726" max="11726" width="14.42578125" style="10" customWidth="1"/>
    <col min="11727" max="11727" width="8.42578125" style="10" bestFit="1" customWidth="1"/>
    <col min="11728" max="11728" width="16.85546875" style="10" customWidth="1"/>
    <col min="11729" max="11729" width="9.140625" style="10"/>
    <col min="11730" max="11730" width="11.28515625" style="10" customWidth="1"/>
    <col min="11731" max="11979" width="9.140625" style="10"/>
    <col min="11980" max="11980" width="37.42578125" style="10" customWidth="1"/>
    <col min="11981" max="11981" width="13.5703125" style="10" customWidth="1"/>
    <col min="11982" max="11982" width="14.42578125" style="10" customWidth="1"/>
    <col min="11983" max="11983" width="8.42578125" style="10" bestFit="1" customWidth="1"/>
    <col min="11984" max="11984" width="16.85546875" style="10" customWidth="1"/>
    <col min="11985" max="11985" width="9.140625" style="10"/>
    <col min="11986" max="11986" width="11.28515625" style="10" customWidth="1"/>
    <col min="11987" max="12235" width="9.140625" style="10"/>
    <col min="12236" max="12236" width="37.42578125" style="10" customWidth="1"/>
    <col min="12237" max="12237" width="13.5703125" style="10" customWidth="1"/>
    <col min="12238" max="12238" width="14.42578125" style="10" customWidth="1"/>
    <col min="12239" max="12239" width="8.42578125" style="10" bestFit="1" customWidth="1"/>
    <col min="12240" max="12240" width="16.85546875" style="10" customWidth="1"/>
    <col min="12241" max="12241" width="9.140625" style="10"/>
    <col min="12242" max="12242" width="11.28515625" style="10" customWidth="1"/>
    <col min="12243" max="12491" width="9.140625" style="10"/>
    <col min="12492" max="12492" width="37.42578125" style="10" customWidth="1"/>
    <col min="12493" max="12493" width="13.5703125" style="10" customWidth="1"/>
    <col min="12494" max="12494" width="14.42578125" style="10" customWidth="1"/>
    <col min="12495" max="12495" width="8.42578125" style="10" bestFit="1" customWidth="1"/>
    <col min="12496" max="12496" width="16.85546875" style="10" customWidth="1"/>
    <col min="12497" max="12497" width="9.140625" style="10"/>
    <col min="12498" max="12498" width="11.28515625" style="10" customWidth="1"/>
    <col min="12499" max="12747" width="9.140625" style="10"/>
    <col min="12748" max="12748" width="37.42578125" style="10" customWidth="1"/>
    <col min="12749" max="12749" width="13.5703125" style="10" customWidth="1"/>
    <col min="12750" max="12750" width="14.42578125" style="10" customWidth="1"/>
    <col min="12751" max="12751" width="8.42578125" style="10" bestFit="1" customWidth="1"/>
    <col min="12752" max="12752" width="16.85546875" style="10" customWidth="1"/>
    <col min="12753" max="12753" width="9.140625" style="10"/>
    <col min="12754" max="12754" width="11.28515625" style="10" customWidth="1"/>
    <col min="12755" max="13003" width="9.140625" style="10"/>
    <col min="13004" max="13004" width="37.42578125" style="10" customWidth="1"/>
    <col min="13005" max="13005" width="13.5703125" style="10" customWidth="1"/>
    <col min="13006" max="13006" width="14.42578125" style="10" customWidth="1"/>
    <col min="13007" max="13007" width="8.42578125" style="10" bestFit="1" customWidth="1"/>
    <col min="13008" max="13008" width="16.85546875" style="10" customWidth="1"/>
    <col min="13009" max="13009" width="9.140625" style="10"/>
    <col min="13010" max="13010" width="11.28515625" style="10" customWidth="1"/>
    <col min="13011" max="13259" width="9.140625" style="10"/>
    <col min="13260" max="13260" width="37.42578125" style="10" customWidth="1"/>
    <col min="13261" max="13261" width="13.5703125" style="10" customWidth="1"/>
    <col min="13262" max="13262" width="14.42578125" style="10" customWidth="1"/>
    <col min="13263" max="13263" width="8.42578125" style="10" bestFit="1" customWidth="1"/>
    <col min="13264" max="13264" width="16.85546875" style="10" customWidth="1"/>
    <col min="13265" max="13265" width="9.140625" style="10"/>
    <col min="13266" max="13266" width="11.28515625" style="10" customWidth="1"/>
    <col min="13267" max="13515" width="9.140625" style="10"/>
    <col min="13516" max="13516" width="37.42578125" style="10" customWidth="1"/>
    <col min="13517" max="13517" width="13.5703125" style="10" customWidth="1"/>
    <col min="13518" max="13518" width="14.42578125" style="10" customWidth="1"/>
    <col min="13519" max="13519" width="8.42578125" style="10" bestFit="1" customWidth="1"/>
    <col min="13520" max="13520" width="16.85546875" style="10" customWidth="1"/>
    <col min="13521" max="13521" width="9.140625" style="10"/>
    <col min="13522" max="13522" width="11.28515625" style="10" customWidth="1"/>
    <col min="13523" max="13771" width="9.140625" style="10"/>
    <col min="13772" max="13772" width="37.42578125" style="10" customWidth="1"/>
    <col min="13773" max="13773" width="13.5703125" style="10" customWidth="1"/>
    <col min="13774" max="13774" width="14.42578125" style="10" customWidth="1"/>
    <col min="13775" max="13775" width="8.42578125" style="10" bestFit="1" customWidth="1"/>
    <col min="13776" max="13776" width="16.85546875" style="10" customWidth="1"/>
    <col min="13777" max="13777" width="9.140625" style="10"/>
    <col min="13778" max="13778" width="11.28515625" style="10" customWidth="1"/>
    <col min="13779" max="14027" width="9.140625" style="10"/>
    <col min="14028" max="14028" width="37.42578125" style="10" customWidth="1"/>
    <col min="14029" max="14029" width="13.5703125" style="10" customWidth="1"/>
    <col min="14030" max="14030" width="14.42578125" style="10" customWidth="1"/>
    <col min="14031" max="14031" width="8.42578125" style="10" bestFit="1" customWidth="1"/>
    <col min="14032" max="14032" width="16.85546875" style="10" customWidth="1"/>
    <col min="14033" max="14033" width="9.140625" style="10"/>
    <col min="14034" max="14034" width="11.28515625" style="10" customWidth="1"/>
    <col min="14035" max="14283" width="9.140625" style="10"/>
    <col min="14284" max="14284" width="37.42578125" style="10" customWidth="1"/>
    <col min="14285" max="14285" width="13.5703125" style="10" customWidth="1"/>
    <col min="14286" max="14286" width="14.42578125" style="10" customWidth="1"/>
    <col min="14287" max="14287" width="8.42578125" style="10" bestFit="1" customWidth="1"/>
    <col min="14288" max="14288" width="16.85546875" style="10" customWidth="1"/>
    <col min="14289" max="14289" width="9.140625" style="10"/>
    <col min="14290" max="14290" width="11.28515625" style="10" customWidth="1"/>
    <col min="14291" max="14539" width="9.140625" style="10"/>
    <col min="14540" max="14540" width="37.42578125" style="10" customWidth="1"/>
    <col min="14541" max="14541" width="13.5703125" style="10" customWidth="1"/>
    <col min="14542" max="14542" width="14.42578125" style="10" customWidth="1"/>
    <col min="14543" max="14543" width="8.42578125" style="10" bestFit="1" customWidth="1"/>
    <col min="14544" max="14544" width="16.85546875" style="10" customWidth="1"/>
    <col min="14545" max="14545" width="9.140625" style="10"/>
    <col min="14546" max="14546" width="11.28515625" style="10" customWidth="1"/>
    <col min="14547" max="14795" width="9.140625" style="10"/>
    <col min="14796" max="14796" width="37.42578125" style="10" customWidth="1"/>
    <col min="14797" max="14797" width="13.5703125" style="10" customWidth="1"/>
    <col min="14798" max="14798" width="14.42578125" style="10" customWidth="1"/>
    <col min="14799" max="14799" width="8.42578125" style="10" bestFit="1" customWidth="1"/>
    <col min="14800" max="14800" width="16.85546875" style="10" customWidth="1"/>
    <col min="14801" max="14801" width="9.140625" style="10"/>
    <col min="14802" max="14802" width="11.28515625" style="10" customWidth="1"/>
    <col min="14803" max="15051" width="9.140625" style="10"/>
    <col min="15052" max="15052" width="37.42578125" style="10" customWidth="1"/>
    <col min="15053" max="15053" width="13.5703125" style="10" customWidth="1"/>
    <col min="15054" max="15054" width="14.42578125" style="10" customWidth="1"/>
    <col min="15055" max="15055" width="8.42578125" style="10" bestFit="1" customWidth="1"/>
    <col min="15056" max="15056" width="16.85546875" style="10" customWidth="1"/>
    <col min="15057" max="15057" width="9.140625" style="10"/>
    <col min="15058" max="15058" width="11.28515625" style="10" customWidth="1"/>
    <col min="15059" max="15307" width="9.140625" style="10"/>
    <col min="15308" max="15308" width="37.42578125" style="10" customWidth="1"/>
    <col min="15309" max="15309" width="13.5703125" style="10" customWidth="1"/>
    <col min="15310" max="15310" width="14.42578125" style="10" customWidth="1"/>
    <col min="15311" max="15311" width="8.42578125" style="10" bestFit="1" customWidth="1"/>
    <col min="15312" max="15312" width="16.85546875" style="10" customWidth="1"/>
    <col min="15313" max="15313" width="9.140625" style="10"/>
    <col min="15314" max="15314" width="11.28515625" style="10" customWidth="1"/>
    <col min="15315" max="15563" width="9.140625" style="10"/>
    <col min="15564" max="15564" width="37.42578125" style="10" customWidth="1"/>
    <col min="15565" max="15565" width="13.5703125" style="10" customWidth="1"/>
    <col min="15566" max="15566" width="14.42578125" style="10" customWidth="1"/>
    <col min="15567" max="15567" width="8.42578125" style="10" bestFit="1" customWidth="1"/>
    <col min="15568" max="15568" width="16.85546875" style="10" customWidth="1"/>
    <col min="15569" max="15569" width="9.140625" style="10"/>
    <col min="15570" max="15570" width="11.28515625" style="10" customWidth="1"/>
    <col min="15571" max="15819" width="9.140625" style="10"/>
    <col min="15820" max="15820" width="37.42578125" style="10" customWidth="1"/>
    <col min="15821" max="15821" width="13.5703125" style="10" customWidth="1"/>
    <col min="15822" max="15822" width="14.42578125" style="10" customWidth="1"/>
    <col min="15823" max="15823" width="8.42578125" style="10" bestFit="1" customWidth="1"/>
    <col min="15824" max="15824" width="16.85546875" style="10" customWidth="1"/>
    <col min="15825" max="15825" width="9.140625" style="10"/>
    <col min="15826" max="15826" width="11.28515625" style="10" customWidth="1"/>
    <col min="15827" max="16075" width="9.140625" style="10"/>
    <col min="16076" max="16076" width="37.42578125" style="10" customWidth="1"/>
    <col min="16077" max="16077" width="13.5703125" style="10" customWidth="1"/>
    <col min="16078" max="16078" width="14.42578125" style="10" customWidth="1"/>
    <col min="16079" max="16079" width="8.42578125" style="10" bestFit="1" customWidth="1"/>
    <col min="16080" max="16080" width="16.85546875" style="10" customWidth="1"/>
    <col min="16081" max="16081" width="9.140625" style="10"/>
    <col min="16082" max="16082" width="11.28515625" style="10" customWidth="1"/>
    <col min="16083" max="16384" width="9.140625" style="10"/>
  </cols>
  <sheetData>
    <row r="1" spans="1:19" ht="15.75" x14ac:dyDescent="0.2">
      <c r="A1" s="685" t="s">
        <v>46</v>
      </c>
      <c r="B1" s="686"/>
      <c r="C1" s="686"/>
      <c r="D1" s="687"/>
      <c r="E1" s="688"/>
      <c r="F1" s="9"/>
    </row>
    <row r="2" spans="1:19" ht="25.5" x14ac:dyDescent="0.2">
      <c r="A2" s="12" t="s">
        <v>47</v>
      </c>
      <c r="B2" s="313" t="str">
        <f>'BOM R2D CatWalk'!I97</f>
        <v>WELDMENT, HINGED FLOOR, PC4100</v>
      </c>
      <c r="C2" s="13"/>
      <c r="D2" s="13" t="s">
        <v>48</v>
      </c>
      <c r="E2" s="85"/>
    </row>
    <row r="3" spans="1:19" x14ac:dyDescent="0.2">
      <c r="A3" s="12" t="s">
        <v>49</v>
      </c>
      <c r="B3" s="313" t="str">
        <f>'BOM R2D CatWalk'!G97</f>
        <v>AY30018</v>
      </c>
      <c r="C3" s="13"/>
      <c r="D3" s="13" t="s">
        <v>50</v>
      </c>
      <c r="E3" s="15">
        <f>'BOM R2D CatWalk'!K97</f>
        <v>1</v>
      </c>
      <c r="F3" s="9"/>
    </row>
    <row r="4" spans="1:19" ht="16.5" customHeight="1" x14ac:dyDescent="0.2">
      <c r="A4" s="12" t="s">
        <v>51</v>
      </c>
      <c r="B4" s="86">
        <f>'BOM R2D CatWalk'!N97</f>
        <v>27</v>
      </c>
      <c r="C4" s="16"/>
      <c r="D4" s="147"/>
      <c r="E4" s="17"/>
      <c r="F4" s="9"/>
      <c r="I4" s="321" t="s">
        <v>0</v>
      </c>
      <c r="J4" s="321" t="s">
        <v>13</v>
      </c>
      <c r="K4" s="321" t="s">
        <v>154</v>
      </c>
      <c r="L4" s="321" t="s">
        <v>544</v>
      </c>
      <c r="M4" s="340" t="s">
        <v>551</v>
      </c>
      <c r="N4" s="340" t="s">
        <v>571</v>
      </c>
      <c r="O4" s="321" t="s">
        <v>548</v>
      </c>
      <c r="P4" s="321" t="s">
        <v>34</v>
      </c>
      <c r="Q4" s="321" t="s">
        <v>549</v>
      </c>
      <c r="R4" s="321" t="s">
        <v>547</v>
      </c>
      <c r="S4" s="321" t="s">
        <v>156</v>
      </c>
    </row>
    <row r="5" spans="1:19" ht="21.75" customHeight="1" thickBot="1" x14ac:dyDescent="0.25">
      <c r="A5" s="691" t="s">
        <v>52</v>
      </c>
      <c r="B5" s="692"/>
      <c r="C5" s="692"/>
      <c r="D5" s="693"/>
      <c r="E5" s="694"/>
      <c r="F5" s="18"/>
      <c r="I5" s="143">
        <v>1</v>
      </c>
      <c r="J5" s="143" t="s">
        <v>21</v>
      </c>
      <c r="K5" s="143">
        <v>6</v>
      </c>
      <c r="L5" s="143" t="s">
        <v>543</v>
      </c>
      <c r="M5" s="145">
        <f>'RM Details'!E44</f>
        <v>26</v>
      </c>
      <c r="N5" s="145">
        <f>'RM Details'!F44</f>
        <v>28.6</v>
      </c>
      <c r="O5" s="145">
        <v>0</v>
      </c>
      <c r="P5" s="145"/>
      <c r="Q5" s="145">
        <f t="shared" ref="Q5:Q6" si="0">IF(O5&gt;N5,O5,IF(O5&lt;N5,N5))</f>
        <v>28.6</v>
      </c>
      <c r="R5" s="145">
        <v>90</v>
      </c>
      <c r="S5" s="145">
        <f t="shared" ref="S5:S6" si="1">R5*Q5</f>
        <v>2574</v>
      </c>
    </row>
    <row r="6" spans="1:19" ht="16.5" thickBot="1" x14ac:dyDescent="0.25">
      <c r="A6" s="695" t="s">
        <v>53</v>
      </c>
      <c r="B6" s="696"/>
      <c r="C6" s="696"/>
      <c r="D6" s="697"/>
      <c r="E6" s="698"/>
      <c r="F6" s="18"/>
      <c r="G6" s="19"/>
      <c r="H6" s="19"/>
      <c r="I6" s="143">
        <v>2</v>
      </c>
      <c r="J6" s="143" t="s">
        <v>21</v>
      </c>
      <c r="K6" s="143">
        <v>10</v>
      </c>
      <c r="L6" s="143" t="s">
        <v>543</v>
      </c>
      <c r="M6" s="145">
        <f>'RM Details'!E45</f>
        <v>0.8</v>
      </c>
      <c r="N6" s="145">
        <f>'RM Details'!F45</f>
        <v>1.0668715200000001</v>
      </c>
      <c r="O6" s="145">
        <v>0</v>
      </c>
      <c r="P6" s="145"/>
      <c r="Q6" s="145">
        <f t="shared" si="0"/>
        <v>1.0668715200000001</v>
      </c>
      <c r="R6" s="145">
        <v>90</v>
      </c>
      <c r="S6" s="145">
        <f t="shared" si="1"/>
        <v>96.018436800000003</v>
      </c>
    </row>
    <row r="7" spans="1:19" ht="26.25" thickBot="1" x14ac:dyDescent="0.25">
      <c r="A7" s="20" t="s">
        <v>54</v>
      </c>
      <c r="B7" s="21"/>
      <c r="C7" s="21"/>
      <c r="D7" s="21" t="s">
        <v>573</v>
      </c>
      <c r="E7" s="22"/>
      <c r="F7" s="18"/>
      <c r="G7" s="1"/>
      <c r="H7" s="1"/>
      <c r="I7" s="341"/>
      <c r="J7" s="341"/>
      <c r="K7" s="341" t="s">
        <v>45</v>
      </c>
      <c r="L7" s="341"/>
      <c r="M7" s="342">
        <f>SUM(M5:M6)</f>
        <v>26.8</v>
      </c>
      <c r="N7" s="342">
        <f>SUM(N5:N6)</f>
        <v>29.666871520000001</v>
      </c>
      <c r="O7" s="346"/>
      <c r="P7" s="346"/>
      <c r="Q7" s="342">
        <f>SUM(Q5:Q6)</f>
        <v>29.666871520000001</v>
      </c>
      <c r="R7" s="145">
        <f>S7/Q7</f>
        <v>90</v>
      </c>
      <c r="S7" s="342">
        <f>SUM(S5:S6)</f>
        <v>2670.0184368</v>
      </c>
    </row>
    <row r="8" spans="1:19" ht="17.25" customHeight="1" x14ac:dyDescent="0.2">
      <c r="A8" s="23" t="s">
        <v>55</v>
      </c>
      <c r="B8" s="24"/>
      <c r="C8" s="25"/>
      <c r="D8" s="25">
        <f>Q5+Q6</f>
        <v>29.666871520000001</v>
      </c>
      <c r="E8" s="26"/>
      <c r="F8" s="18">
        <f>SUM(C8:E8)</f>
        <v>29.666871520000001</v>
      </c>
      <c r="G8" s="1"/>
    </row>
    <row r="9" spans="1:19" ht="18" customHeight="1" x14ac:dyDescent="0.2">
      <c r="A9" s="27" t="s">
        <v>56</v>
      </c>
      <c r="B9" s="77"/>
      <c r="C9" s="28"/>
      <c r="D9" s="28">
        <f>M5+M6</f>
        <v>26.8</v>
      </c>
      <c r="E9" s="74"/>
      <c r="F9" s="18">
        <f>SUM(C9:E9)</f>
        <v>26.8</v>
      </c>
      <c r="G9" s="1"/>
      <c r="H9" s="1"/>
    </row>
    <row r="10" spans="1:19" ht="15" x14ac:dyDescent="0.2">
      <c r="A10" s="29" t="s">
        <v>57</v>
      </c>
      <c r="B10" s="78"/>
      <c r="C10" s="30"/>
      <c r="D10" s="30">
        <f t="shared" ref="D10" si="2">(D8-D9)*80%</f>
        <v>2.293497216</v>
      </c>
      <c r="E10" s="75"/>
      <c r="F10" s="31">
        <f>(F8-F9)/F9</f>
        <v>0.10697281791044776</v>
      </c>
      <c r="G10" s="32"/>
      <c r="H10" s="32"/>
    </row>
    <row r="11" spans="1:19" ht="15" x14ac:dyDescent="0.25">
      <c r="A11" s="33" t="s">
        <v>58</v>
      </c>
      <c r="B11" s="34"/>
      <c r="C11" s="35"/>
      <c r="D11" s="35">
        <f>R5</f>
        <v>90</v>
      </c>
      <c r="E11" s="76"/>
      <c r="F11" s="18">
        <f>SUMPRODUCT(B11:E11,B8:E8)</f>
        <v>2670.0184368</v>
      </c>
      <c r="G11"/>
      <c r="H11"/>
    </row>
    <row r="12" spans="1:19" ht="15.75" thickBot="1" x14ac:dyDescent="0.3">
      <c r="A12" s="29" t="s">
        <v>59</v>
      </c>
      <c r="B12" s="352"/>
      <c r="C12" s="353"/>
      <c r="D12" s="353">
        <v>30</v>
      </c>
      <c r="E12" s="354"/>
      <c r="F12" s="18"/>
      <c r="G12"/>
      <c r="H12"/>
    </row>
    <row r="13" spans="1:19" ht="15.75" thickBot="1" x14ac:dyDescent="0.3">
      <c r="A13" s="36" t="s">
        <v>60</v>
      </c>
      <c r="B13" s="349"/>
      <c r="C13" s="349"/>
      <c r="D13" s="349">
        <f>(D8*D11)-(D10*D12)</f>
        <v>2601.21352032</v>
      </c>
      <c r="E13" s="350"/>
      <c r="F13" s="37">
        <f>SUM(B13:E13)</f>
        <v>2601.21352032</v>
      </c>
      <c r="G13"/>
      <c r="H13"/>
    </row>
    <row r="14" spans="1:19" ht="15.75" thickBot="1" x14ac:dyDescent="0.25">
      <c r="A14" s="38" t="s">
        <v>61</v>
      </c>
      <c r="B14" s="680">
        <f>SUM(B13:E13)</f>
        <v>2601.21352032</v>
      </c>
      <c r="C14" s="682"/>
      <c r="D14" s="683"/>
      <c r="E14" s="684"/>
      <c r="F14" s="39">
        <f>F13/F8</f>
        <v>87.680749167177439</v>
      </c>
      <c r="G14" s="32"/>
      <c r="H14" s="32"/>
    </row>
    <row r="15" spans="1:19" ht="15" x14ac:dyDescent="0.25">
      <c r="A15" s="663" t="s">
        <v>62</v>
      </c>
      <c r="B15" s="664"/>
      <c r="C15" s="664"/>
      <c r="D15" s="665"/>
      <c r="E15" s="666"/>
      <c r="F15" s="18"/>
      <c r="G15"/>
      <c r="H15"/>
    </row>
    <row r="16" spans="1:19" ht="24.75" customHeight="1" x14ac:dyDescent="0.2">
      <c r="A16" s="317" t="s">
        <v>63</v>
      </c>
      <c r="B16" s="41"/>
      <c r="C16" s="42"/>
      <c r="D16" s="150"/>
      <c r="E16" s="43"/>
      <c r="F16" s="18"/>
      <c r="G16" s="32"/>
      <c r="H16" s="32"/>
    </row>
    <row r="17" spans="1:8" ht="20.25" customHeight="1" x14ac:dyDescent="0.2">
      <c r="A17" s="667" t="s">
        <v>64</v>
      </c>
      <c r="B17" s="668"/>
      <c r="C17" s="668"/>
      <c r="D17" s="151"/>
      <c r="E17" s="45">
        <f>SUM(E16:E16)</f>
        <v>0</v>
      </c>
      <c r="F17" s="84"/>
    </row>
    <row r="18" spans="1:8" ht="13.5" thickBot="1" x14ac:dyDescent="0.25">
      <c r="A18" s="669" t="s">
        <v>65</v>
      </c>
      <c r="B18" s="670"/>
      <c r="C18" s="670"/>
      <c r="D18" s="152"/>
      <c r="E18" s="46">
        <f>B14+E17</f>
        <v>2601.21352032</v>
      </c>
      <c r="F18" s="18"/>
    </row>
    <row r="19" spans="1:8" ht="22.5" customHeight="1" x14ac:dyDescent="0.2">
      <c r="A19" s="671" t="s">
        <v>66</v>
      </c>
      <c r="B19" s="672"/>
      <c r="C19" s="672"/>
      <c r="D19" s="673"/>
      <c r="E19" s="674"/>
      <c r="F19" s="18"/>
    </row>
    <row r="20" spans="1:8" x14ac:dyDescent="0.2">
      <c r="A20" s="47" t="s">
        <v>54</v>
      </c>
      <c r="B20" s="48" t="s">
        <v>23</v>
      </c>
      <c r="C20" s="49" t="s">
        <v>67</v>
      </c>
      <c r="D20" s="50"/>
      <c r="E20" s="51" t="s">
        <v>68</v>
      </c>
      <c r="F20" s="18"/>
    </row>
    <row r="21" spans="1:8" ht="18" customHeight="1" x14ac:dyDescent="0.2">
      <c r="A21" s="52" t="s">
        <v>69</v>
      </c>
      <c r="B21" s="53">
        <f>'BOM R2D CatWalk'!X97</f>
        <v>1.1326886082457661</v>
      </c>
      <c r="C21" s="54">
        <v>50</v>
      </c>
      <c r="D21" s="55"/>
      <c r="E21" s="45">
        <f t="shared" ref="E21:E27" si="3">B21*C21</f>
        <v>56.634430412288303</v>
      </c>
      <c r="F21" s="56"/>
      <c r="G21" s="69">
        <f>E21/$F$9</f>
        <v>2.1132250153838918</v>
      </c>
      <c r="H21" s="69"/>
    </row>
    <row r="22" spans="1:8" ht="20.25" customHeight="1" x14ac:dyDescent="0.2">
      <c r="A22" s="52" t="s">
        <v>70</v>
      </c>
      <c r="B22" s="53">
        <f>'BOM R2D CatWalk'!AB97</f>
        <v>0</v>
      </c>
      <c r="C22" s="54">
        <v>550</v>
      </c>
      <c r="D22" s="55"/>
      <c r="E22" s="45">
        <f t="shared" si="3"/>
        <v>0</v>
      </c>
      <c r="F22" s="56"/>
      <c r="G22" s="69">
        <f t="shared" ref="G22:G35" si="4">E22/$F$9</f>
        <v>0</v>
      </c>
      <c r="H22" s="69"/>
    </row>
    <row r="23" spans="1:8" ht="18" customHeight="1" x14ac:dyDescent="0.2">
      <c r="A23" s="52" t="s">
        <v>71</v>
      </c>
      <c r="B23" s="53">
        <f>'BOM R2D CatWalk'!Z97</f>
        <v>4</v>
      </c>
      <c r="C23" s="54">
        <v>100</v>
      </c>
      <c r="D23" s="55"/>
      <c r="E23" s="45">
        <f t="shared" si="3"/>
        <v>400</v>
      </c>
      <c r="F23" s="79"/>
      <c r="G23" s="69">
        <f t="shared" si="4"/>
        <v>14.925373134328359</v>
      </c>
      <c r="H23" s="69"/>
    </row>
    <row r="24" spans="1:8" ht="18" customHeight="1" x14ac:dyDescent="0.2">
      <c r="A24" s="52" t="s">
        <v>72</v>
      </c>
      <c r="B24" s="53">
        <f>'BOM R2D CatWalk'!AF97</f>
        <v>0.44159999999999999</v>
      </c>
      <c r="C24" s="54">
        <v>250</v>
      </c>
      <c r="D24" s="55"/>
      <c r="E24" s="45">
        <f t="shared" si="3"/>
        <v>110.39999999999999</v>
      </c>
      <c r="F24" s="56"/>
      <c r="G24" s="69">
        <f t="shared" si="4"/>
        <v>4.1194029850746263</v>
      </c>
      <c r="H24" s="69"/>
    </row>
    <row r="25" spans="1:8" ht="18" customHeight="1" x14ac:dyDescent="0.2">
      <c r="A25" s="52" t="s">
        <v>73</v>
      </c>
      <c r="B25" s="53">
        <f>B24/12</f>
        <v>3.6799999999999999E-2</v>
      </c>
      <c r="C25" s="54">
        <v>250</v>
      </c>
      <c r="D25" s="55"/>
      <c r="E25" s="45">
        <f t="shared" si="3"/>
        <v>9.1999999999999993</v>
      </c>
      <c r="F25" s="56"/>
      <c r="G25" s="69">
        <f t="shared" si="4"/>
        <v>0.34328358208955223</v>
      </c>
      <c r="H25" s="69"/>
    </row>
    <row r="26" spans="1:8" ht="18" customHeight="1" x14ac:dyDescent="0.2">
      <c r="A26" s="52" t="s">
        <v>74</v>
      </c>
      <c r="B26" s="53">
        <f>F9/95</f>
        <v>0.28210526315789475</v>
      </c>
      <c r="C26" s="54">
        <v>1200</v>
      </c>
      <c r="D26" s="55"/>
      <c r="E26" s="45">
        <f t="shared" si="3"/>
        <v>338.5263157894737</v>
      </c>
      <c r="F26" s="56"/>
      <c r="G26" s="69">
        <f t="shared" si="4"/>
        <v>12.631578947368421</v>
      </c>
      <c r="H26" s="69"/>
    </row>
    <row r="27" spans="1:8" x14ac:dyDescent="0.2">
      <c r="A27" s="57" t="s">
        <v>75</v>
      </c>
      <c r="B27" s="58"/>
      <c r="C27" s="59">
        <v>250</v>
      </c>
      <c r="D27" s="60"/>
      <c r="E27" s="61">
        <f t="shared" si="3"/>
        <v>0</v>
      </c>
      <c r="F27" s="84" t="s">
        <v>76</v>
      </c>
      <c r="G27" s="69">
        <f t="shared" si="4"/>
        <v>0</v>
      </c>
      <c r="H27" s="69"/>
    </row>
    <row r="28" spans="1:8" ht="18" customHeight="1" x14ac:dyDescent="0.2">
      <c r="A28" s="52" t="s">
        <v>77</v>
      </c>
      <c r="B28" s="53"/>
      <c r="C28" s="54">
        <v>5</v>
      </c>
      <c r="D28" s="55"/>
      <c r="E28" s="62">
        <f>C28*F9</f>
        <v>134</v>
      </c>
      <c r="F28" s="18"/>
      <c r="G28" s="69">
        <f t="shared" si="4"/>
        <v>5</v>
      </c>
      <c r="H28" s="69"/>
    </row>
    <row r="29" spans="1:8" ht="18" customHeight="1" x14ac:dyDescent="0.2">
      <c r="A29" s="52" t="s">
        <v>78</v>
      </c>
      <c r="B29" s="53">
        <v>0</v>
      </c>
      <c r="C29" s="54">
        <v>50</v>
      </c>
      <c r="D29" s="55"/>
      <c r="E29" s="62">
        <f>B29*C29</f>
        <v>0</v>
      </c>
      <c r="F29" s="18"/>
      <c r="G29" s="69">
        <f t="shared" si="4"/>
        <v>0</v>
      </c>
      <c r="H29" s="69"/>
    </row>
    <row r="30" spans="1:8" ht="18" customHeight="1" x14ac:dyDescent="0.2">
      <c r="A30" s="52" t="s">
        <v>79</v>
      </c>
      <c r="B30" s="54">
        <f>'BOM R2D CatWalk'!AI97</f>
        <v>1.2501493599999998</v>
      </c>
      <c r="C30" s="54">
        <v>1250</v>
      </c>
      <c r="D30" s="55"/>
      <c r="E30" s="62">
        <f>B30*C30</f>
        <v>1562.6866999999997</v>
      </c>
      <c r="F30" s="63" t="s">
        <v>133</v>
      </c>
      <c r="G30" s="69">
        <f t="shared" si="4"/>
        <v>58.309205223880589</v>
      </c>
      <c r="H30" s="69"/>
    </row>
    <row r="31" spans="1:8" ht="18" customHeight="1" x14ac:dyDescent="0.2">
      <c r="A31" s="52" t="s">
        <v>123</v>
      </c>
      <c r="B31" s="54">
        <f>15/60</f>
        <v>0.25</v>
      </c>
      <c r="C31" s="54">
        <v>250</v>
      </c>
      <c r="D31" s="55"/>
      <c r="E31" s="45">
        <f>B31*C31</f>
        <v>62.5</v>
      </c>
      <c r="F31" s="63"/>
      <c r="G31" s="69">
        <f t="shared" si="4"/>
        <v>2.3320895522388061</v>
      </c>
      <c r="H31" s="69"/>
    </row>
    <row r="32" spans="1:8" ht="18" customHeight="1" x14ac:dyDescent="0.2">
      <c r="A32" s="52" t="s">
        <v>135</v>
      </c>
      <c r="B32" s="54"/>
      <c r="C32" s="54">
        <v>5</v>
      </c>
      <c r="D32" s="55"/>
      <c r="E32" s="45">
        <f>C32*F9</f>
        <v>134</v>
      </c>
      <c r="F32" s="63"/>
      <c r="G32" s="69">
        <f t="shared" si="4"/>
        <v>5</v>
      </c>
      <c r="H32" s="69"/>
    </row>
    <row r="33" spans="1:13" ht="19.5" customHeight="1" x14ac:dyDescent="0.2">
      <c r="A33" s="47" t="s">
        <v>152</v>
      </c>
      <c r="B33" s="64"/>
      <c r="C33" s="65"/>
      <c r="D33" s="66"/>
      <c r="E33" s="67">
        <f>SUM(E21:E32)</f>
        <v>2807.9474462017615</v>
      </c>
      <c r="F33" s="18"/>
      <c r="G33" s="69">
        <f t="shared" si="4"/>
        <v>104.77415844036423</v>
      </c>
      <c r="H33" s="69"/>
    </row>
    <row r="34" spans="1:13" ht="22.5" customHeight="1" x14ac:dyDescent="0.2">
      <c r="A34" s="675" t="s">
        <v>80</v>
      </c>
      <c r="B34" s="676"/>
      <c r="C34" s="677"/>
      <c r="D34" s="315"/>
      <c r="E34" s="154">
        <f>E18+E33</f>
        <v>5409.160966521762</v>
      </c>
      <c r="F34" s="68"/>
      <c r="G34" s="69"/>
      <c r="H34" s="69"/>
    </row>
    <row r="35" spans="1:13" x14ac:dyDescent="0.2">
      <c r="A35" s="83" t="s">
        <v>126</v>
      </c>
      <c r="B35" s="83"/>
      <c r="C35" s="318"/>
      <c r="D35" s="156">
        <v>0.1</v>
      </c>
      <c r="E35" s="155">
        <f>E34*D35</f>
        <v>540.91609665217618</v>
      </c>
      <c r="F35" s="70"/>
      <c r="G35" s="69">
        <f t="shared" si="4"/>
        <v>20.18343644224538</v>
      </c>
      <c r="H35" s="69"/>
    </row>
    <row r="36" spans="1:13" x14ac:dyDescent="0.2">
      <c r="A36" s="83" t="s">
        <v>127</v>
      </c>
      <c r="B36" s="83"/>
      <c r="C36" s="318"/>
      <c r="D36" s="318"/>
      <c r="E36" s="155">
        <f>SUM(E34:E35)</f>
        <v>5950.0770631739379</v>
      </c>
      <c r="F36" s="70"/>
      <c r="G36" s="69">
        <f>E36/F9</f>
        <v>222.01780086469915</v>
      </c>
      <c r="H36" s="69"/>
      <c r="I36" s="69">
        <f>E36/F8</f>
        <v>200.56301046649551</v>
      </c>
    </row>
    <row r="39" spans="1:13" ht="12.75" customHeight="1" thickBot="1" x14ac:dyDescent="0.25">
      <c r="F39" s="11" t="s">
        <v>81</v>
      </c>
      <c r="G39" s="44"/>
      <c r="H39" s="44"/>
    </row>
    <row r="40" spans="1:13" ht="12.75" customHeight="1" x14ac:dyDescent="0.2">
      <c r="A40" s="678" t="s">
        <v>82</v>
      </c>
      <c r="B40" s="679"/>
      <c r="C40" s="679"/>
      <c r="D40" s="153"/>
      <c r="E40" s="71" t="s">
        <v>83</v>
      </c>
      <c r="F40" s="11" t="s">
        <v>81</v>
      </c>
      <c r="G40" s="44"/>
      <c r="H40" s="44"/>
    </row>
    <row r="41" spans="1:13" x14ac:dyDescent="0.2">
      <c r="A41" s="654" t="s">
        <v>134</v>
      </c>
      <c r="B41" s="655"/>
      <c r="C41" s="655"/>
      <c r="D41" s="316"/>
      <c r="E41" s="72"/>
    </row>
    <row r="42" spans="1:13" ht="13.5" thickBot="1" x14ac:dyDescent="0.25">
      <c r="A42" s="656" t="s">
        <v>84</v>
      </c>
      <c r="B42" s="657"/>
      <c r="C42" s="657"/>
      <c r="D42" s="314"/>
      <c r="E42" s="261" t="s">
        <v>85</v>
      </c>
    </row>
    <row r="43" spans="1:13" ht="20.100000000000001" customHeight="1" x14ac:dyDescent="0.2">
      <c r="G43" s="44"/>
      <c r="H43" s="44"/>
    </row>
    <row r="44" spans="1:13" s="44" customFormat="1" ht="18" customHeight="1" thickBot="1" x14ac:dyDescent="0.25">
      <c r="A44" s="10"/>
      <c r="B44" s="10"/>
      <c r="C44" s="10"/>
      <c r="D44" s="10"/>
      <c r="E44" s="70"/>
      <c r="F44" s="14"/>
      <c r="G44" s="10"/>
      <c r="H44" s="10"/>
      <c r="I44" s="10"/>
    </row>
    <row r="45" spans="1:13" s="44" customFormat="1" ht="15.75" thickBot="1" x14ac:dyDescent="0.25">
      <c r="A45" s="658" t="s">
        <v>161</v>
      </c>
      <c r="B45" s="659"/>
      <c r="C45" s="659"/>
      <c r="D45" s="660"/>
      <c r="E45" s="70"/>
      <c r="F45" s="14"/>
      <c r="G45" s="10"/>
      <c r="H45" s="10"/>
      <c r="I45" s="10"/>
    </row>
    <row r="46" spans="1:13" s="44" customFormat="1" ht="19.5" customHeight="1" thickBot="1" x14ac:dyDescent="0.25">
      <c r="A46" s="282" t="s">
        <v>125</v>
      </c>
      <c r="B46" s="283" t="s">
        <v>159</v>
      </c>
      <c r="C46" s="283" t="s">
        <v>155</v>
      </c>
      <c r="D46" s="284" t="s">
        <v>156</v>
      </c>
      <c r="E46" s="70"/>
      <c r="F46" s="14"/>
      <c r="G46" s="10"/>
      <c r="H46" s="10"/>
      <c r="I46" s="10"/>
      <c r="J46" s="10"/>
      <c r="K46" s="10"/>
      <c r="L46" s="10"/>
      <c r="M46" s="10"/>
    </row>
    <row r="47" spans="1:13" s="44" customFormat="1" ht="15.75" x14ac:dyDescent="0.2">
      <c r="A47" s="288" t="s">
        <v>124</v>
      </c>
      <c r="B47" s="289">
        <v>0</v>
      </c>
      <c r="C47" s="290">
        <v>100</v>
      </c>
      <c r="D47" s="291">
        <f>B47*C47</f>
        <v>0</v>
      </c>
      <c r="E47" s="70"/>
      <c r="F47" s="14"/>
      <c r="G47" s="10"/>
      <c r="H47" s="10"/>
      <c r="I47" s="10"/>
      <c r="J47" s="10"/>
      <c r="K47" s="10"/>
      <c r="L47" s="10"/>
      <c r="M47" s="10"/>
    </row>
    <row r="48" spans="1:13" s="44" customFormat="1" ht="15.75" x14ac:dyDescent="0.2">
      <c r="A48" s="274" t="s">
        <v>157</v>
      </c>
      <c r="B48" s="80">
        <v>0</v>
      </c>
      <c r="C48" s="81">
        <v>100</v>
      </c>
      <c r="D48" s="273">
        <f>B48*C48</f>
        <v>0</v>
      </c>
      <c r="E48" s="70"/>
      <c r="F48" s="14"/>
      <c r="G48" s="10"/>
      <c r="H48" s="10"/>
      <c r="I48" s="10"/>
      <c r="J48" s="10"/>
      <c r="K48" s="10"/>
      <c r="L48" s="10"/>
      <c r="M48" s="10"/>
    </row>
    <row r="49" spans="1:13" s="44" customFormat="1" ht="15.75" x14ac:dyDescent="0.2">
      <c r="A49" s="274" t="s">
        <v>162</v>
      </c>
      <c r="B49" s="80">
        <f>SUM(B47:B48)</f>
        <v>0</v>
      </c>
      <c r="C49" s="81">
        <v>4.5</v>
      </c>
      <c r="D49" s="273">
        <f>B49*C49</f>
        <v>0</v>
      </c>
      <c r="E49" s="70"/>
      <c r="F49" s="14"/>
      <c r="G49" s="10"/>
      <c r="H49" s="10"/>
      <c r="I49" s="10"/>
      <c r="J49" s="10"/>
      <c r="K49" s="10"/>
      <c r="L49" s="10"/>
      <c r="M49" s="10"/>
    </row>
    <row r="50" spans="1:13" s="44" customFormat="1" ht="15.75" x14ac:dyDescent="0.2">
      <c r="A50" s="292" t="s">
        <v>163</v>
      </c>
      <c r="B50" s="286"/>
      <c r="C50" s="287"/>
      <c r="D50" s="293">
        <f>SUM(D47:D49)</f>
        <v>0</v>
      </c>
      <c r="E50" s="70"/>
      <c r="F50" s="14"/>
      <c r="G50" s="10"/>
      <c r="H50" s="10"/>
      <c r="I50" s="10"/>
      <c r="J50" s="10"/>
      <c r="K50" s="10"/>
      <c r="L50" s="10"/>
      <c r="M50" s="10"/>
    </row>
    <row r="51" spans="1:13" s="44" customFormat="1" ht="15.75" x14ac:dyDescent="0.2">
      <c r="A51" s="274" t="s">
        <v>158</v>
      </c>
      <c r="B51" s="80">
        <v>0</v>
      </c>
      <c r="C51" s="81">
        <f>75000/30</f>
        <v>2500</v>
      </c>
      <c r="D51" s="273">
        <f>B51*C51</f>
        <v>0</v>
      </c>
      <c r="E51" s="70"/>
      <c r="F51" s="14"/>
      <c r="G51" s="10"/>
      <c r="H51" s="10"/>
      <c r="I51" s="10"/>
      <c r="J51" s="10"/>
      <c r="K51" s="10"/>
      <c r="L51" s="10"/>
      <c r="M51" s="10"/>
    </row>
    <row r="52" spans="1:13" s="44" customFormat="1" ht="16.5" thickBot="1" x14ac:dyDescent="0.25">
      <c r="A52" s="275" t="s">
        <v>126</v>
      </c>
      <c r="B52" s="276"/>
      <c r="C52" s="285">
        <v>7.0000000000000007E-2</v>
      </c>
      <c r="D52" s="277">
        <f>(D50+D51)*C52</f>
        <v>0</v>
      </c>
      <c r="E52" s="70"/>
      <c r="F52" s="14"/>
      <c r="G52" s="10"/>
      <c r="H52" s="10"/>
      <c r="I52" s="10"/>
      <c r="J52" s="10"/>
      <c r="K52" s="10"/>
      <c r="L52" s="10"/>
      <c r="M52" s="10"/>
    </row>
    <row r="53" spans="1:13" s="265" customFormat="1" ht="16.5" thickBot="1" x14ac:dyDescent="0.25">
      <c r="A53" s="278" t="s">
        <v>160</v>
      </c>
      <c r="B53" s="279"/>
      <c r="C53" s="280"/>
      <c r="D53" s="281">
        <f>SUM(D50:D52)</f>
        <v>0</v>
      </c>
      <c r="E53" s="262"/>
      <c r="F53" s="263"/>
      <c r="G53" s="264"/>
      <c r="H53" s="264"/>
      <c r="I53" s="264"/>
      <c r="J53" s="264"/>
      <c r="K53" s="264"/>
      <c r="L53" s="264"/>
      <c r="M53" s="264"/>
    </row>
    <row r="54" spans="1:13" s="44" customFormat="1" ht="25.5" customHeight="1" x14ac:dyDescent="0.2">
      <c r="A54" s="10"/>
      <c r="B54" s="10"/>
      <c r="C54" s="10"/>
      <c r="D54" s="10"/>
      <c r="E54" s="70"/>
      <c r="F54" s="14"/>
      <c r="G54" s="10"/>
      <c r="H54" s="10"/>
      <c r="I54" s="10"/>
      <c r="J54" s="10"/>
      <c r="K54" s="10"/>
      <c r="L54" s="10"/>
      <c r="M54" s="10"/>
    </row>
  </sheetData>
  <sheetProtection selectLockedCells="1" selectUnlockedCells="1"/>
  <mergeCells count="13">
    <mergeCell ref="A17:C17"/>
    <mergeCell ref="A45:D45"/>
    <mergeCell ref="A1:E1"/>
    <mergeCell ref="A5:E5"/>
    <mergeCell ref="A6:E6"/>
    <mergeCell ref="B14:E14"/>
    <mergeCell ref="A15:E15"/>
    <mergeCell ref="A18:C18"/>
    <mergeCell ref="A19:E19"/>
    <mergeCell ref="A34:C34"/>
    <mergeCell ref="A40:C40"/>
    <mergeCell ref="A41:C41"/>
    <mergeCell ref="A42:C4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C11B-EF62-4C3E-88E3-ACA96A2DC49D}">
  <sheetPr>
    <pageSetUpPr fitToPage="1"/>
  </sheetPr>
  <dimension ref="A1:S54"/>
  <sheetViews>
    <sheetView topLeftCell="A7" zoomScale="85" zoomScaleNormal="85" zoomScaleSheetLayoutView="100" workbookViewId="0">
      <selection activeCell="E33" sqref="E33"/>
    </sheetView>
  </sheetViews>
  <sheetFormatPr defaultRowHeight="12.75" x14ac:dyDescent="0.2"/>
  <cols>
    <col min="1" max="1" width="38.42578125" style="10" customWidth="1"/>
    <col min="2" max="2" width="31.5703125" style="10" bestFit="1" customWidth="1"/>
    <col min="3" max="3" width="17.42578125" style="10" bestFit="1" customWidth="1"/>
    <col min="4" max="4" width="20" style="10" bestFit="1" customWidth="1"/>
    <col min="5" max="5" width="18.5703125" style="70" bestFit="1" customWidth="1"/>
    <col min="6" max="6" width="21.140625" style="14" customWidth="1"/>
    <col min="7" max="8" width="10.140625" style="10" customWidth="1"/>
    <col min="9" max="9" width="9.28515625" style="10" bestFit="1" customWidth="1"/>
    <col min="10" max="10" width="12.140625" style="10" bestFit="1" customWidth="1"/>
    <col min="11" max="11" width="14.140625" style="10" bestFit="1" customWidth="1"/>
    <col min="12" max="12" width="11.28515625" style="10" bestFit="1" customWidth="1"/>
    <col min="13" max="13" width="16" style="10" bestFit="1" customWidth="1"/>
    <col min="14" max="14" width="29.85546875" style="10" hidden="1" customWidth="1"/>
    <col min="15" max="15" width="17.140625" style="10" hidden="1" customWidth="1"/>
    <col min="16" max="16" width="11.140625" style="10" bestFit="1" customWidth="1"/>
    <col min="17" max="17" width="15.140625" style="10" bestFit="1" customWidth="1"/>
    <col min="18" max="18" width="10.42578125" style="10" bestFit="1" customWidth="1"/>
    <col min="19" max="19" width="13.140625" style="10" bestFit="1" customWidth="1"/>
    <col min="20" max="20" width="23.85546875" style="10" customWidth="1"/>
    <col min="21" max="203" width="9.140625" style="10"/>
    <col min="204" max="204" width="37.42578125" style="10" customWidth="1"/>
    <col min="205" max="205" width="13.5703125" style="10" customWidth="1"/>
    <col min="206" max="206" width="14.42578125" style="10" customWidth="1"/>
    <col min="207" max="207" width="8.42578125" style="10" bestFit="1" customWidth="1"/>
    <col min="208" max="208" width="16.85546875" style="10" customWidth="1"/>
    <col min="209" max="209" width="9.140625" style="10"/>
    <col min="210" max="210" width="11.28515625" style="10" customWidth="1"/>
    <col min="211" max="459" width="9.140625" style="10"/>
    <col min="460" max="460" width="37.42578125" style="10" customWidth="1"/>
    <col min="461" max="461" width="13.5703125" style="10" customWidth="1"/>
    <col min="462" max="462" width="14.42578125" style="10" customWidth="1"/>
    <col min="463" max="463" width="8.42578125" style="10" bestFit="1" customWidth="1"/>
    <col min="464" max="464" width="16.85546875" style="10" customWidth="1"/>
    <col min="465" max="465" width="9.140625" style="10"/>
    <col min="466" max="466" width="11.28515625" style="10" customWidth="1"/>
    <col min="467" max="715" width="9.140625" style="10"/>
    <col min="716" max="716" width="37.42578125" style="10" customWidth="1"/>
    <col min="717" max="717" width="13.5703125" style="10" customWidth="1"/>
    <col min="718" max="718" width="14.42578125" style="10" customWidth="1"/>
    <col min="719" max="719" width="8.42578125" style="10" bestFit="1" customWidth="1"/>
    <col min="720" max="720" width="16.85546875" style="10" customWidth="1"/>
    <col min="721" max="721" width="9.140625" style="10"/>
    <col min="722" max="722" width="11.28515625" style="10" customWidth="1"/>
    <col min="723" max="971" width="9.140625" style="10"/>
    <col min="972" max="972" width="37.42578125" style="10" customWidth="1"/>
    <col min="973" max="973" width="13.5703125" style="10" customWidth="1"/>
    <col min="974" max="974" width="14.42578125" style="10" customWidth="1"/>
    <col min="975" max="975" width="8.42578125" style="10" bestFit="1" customWidth="1"/>
    <col min="976" max="976" width="16.85546875" style="10" customWidth="1"/>
    <col min="977" max="977" width="9.140625" style="10"/>
    <col min="978" max="978" width="11.28515625" style="10" customWidth="1"/>
    <col min="979" max="1227" width="9.140625" style="10"/>
    <col min="1228" max="1228" width="37.42578125" style="10" customWidth="1"/>
    <col min="1229" max="1229" width="13.5703125" style="10" customWidth="1"/>
    <col min="1230" max="1230" width="14.42578125" style="10" customWidth="1"/>
    <col min="1231" max="1231" width="8.42578125" style="10" bestFit="1" customWidth="1"/>
    <col min="1232" max="1232" width="16.85546875" style="10" customWidth="1"/>
    <col min="1233" max="1233" width="9.140625" style="10"/>
    <col min="1234" max="1234" width="11.28515625" style="10" customWidth="1"/>
    <col min="1235" max="1483" width="9.140625" style="10"/>
    <col min="1484" max="1484" width="37.42578125" style="10" customWidth="1"/>
    <col min="1485" max="1485" width="13.5703125" style="10" customWidth="1"/>
    <col min="1486" max="1486" width="14.42578125" style="10" customWidth="1"/>
    <col min="1487" max="1487" width="8.42578125" style="10" bestFit="1" customWidth="1"/>
    <col min="1488" max="1488" width="16.85546875" style="10" customWidth="1"/>
    <col min="1489" max="1489" width="9.140625" style="10"/>
    <col min="1490" max="1490" width="11.28515625" style="10" customWidth="1"/>
    <col min="1491" max="1739" width="9.140625" style="10"/>
    <col min="1740" max="1740" width="37.42578125" style="10" customWidth="1"/>
    <col min="1741" max="1741" width="13.5703125" style="10" customWidth="1"/>
    <col min="1742" max="1742" width="14.42578125" style="10" customWidth="1"/>
    <col min="1743" max="1743" width="8.42578125" style="10" bestFit="1" customWidth="1"/>
    <col min="1744" max="1744" width="16.85546875" style="10" customWidth="1"/>
    <col min="1745" max="1745" width="9.140625" style="10"/>
    <col min="1746" max="1746" width="11.28515625" style="10" customWidth="1"/>
    <col min="1747" max="1995" width="9.140625" style="10"/>
    <col min="1996" max="1996" width="37.42578125" style="10" customWidth="1"/>
    <col min="1997" max="1997" width="13.5703125" style="10" customWidth="1"/>
    <col min="1998" max="1998" width="14.42578125" style="10" customWidth="1"/>
    <col min="1999" max="1999" width="8.42578125" style="10" bestFit="1" customWidth="1"/>
    <col min="2000" max="2000" width="16.85546875" style="10" customWidth="1"/>
    <col min="2001" max="2001" width="9.140625" style="10"/>
    <col min="2002" max="2002" width="11.28515625" style="10" customWidth="1"/>
    <col min="2003" max="2251" width="9.140625" style="10"/>
    <col min="2252" max="2252" width="37.42578125" style="10" customWidth="1"/>
    <col min="2253" max="2253" width="13.5703125" style="10" customWidth="1"/>
    <col min="2254" max="2254" width="14.42578125" style="10" customWidth="1"/>
    <col min="2255" max="2255" width="8.42578125" style="10" bestFit="1" customWidth="1"/>
    <col min="2256" max="2256" width="16.85546875" style="10" customWidth="1"/>
    <col min="2257" max="2257" width="9.140625" style="10"/>
    <col min="2258" max="2258" width="11.28515625" style="10" customWidth="1"/>
    <col min="2259" max="2507" width="9.140625" style="10"/>
    <col min="2508" max="2508" width="37.42578125" style="10" customWidth="1"/>
    <col min="2509" max="2509" width="13.5703125" style="10" customWidth="1"/>
    <col min="2510" max="2510" width="14.42578125" style="10" customWidth="1"/>
    <col min="2511" max="2511" width="8.42578125" style="10" bestFit="1" customWidth="1"/>
    <col min="2512" max="2512" width="16.85546875" style="10" customWidth="1"/>
    <col min="2513" max="2513" width="9.140625" style="10"/>
    <col min="2514" max="2514" width="11.28515625" style="10" customWidth="1"/>
    <col min="2515" max="2763" width="9.140625" style="10"/>
    <col min="2764" max="2764" width="37.42578125" style="10" customWidth="1"/>
    <col min="2765" max="2765" width="13.5703125" style="10" customWidth="1"/>
    <col min="2766" max="2766" width="14.42578125" style="10" customWidth="1"/>
    <col min="2767" max="2767" width="8.42578125" style="10" bestFit="1" customWidth="1"/>
    <col min="2768" max="2768" width="16.85546875" style="10" customWidth="1"/>
    <col min="2769" max="2769" width="9.140625" style="10"/>
    <col min="2770" max="2770" width="11.28515625" style="10" customWidth="1"/>
    <col min="2771" max="3019" width="9.140625" style="10"/>
    <col min="3020" max="3020" width="37.42578125" style="10" customWidth="1"/>
    <col min="3021" max="3021" width="13.5703125" style="10" customWidth="1"/>
    <col min="3022" max="3022" width="14.42578125" style="10" customWidth="1"/>
    <col min="3023" max="3023" width="8.42578125" style="10" bestFit="1" customWidth="1"/>
    <col min="3024" max="3024" width="16.85546875" style="10" customWidth="1"/>
    <col min="3025" max="3025" width="9.140625" style="10"/>
    <col min="3026" max="3026" width="11.28515625" style="10" customWidth="1"/>
    <col min="3027" max="3275" width="9.140625" style="10"/>
    <col min="3276" max="3276" width="37.42578125" style="10" customWidth="1"/>
    <col min="3277" max="3277" width="13.5703125" style="10" customWidth="1"/>
    <col min="3278" max="3278" width="14.42578125" style="10" customWidth="1"/>
    <col min="3279" max="3279" width="8.42578125" style="10" bestFit="1" customWidth="1"/>
    <col min="3280" max="3280" width="16.85546875" style="10" customWidth="1"/>
    <col min="3281" max="3281" width="9.140625" style="10"/>
    <col min="3282" max="3282" width="11.28515625" style="10" customWidth="1"/>
    <col min="3283" max="3531" width="9.140625" style="10"/>
    <col min="3532" max="3532" width="37.42578125" style="10" customWidth="1"/>
    <col min="3533" max="3533" width="13.5703125" style="10" customWidth="1"/>
    <col min="3534" max="3534" width="14.42578125" style="10" customWidth="1"/>
    <col min="3535" max="3535" width="8.42578125" style="10" bestFit="1" customWidth="1"/>
    <col min="3536" max="3536" width="16.85546875" style="10" customWidth="1"/>
    <col min="3537" max="3537" width="9.140625" style="10"/>
    <col min="3538" max="3538" width="11.28515625" style="10" customWidth="1"/>
    <col min="3539" max="3787" width="9.140625" style="10"/>
    <col min="3788" max="3788" width="37.42578125" style="10" customWidth="1"/>
    <col min="3789" max="3789" width="13.5703125" style="10" customWidth="1"/>
    <col min="3790" max="3790" width="14.42578125" style="10" customWidth="1"/>
    <col min="3791" max="3791" width="8.42578125" style="10" bestFit="1" customWidth="1"/>
    <col min="3792" max="3792" width="16.85546875" style="10" customWidth="1"/>
    <col min="3793" max="3793" width="9.140625" style="10"/>
    <col min="3794" max="3794" width="11.28515625" style="10" customWidth="1"/>
    <col min="3795" max="4043" width="9.140625" style="10"/>
    <col min="4044" max="4044" width="37.42578125" style="10" customWidth="1"/>
    <col min="4045" max="4045" width="13.5703125" style="10" customWidth="1"/>
    <col min="4046" max="4046" width="14.42578125" style="10" customWidth="1"/>
    <col min="4047" max="4047" width="8.42578125" style="10" bestFit="1" customWidth="1"/>
    <col min="4048" max="4048" width="16.85546875" style="10" customWidth="1"/>
    <col min="4049" max="4049" width="9.140625" style="10"/>
    <col min="4050" max="4050" width="11.28515625" style="10" customWidth="1"/>
    <col min="4051" max="4299" width="9.140625" style="10"/>
    <col min="4300" max="4300" width="37.42578125" style="10" customWidth="1"/>
    <col min="4301" max="4301" width="13.5703125" style="10" customWidth="1"/>
    <col min="4302" max="4302" width="14.42578125" style="10" customWidth="1"/>
    <col min="4303" max="4303" width="8.42578125" style="10" bestFit="1" customWidth="1"/>
    <col min="4304" max="4304" width="16.85546875" style="10" customWidth="1"/>
    <col min="4305" max="4305" width="9.140625" style="10"/>
    <col min="4306" max="4306" width="11.28515625" style="10" customWidth="1"/>
    <col min="4307" max="4555" width="9.140625" style="10"/>
    <col min="4556" max="4556" width="37.42578125" style="10" customWidth="1"/>
    <col min="4557" max="4557" width="13.5703125" style="10" customWidth="1"/>
    <col min="4558" max="4558" width="14.42578125" style="10" customWidth="1"/>
    <col min="4559" max="4559" width="8.42578125" style="10" bestFit="1" customWidth="1"/>
    <col min="4560" max="4560" width="16.85546875" style="10" customWidth="1"/>
    <col min="4561" max="4561" width="9.140625" style="10"/>
    <col min="4562" max="4562" width="11.28515625" style="10" customWidth="1"/>
    <col min="4563" max="4811" width="9.140625" style="10"/>
    <col min="4812" max="4812" width="37.42578125" style="10" customWidth="1"/>
    <col min="4813" max="4813" width="13.5703125" style="10" customWidth="1"/>
    <col min="4814" max="4814" width="14.42578125" style="10" customWidth="1"/>
    <col min="4815" max="4815" width="8.42578125" style="10" bestFit="1" customWidth="1"/>
    <col min="4816" max="4816" width="16.85546875" style="10" customWidth="1"/>
    <col min="4817" max="4817" width="9.140625" style="10"/>
    <col min="4818" max="4818" width="11.28515625" style="10" customWidth="1"/>
    <col min="4819" max="5067" width="9.140625" style="10"/>
    <col min="5068" max="5068" width="37.42578125" style="10" customWidth="1"/>
    <col min="5069" max="5069" width="13.5703125" style="10" customWidth="1"/>
    <col min="5070" max="5070" width="14.42578125" style="10" customWidth="1"/>
    <col min="5071" max="5071" width="8.42578125" style="10" bestFit="1" customWidth="1"/>
    <col min="5072" max="5072" width="16.85546875" style="10" customWidth="1"/>
    <col min="5073" max="5073" width="9.140625" style="10"/>
    <col min="5074" max="5074" width="11.28515625" style="10" customWidth="1"/>
    <col min="5075" max="5323" width="9.140625" style="10"/>
    <col min="5324" max="5324" width="37.42578125" style="10" customWidth="1"/>
    <col min="5325" max="5325" width="13.5703125" style="10" customWidth="1"/>
    <col min="5326" max="5326" width="14.42578125" style="10" customWidth="1"/>
    <col min="5327" max="5327" width="8.42578125" style="10" bestFit="1" customWidth="1"/>
    <col min="5328" max="5328" width="16.85546875" style="10" customWidth="1"/>
    <col min="5329" max="5329" width="9.140625" style="10"/>
    <col min="5330" max="5330" width="11.28515625" style="10" customWidth="1"/>
    <col min="5331" max="5579" width="9.140625" style="10"/>
    <col min="5580" max="5580" width="37.42578125" style="10" customWidth="1"/>
    <col min="5581" max="5581" width="13.5703125" style="10" customWidth="1"/>
    <col min="5582" max="5582" width="14.42578125" style="10" customWidth="1"/>
    <col min="5583" max="5583" width="8.42578125" style="10" bestFit="1" customWidth="1"/>
    <col min="5584" max="5584" width="16.85546875" style="10" customWidth="1"/>
    <col min="5585" max="5585" width="9.140625" style="10"/>
    <col min="5586" max="5586" width="11.28515625" style="10" customWidth="1"/>
    <col min="5587" max="5835" width="9.140625" style="10"/>
    <col min="5836" max="5836" width="37.42578125" style="10" customWidth="1"/>
    <col min="5837" max="5837" width="13.5703125" style="10" customWidth="1"/>
    <col min="5838" max="5838" width="14.42578125" style="10" customWidth="1"/>
    <col min="5839" max="5839" width="8.42578125" style="10" bestFit="1" customWidth="1"/>
    <col min="5840" max="5840" width="16.85546875" style="10" customWidth="1"/>
    <col min="5841" max="5841" width="9.140625" style="10"/>
    <col min="5842" max="5842" width="11.28515625" style="10" customWidth="1"/>
    <col min="5843" max="6091" width="9.140625" style="10"/>
    <col min="6092" max="6092" width="37.42578125" style="10" customWidth="1"/>
    <col min="6093" max="6093" width="13.5703125" style="10" customWidth="1"/>
    <col min="6094" max="6094" width="14.42578125" style="10" customWidth="1"/>
    <col min="6095" max="6095" width="8.42578125" style="10" bestFit="1" customWidth="1"/>
    <col min="6096" max="6096" width="16.85546875" style="10" customWidth="1"/>
    <col min="6097" max="6097" width="9.140625" style="10"/>
    <col min="6098" max="6098" width="11.28515625" style="10" customWidth="1"/>
    <col min="6099" max="6347" width="9.140625" style="10"/>
    <col min="6348" max="6348" width="37.42578125" style="10" customWidth="1"/>
    <col min="6349" max="6349" width="13.5703125" style="10" customWidth="1"/>
    <col min="6350" max="6350" width="14.42578125" style="10" customWidth="1"/>
    <col min="6351" max="6351" width="8.42578125" style="10" bestFit="1" customWidth="1"/>
    <col min="6352" max="6352" width="16.85546875" style="10" customWidth="1"/>
    <col min="6353" max="6353" width="9.140625" style="10"/>
    <col min="6354" max="6354" width="11.28515625" style="10" customWidth="1"/>
    <col min="6355" max="6603" width="9.140625" style="10"/>
    <col min="6604" max="6604" width="37.42578125" style="10" customWidth="1"/>
    <col min="6605" max="6605" width="13.5703125" style="10" customWidth="1"/>
    <col min="6606" max="6606" width="14.42578125" style="10" customWidth="1"/>
    <col min="6607" max="6607" width="8.42578125" style="10" bestFit="1" customWidth="1"/>
    <col min="6608" max="6608" width="16.85546875" style="10" customWidth="1"/>
    <col min="6609" max="6609" width="9.140625" style="10"/>
    <col min="6610" max="6610" width="11.28515625" style="10" customWidth="1"/>
    <col min="6611" max="6859" width="9.140625" style="10"/>
    <col min="6860" max="6860" width="37.42578125" style="10" customWidth="1"/>
    <col min="6861" max="6861" width="13.5703125" style="10" customWidth="1"/>
    <col min="6862" max="6862" width="14.42578125" style="10" customWidth="1"/>
    <col min="6863" max="6863" width="8.42578125" style="10" bestFit="1" customWidth="1"/>
    <col min="6864" max="6864" width="16.85546875" style="10" customWidth="1"/>
    <col min="6865" max="6865" width="9.140625" style="10"/>
    <col min="6866" max="6866" width="11.28515625" style="10" customWidth="1"/>
    <col min="6867" max="7115" width="9.140625" style="10"/>
    <col min="7116" max="7116" width="37.42578125" style="10" customWidth="1"/>
    <col min="7117" max="7117" width="13.5703125" style="10" customWidth="1"/>
    <col min="7118" max="7118" width="14.42578125" style="10" customWidth="1"/>
    <col min="7119" max="7119" width="8.42578125" style="10" bestFit="1" customWidth="1"/>
    <col min="7120" max="7120" width="16.85546875" style="10" customWidth="1"/>
    <col min="7121" max="7121" width="9.140625" style="10"/>
    <col min="7122" max="7122" width="11.28515625" style="10" customWidth="1"/>
    <col min="7123" max="7371" width="9.140625" style="10"/>
    <col min="7372" max="7372" width="37.42578125" style="10" customWidth="1"/>
    <col min="7373" max="7373" width="13.5703125" style="10" customWidth="1"/>
    <col min="7374" max="7374" width="14.42578125" style="10" customWidth="1"/>
    <col min="7375" max="7375" width="8.42578125" style="10" bestFit="1" customWidth="1"/>
    <col min="7376" max="7376" width="16.85546875" style="10" customWidth="1"/>
    <col min="7377" max="7377" width="9.140625" style="10"/>
    <col min="7378" max="7378" width="11.28515625" style="10" customWidth="1"/>
    <col min="7379" max="7627" width="9.140625" style="10"/>
    <col min="7628" max="7628" width="37.42578125" style="10" customWidth="1"/>
    <col min="7629" max="7629" width="13.5703125" style="10" customWidth="1"/>
    <col min="7630" max="7630" width="14.42578125" style="10" customWidth="1"/>
    <col min="7631" max="7631" width="8.42578125" style="10" bestFit="1" customWidth="1"/>
    <col min="7632" max="7632" width="16.85546875" style="10" customWidth="1"/>
    <col min="7633" max="7633" width="9.140625" style="10"/>
    <col min="7634" max="7634" width="11.28515625" style="10" customWidth="1"/>
    <col min="7635" max="7883" width="9.140625" style="10"/>
    <col min="7884" max="7884" width="37.42578125" style="10" customWidth="1"/>
    <col min="7885" max="7885" width="13.5703125" style="10" customWidth="1"/>
    <col min="7886" max="7886" width="14.42578125" style="10" customWidth="1"/>
    <col min="7887" max="7887" width="8.42578125" style="10" bestFit="1" customWidth="1"/>
    <col min="7888" max="7888" width="16.85546875" style="10" customWidth="1"/>
    <col min="7889" max="7889" width="9.140625" style="10"/>
    <col min="7890" max="7890" width="11.28515625" style="10" customWidth="1"/>
    <col min="7891" max="8139" width="9.140625" style="10"/>
    <col min="8140" max="8140" width="37.42578125" style="10" customWidth="1"/>
    <col min="8141" max="8141" width="13.5703125" style="10" customWidth="1"/>
    <col min="8142" max="8142" width="14.42578125" style="10" customWidth="1"/>
    <col min="8143" max="8143" width="8.42578125" style="10" bestFit="1" customWidth="1"/>
    <col min="8144" max="8144" width="16.85546875" style="10" customWidth="1"/>
    <col min="8145" max="8145" width="9.140625" style="10"/>
    <col min="8146" max="8146" width="11.28515625" style="10" customWidth="1"/>
    <col min="8147" max="8395" width="9.140625" style="10"/>
    <col min="8396" max="8396" width="37.42578125" style="10" customWidth="1"/>
    <col min="8397" max="8397" width="13.5703125" style="10" customWidth="1"/>
    <col min="8398" max="8398" width="14.42578125" style="10" customWidth="1"/>
    <col min="8399" max="8399" width="8.42578125" style="10" bestFit="1" customWidth="1"/>
    <col min="8400" max="8400" width="16.85546875" style="10" customWidth="1"/>
    <col min="8401" max="8401" width="9.140625" style="10"/>
    <col min="8402" max="8402" width="11.28515625" style="10" customWidth="1"/>
    <col min="8403" max="8651" width="9.140625" style="10"/>
    <col min="8652" max="8652" width="37.42578125" style="10" customWidth="1"/>
    <col min="8653" max="8653" width="13.5703125" style="10" customWidth="1"/>
    <col min="8654" max="8654" width="14.42578125" style="10" customWidth="1"/>
    <col min="8655" max="8655" width="8.42578125" style="10" bestFit="1" customWidth="1"/>
    <col min="8656" max="8656" width="16.85546875" style="10" customWidth="1"/>
    <col min="8657" max="8657" width="9.140625" style="10"/>
    <col min="8658" max="8658" width="11.28515625" style="10" customWidth="1"/>
    <col min="8659" max="8907" width="9.140625" style="10"/>
    <col min="8908" max="8908" width="37.42578125" style="10" customWidth="1"/>
    <col min="8909" max="8909" width="13.5703125" style="10" customWidth="1"/>
    <col min="8910" max="8910" width="14.42578125" style="10" customWidth="1"/>
    <col min="8911" max="8911" width="8.42578125" style="10" bestFit="1" customWidth="1"/>
    <col min="8912" max="8912" width="16.85546875" style="10" customWidth="1"/>
    <col min="8913" max="8913" width="9.140625" style="10"/>
    <col min="8914" max="8914" width="11.28515625" style="10" customWidth="1"/>
    <col min="8915" max="9163" width="9.140625" style="10"/>
    <col min="9164" max="9164" width="37.42578125" style="10" customWidth="1"/>
    <col min="9165" max="9165" width="13.5703125" style="10" customWidth="1"/>
    <col min="9166" max="9166" width="14.42578125" style="10" customWidth="1"/>
    <col min="9167" max="9167" width="8.42578125" style="10" bestFit="1" customWidth="1"/>
    <col min="9168" max="9168" width="16.85546875" style="10" customWidth="1"/>
    <col min="9169" max="9169" width="9.140625" style="10"/>
    <col min="9170" max="9170" width="11.28515625" style="10" customWidth="1"/>
    <col min="9171" max="9419" width="9.140625" style="10"/>
    <col min="9420" max="9420" width="37.42578125" style="10" customWidth="1"/>
    <col min="9421" max="9421" width="13.5703125" style="10" customWidth="1"/>
    <col min="9422" max="9422" width="14.42578125" style="10" customWidth="1"/>
    <col min="9423" max="9423" width="8.42578125" style="10" bestFit="1" customWidth="1"/>
    <col min="9424" max="9424" width="16.85546875" style="10" customWidth="1"/>
    <col min="9425" max="9425" width="9.140625" style="10"/>
    <col min="9426" max="9426" width="11.28515625" style="10" customWidth="1"/>
    <col min="9427" max="9675" width="9.140625" style="10"/>
    <col min="9676" max="9676" width="37.42578125" style="10" customWidth="1"/>
    <col min="9677" max="9677" width="13.5703125" style="10" customWidth="1"/>
    <col min="9678" max="9678" width="14.42578125" style="10" customWidth="1"/>
    <col min="9679" max="9679" width="8.42578125" style="10" bestFit="1" customWidth="1"/>
    <col min="9680" max="9680" width="16.85546875" style="10" customWidth="1"/>
    <col min="9681" max="9681" width="9.140625" style="10"/>
    <col min="9682" max="9682" width="11.28515625" style="10" customWidth="1"/>
    <col min="9683" max="9931" width="9.140625" style="10"/>
    <col min="9932" max="9932" width="37.42578125" style="10" customWidth="1"/>
    <col min="9933" max="9933" width="13.5703125" style="10" customWidth="1"/>
    <col min="9934" max="9934" width="14.42578125" style="10" customWidth="1"/>
    <col min="9935" max="9935" width="8.42578125" style="10" bestFit="1" customWidth="1"/>
    <col min="9936" max="9936" width="16.85546875" style="10" customWidth="1"/>
    <col min="9937" max="9937" width="9.140625" style="10"/>
    <col min="9938" max="9938" width="11.28515625" style="10" customWidth="1"/>
    <col min="9939" max="10187" width="9.140625" style="10"/>
    <col min="10188" max="10188" width="37.42578125" style="10" customWidth="1"/>
    <col min="10189" max="10189" width="13.5703125" style="10" customWidth="1"/>
    <col min="10190" max="10190" width="14.42578125" style="10" customWidth="1"/>
    <col min="10191" max="10191" width="8.42578125" style="10" bestFit="1" customWidth="1"/>
    <col min="10192" max="10192" width="16.85546875" style="10" customWidth="1"/>
    <col min="10193" max="10193" width="9.140625" style="10"/>
    <col min="10194" max="10194" width="11.28515625" style="10" customWidth="1"/>
    <col min="10195" max="10443" width="9.140625" style="10"/>
    <col min="10444" max="10444" width="37.42578125" style="10" customWidth="1"/>
    <col min="10445" max="10445" width="13.5703125" style="10" customWidth="1"/>
    <col min="10446" max="10446" width="14.42578125" style="10" customWidth="1"/>
    <col min="10447" max="10447" width="8.42578125" style="10" bestFit="1" customWidth="1"/>
    <col min="10448" max="10448" width="16.85546875" style="10" customWidth="1"/>
    <col min="10449" max="10449" width="9.140625" style="10"/>
    <col min="10450" max="10450" width="11.28515625" style="10" customWidth="1"/>
    <col min="10451" max="10699" width="9.140625" style="10"/>
    <col min="10700" max="10700" width="37.42578125" style="10" customWidth="1"/>
    <col min="10701" max="10701" width="13.5703125" style="10" customWidth="1"/>
    <col min="10702" max="10702" width="14.42578125" style="10" customWidth="1"/>
    <col min="10703" max="10703" width="8.42578125" style="10" bestFit="1" customWidth="1"/>
    <col min="10704" max="10704" width="16.85546875" style="10" customWidth="1"/>
    <col min="10705" max="10705" width="9.140625" style="10"/>
    <col min="10706" max="10706" width="11.28515625" style="10" customWidth="1"/>
    <col min="10707" max="10955" width="9.140625" style="10"/>
    <col min="10956" max="10956" width="37.42578125" style="10" customWidth="1"/>
    <col min="10957" max="10957" width="13.5703125" style="10" customWidth="1"/>
    <col min="10958" max="10958" width="14.42578125" style="10" customWidth="1"/>
    <col min="10959" max="10959" width="8.42578125" style="10" bestFit="1" customWidth="1"/>
    <col min="10960" max="10960" width="16.85546875" style="10" customWidth="1"/>
    <col min="10961" max="10961" width="9.140625" style="10"/>
    <col min="10962" max="10962" width="11.28515625" style="10" customWidth="1"/>
    <col min="10963" max="11211" width="9.140625" style="10"/>
    <col min="11212" max="11212" width="37.42578125" style="10" customWidth="1"/>
    <col min="11213" max="11213" width="13.5703125" style="10" customWidth="1"/>
    <col min="11214" max="11214" width="14.42578125" style="10" customWidth="1"/>
    <col min="11215" max="11215" width="8.42578125" style="10" bestFit="1" customWidth="1"/>
    <col min="11216" max="11216" width="16.85546875" style="10" customWidth="1"/>
    <col min="11217" max="11217" width="9.140625" style="10"/>
    <col min="11218" max="11218" width="11.28515625" style="10" customWidth="1"/>
    <col min="11219" max="11467" width="9.140625" style="10"/>
    <col min="11468" max="11468" width="37.42578125" style="10" customWidth="1"/>
    <col min="11469" max="11469" width="13.5703125" style="10" customWidth="1"/>
    <col min="11470" max="11470" width="14.42578125" style="10" customWidth="1"/>
    <col min="11471" max="11471" width="8.42578125" style="10" bestFit="1" customWidth="1"/>
    <col min="11472" max="11472" width="16.85546875" style="10" customWidth="1"/>
    <col min="11473" max="11473" width="9.140625" style="10"/>
    <col min="11474" max="11474" width="11.28515625" style="10" customWidth="1"/>
    <col min="11475" max="11723" width="9.140625" style="10"/>
    <col min="11724" max="11724" width="37.42578125" style="10" customWidth="1"/>
    <col min="11725" max="11725" width="13.5703125" style="10" customWidth="1"/>
    <col min="11726" max="11726" width="14.42578125" style="10" customWidth="1"/>
    <col min="11727" max="11727" width="8.42578125" style="10" bestFit="1" customWidth="1"/>
    <col min="11728" max="11728" width="16.85546875" style="10" customWidth="1"/>
    <col min="11729" max="11729" width="9.140625" style="10"/>
    <col min="11730" max="11730" width="11.28515625" style="10" customWidth="1"/>
    <col min="11731" max="11979" width="9.140625" style="10"/>
    <col min="11980" max="11980" width="37.42578125" style="10" customWidth="1"/>
    <col min="11981" max="11981" width="13.5703125" style="10" customWidth="1"/>
    <col min="11982" max="11982" width="14.42578125" style="10" customWidth="1"/>
    <col min="11983" max="11983" width="8.42578125" style="10" bestFit="1" customWidth="1"/>
    <col min="11984" max="11984" width="16.85546875" style="10" customWidth="1"/>
    <col min="11985" max="11985" width="9.140625" style="10"/>
    <col min="11986" max="11986" width="11.28515625" style="10" customWidth="1"/>
    <col min="11987" max="12235" width="9.140625" style="10"/>
    <col min="12236" max="12236" width="37.42578125" style="10" customWidth="1"/>
    <col min="12237" max="12237" width="13.5703125" style="10" customWidth="1"/>
    <col min="12238" max="12238" width="14.42578125" style="10" customWidth="1"/>
    <col min="12239" max="12239" width="8.42578125" style="10" bestFit="1" customWidth="1"/>
    <col min="12240" max="12240" width="16.85546875" style="10" customWidth="1"/>
    <col min="12241" max="12241" width="9.140625" style="10"/>
    <col min="12242" max="12242" width="11.28515625" style="10" customWidth="1"/>
    <col min="12243" max="12491" width="9.140625" style="10"/>
    <col min="12492" max="12492" width="37.42578125" style="10" customWidth="1"/>
    <col min="12493" max="12493" width="13.5703125" style="10" customWidth="1"/>
    <col min="12494" max="12494" width="14.42578125" style="10" customWidth="1"/>
    <col min="12495" max="12495" width="8.42578125" style="10" bestFit="1" customWidth="1"/>
    <col min="12496" max="12496" width="16.85546875" style="10" customWidth="1"/>
    <col min="12497" max="12497" width="9.140625" style="10"/>
    <col min="12498" max="12498" width="11.28515625" style="10" customWidth="1"/>
    <col min="12499" max="12747" width="9.140625" style="10"/>
    <col min="12748" max="12748" width="37.42578125" style="10" customWidth="1"/>
    <col min="12749" max="12749" width="13.5703125" style="10" customWidth="1"/>
    <col min="12750" max="12750" width="14.42578125" style="10" customWidth="1"/>
    <col min="12751" max="12751" width="8.42578125" style="10" bestFit="1" customWidth="1"/>
    <col min="12752" max="12752" width="16.85546875" style="10" customWidth="1"/>
    <col min="12753" max="12753" width="9.140625" style="10"/>
    <col min="12754" max="12754" width="11.28515625" style="10" customWidth="1"/>
    <col min="12755" max="13003" width="9.140625" style="10"/>
    <col min="13004" max="13004" width="37.42578125" style="10" customWidth="1"/>
    <col min="13005" max="13005" width="13.5703125" style="10" customWidth="1"/>
    <col min="13006" max="13006" width="14.42578125" style="10" customWidth="1"/>
    <col min="13007" max="13007" width="8.42578125" style="10" bestFit="1" customWidth="1"/>
    <col min="13008" max="13008" width="16.85546875" style="10" customWidth="1"/>
    <col min="13009" max="13009" width="9.140625" style="10"/>
    <col min="13010" max="13010" width="11.28515625" style="10" customWidth="1"/>
    <col min="13011" max="13259" width="9.140625" style="10"/>
    <col min="13260" max="13260" width="37.42578125" style="10" customWidth="1"/>
    <col min="13261" max="13261" width="13.5703125" style="10" customWidth="1"/>
    <col min="13262" max="13262" width="14.42578125" style="10" customWidth="1"/>
    <col min="13263" max="13263" width="8.42578125" style="10" bestFit="1" customWidth="1"/>
    <col min="13264" max="13264" width="16.85546875" style="10" customWidth="1"/>
    <col min="13265" max="13265" width="9.140625" style="10"/>
    <col min="13266" max="13266" width="11.28515625" style="10" customWidth="1"/>
    <col min="13267" max="13515" width="9.140625" style="10"/>
    <col min="13516" max="13516" width="37.42578125" style="10" customWidth="1"/>
    <col min="13517" max="13517" width="13.5703125" style="10" customWidth="1"/>
    <col min="13518" max="13518" width="14.42578125" style="10" customWidth="1"/>
    <col min="13519" max="13519" width="8.42578125" style="10" bestFit="1" customWidth="1"/>
    <col min="13520" max="13520" width="16.85546875" style="10" customWidth="1"/>
    <col min="13521" max="13521" width="9.140625" style="10"/>
    <col min="13522" max="13522" width="11.28515625" style="10" customWidth="1"/>
    <col min="13523" max="13771" width="9.140625" style="10"/>
    <col min="13772" max="13772" width="37.42578125" style="10" customWidth="1"/>
    <col min="13773" max="13773" width="13.5703125" style="10" customWidth="1"/>
    <col min="13774" max="13774" width="14.42578125" style="10" customWidth="1"/>
    <col min="13775" max="13775" width="8.42578125" style="10" bestFit="1" customWidth="1"/>
    <col min="13776" max="13776" width="16.85546875" style="10" customWidth="1"/>
    <col min="13777" max="13777" width="9.140625" style="10"/>
    <col min="13778" max="13778" width="11.28515625" style="10" customWidth="1"/>
    <col min="13779" max="14027" width="9.140625" style="10"/>
    <col min="14028" max="14028" width="37.42578125" style="10" customWidth="1"/>
    <col min="14029" max="14029" width="13.5703125" style="10" customWidth="1"/>
    <col min="14030" max="14030" width="14.42578125" style="10" customWidth="1"/>
    <col min="14031" max="14031" width="8.42578125" style="10" bestFit="1" customWidth="1"/>
    <col min="14032" max="14032" width="16.85546875" style="10" customWidth="1"/>
    <col min="14033" max="14033" width="9.140625" style="10"/>
    <col min="14034" max="14034" width="11.28515625" style="10" customWidth="1"/>
    <col min="14035" max="14283" width="9.140625" style="10"/>
    <col min="14284" max="14284" width="37.42578125" style="10" customWidth="1"/>
    <col min="14285" max="14285" width="13.5703125" style="10" customWidth="1"/>
    <col min="14286" max="14286" width="14.42578125" style="10" customWidth="1"/>
    <col min="14287" max="14287" width="8.42578125" style="10" bestFit="1" customWidth="1"/>
    <col min="14288" max="14288" width="16.85546875" style="10" customWidth="1"/>
    <col min="14289" max="14289" width="9.140625" style="10"/>
    <col min="14290" max="14290" width="11.28515625" style="10" customWidth="1"/>
    <col min="14291" max="14539" width="9.140625" style="10"/>
    <col min="14540" max="14540" width="37.42578125" style="10" customWidth="1"/>
    <col min="14541" max="14541" width="13.5703125" style="10" customWidth="1"/>
    <col min="14542" max="14542" width="14.42578125" style="10" customWidth="1"/>
    <col min="14543" max="14543" width="8.42578125" style="10" bestFit="1" customWidth="1"/>
    <col min="14544" max="14544" width="16.85546875" style="10" customWidth="1"/>
    <col min="14545" max="14545" width="9.140625" style="10"/>
    <col min="14546" max="14546" width="11.28515625" style="10" customWidth="1"/>
    <col min="14547" max="14795" width="9.140625" style="10"/>
    <col min="14796" max="14796" width="37.42578125" style="10" customWidth="1"/>
    <col min="14797" max="14797" width="13.5703125" style="10" customWidth="1"/>
    <col min="14798" max="14798" width="14.42578125" style="10" customWidth="1"/>
    <col min="14799" max="14799" width="8.42578125" style="10" bestFit="1" customWidth="1"/>
    <col min="14800" max="14800" width="16.85546875" style="10" customWidth="1"/>
    <col min="14801" max="14801" width="9.140625" style="10"/>
    <col min="14802" max="14802" width="11.28515625" style="10" customWidth="1"/>
    <col min="14803" max="15051" width="9.140625" style="10"/>
    <col min="15052" max="15052" width="37.42578125" style="10" customWidth="1"/>
    <col min="15053" max="15053" width="13.5703125" style="10" customWidth="1"/>
    <col min="15054" max="15054" width="14.42578125" style="10" customWidth="1"/>
    <col min="15055" max="15055" width="8.42578125" style="10" bestFit="1" customWidth="1"/>
    <col min="15056" max="15056" width="16.85546875" style="10" customWidth="1"/>
    <col min="15057" max="15057" width="9.140625" style="10"/>
    <col min="15058" max="15058" width="11.28515625" style="10" customWidth="1"/>
    <col min="15059" max="15307" width="9.140625" style="10"/>
    <col min="15308" max="15308" width="37.42578125" style="10" customWidth="1"/>
    <col min="15309" max="15309" width="13.5703125" style="10" customWidth="1"/>
    <col min="15310" max="15310" width="14.42578125" style="10" customWidth="1"/>
    <col min="15311" max="15311" width="8.42578125" style="10" bestFit="1" customWidth="1"/>
    <col min="15312" max="15312" width="16.85546875" style="10" customWidth="1"/>
    <col min="15313" max="15313" width="9.140625" style="10"/>
    <col min="15314" max="15314" width="11.28515625" style="10" customWidth="1"/>
    <col min="15315" max="15563" width="9.140625" style="10"/>
    <col min="15564" max="15564" width="37.42578125" style="10" customWidth="1"/>
    <col min="15565" max="15565" width="13.5703125" style="10" customWidth="1"/>
    <col min="15566" max="15566" width="14.42578125" style="10" customWidth="1"/>
    <col min="15567" max="15567" width="8.42578125" style="10" bestFit="1" customWidth="1"/>
    <col min="15568" max="15568" width="16.85546875" style="10" customWidth="1"/>
    <col min="15569" max="15569" width="9.140625" style="10"/>
    <col min="15570" max="15570" width="11.28515625" style="10" customWidth="1"/>
    <col min="15571" max="15819" width="9.140625" style="10"/>
    <col min="15820" max="15820" width="37.42578125" style="10" customWidth="1"/>
    <col min="15821" max="15821" width="13.5703125" style="10" customWidth="1"/>
    <col min="15822" max="15822" width="14.42578125" style="10" customWidth="1"/>
    <col min="15823" max="15823" width="8.42578125" style="10" bestFit="1" customWidth="1"/>
    <col min="15824" max="15824" width="16.85546875" style="10" customWidth="1"/>
    <col min="15825" max="15825" width="9.140625" style="10"/>
    <col min="15826" max="15826" width="11.28515625" style="10" customWidth="1"/>
    <col min="15827" max="16075" width="9.140625" style="10"/>
    <col min="16076" max="16076" width="37.42578125" style="10" customWidth="1"/>
    <col min="16077" max="16077" width="13.5703125" style="10" customWidth="1"/>
    <col min="16078" max="16078" width="14.42578125" style="10" customWidth="1"/>
    <col min="16079" max="16079" width="8.42578125" style="10" bestFit="1" customWidth="1"/>
    <col min="16080" max="16080" width="16.85546875" style="10" customWidth="1"/>
    <col min="16081" max="16081" width="9.140625" style="10"/>
    <col min="16082" max="16082" width="11.28515625" style="10" customWidth="1"/>
    <col min="16083" max="16384" width="9.140625" style="10"/>
  </cols>
  <sheetData>
    <row r="1" spans="1:19" ht="15.75" x14ac:dyDescent="0.2">
      <c r="A1" s="685" t="s">
        <v>46</v>
      </c>
      <c r="B1" s="686"/>
      <c r="C1" s="686"/>
      <c r="D1" s="687"/>
      <c r="E1" s="688"/>
      <c r="F1" s="9"/>
    </row>
    <row r="2" spans="1:19" ht="25.5" x14ac:dyDescent="0.2">
      <c r="A2" s="12" t="s">
        <v>47</v>
      </c>
      <c r="B2" s="313" t="str">
        <f>'BOM R2D CatWalk'!I93</f>
        <v>WELDMENT, FALSE FLOOR, PC4100</v>
      </c>
      <c r="C2" s="13"/>
      <c r="D2" s="13" t="s">
        <v>48</v>
      </c>
      <c r="E2" s="85"/>
    </row>
    <row r="3" spans="1:19" x14ac:dyDescent="0.2">
      <c r="A3" s="12" t="s">
        <v>49</v>
      </c>
      <c r="B3" s="313" t="str">
        <f>'BOM R2D CatWalk'!G93</f>
        <v>AY30017</v>
      </c>
      <c r="C3" s="13"/>
      <c r="D3" s="13" t="s">
        <v>50</v>
      </c>
      <c r="E3" s="15">
        <f>'BOM R2D CatWalk'!K93</f>
        <v>2</v>
      </c>
      <c r="F3" s="9"/>
    </row>
    <row r="4" spans="1:19" ht="16.5" customHeight="1" x14ac:dyDescent="0.2">
      <c r="A4" s="12" t="s">
        <v>51</v>
      </c>
      <c r="B4" s="86">
        <f>'BOM R2D CatWalk'!N93</f>
        <v>130</v>
      </c>
      <c r="C4" s="16"/>
      <c r="D4" s="147"/>
      <c r="E4" s="17"/>
      <c r="F4" s="9"/>
      <c r="I4" s="321" t="s">
        <v>0</v>
      </c>
      <c r="J4" s="321" t="s">
        <v>13</v>
      </c>
      <c r="K4" s="321" t="s">
        <v>154</v>
      </c>
      <c r="L4" s="321" t="s">
        <v>544</v>
      </c>
      <c r="M4" s="340" t="s">
        <v>551</v>
      </c>
      <c r="N4" s="340" t="s">
        <v>571</v>
      </c>
      <c r="O4" s="321" t="s">
        <v>548</v>
      </c>
      <c r="P4" s="321" t="s">
        <v>34</v>
      </c>
      <c r="Q4" s="321" t="s">
        <v>549</v>
      </c>
      <c r="R4" s="321" t="s">
        <v>547</v>
      </c>
      <c r="S4" s="321" t="s">
        <v>156</v>
      </c>
    </row>
    <row r="5" spans="1:19" ht="21.75" customHeight="1" thickBot="1" x14ac:dyDescent="0.25">
      <c r="A5" s="691" t="s">
        <v>52</v>
      </c>
      <c r="B5" s="692"/>
      <c r="C5" s="692"/>
      <c r="D5" s="693"/>
      <c r="E5" s="694"/>
      <c r="F5" s="18"/>
      <c r="I5" s="143">
        <v>2</v>
      </c>
      <c r="J5" s="143" t="s">
        <v>21</v>
      </c>
      <c r="K5" s="143">
        <v>10</v>
      </c>
      <c r="L5" s="110" t="s">
        <v>542</v>
      </c>
      <c r="M5" s="145">
        <f>'RM Details'!E32</f>
        <v>6</v>
      </c>
      <c r="N5" s="145">
        <f>'RM Details'!F32</f>
        <v>8.2032500000000006</v>
      </c>
      <c r="O5" s="145">
        <v>0</v>
      </c>
      <c r="P5" s="145"/>
      <c r="Q5" s="145">
        <f t="shared" ref="Q5:Q7" si="0">IF(O5&gt;N5,O5,IF(O5&lt;N5,N5))</f>
        <v>8.2032500000000006</v>
      </c>
      <c r="R5" s="145">
        <v>90</v>
      </c>
      <c r="S5" s="145">
        <f t="shared" ref="S5:S7" si="1">R5*Q5</f>
        <v>738.29250000000002</v>
      </c>
    </row>
    <row r="6" spans="1:19" ht="16.5" thickBot="1" x14ac:dyDescent="0.25">
      <c r="A6" s="695" t="s">
        <v>53</v>
      </c>
      <c r="B6" s="696"/>
      <c r="C6" s="696"/>
      <c r="D6" s="697"/>
      <c r="E6" s="698"/>
      <c r="F6" s="18"/>
      <c r="G6" s="19"/>
      <c r="H6" s="19"/>
      <c r="I6" s="143">
        <v>3</v>
      </c>
      <c r="J6" s="143" t="s">
        <v>21</v>
      </c>
      <c r="K6" s="143">
        <v>16</v>
      </c>
      <c r="L6" s="110" t="s">
        <v>542</v>
      </c>
      <c r="M6" s="145">
        <f>'RM Details'!E33</f>
        <v>12</v>
      </c>
      <c r="N6" s="145">
        <f>'RM Details'!F33</f>
        <v>17.728138559999998</v>
      </c>
      <c r="O6" s="145">
        <v>0</v>
      </c>
      <c r="P6" s="145"/>
      <c r="Q6" s="145">
        <f t="shared" si="0"/>
        <v>17.728138559999998</v>
      </c>
      <c r="R6" s="145">
        <v>90</v>
      </c>
      <c r="S6" s="145">
        <f t="shared" si="1"/>
        <v>1595.5324703999997</v>
      </c>
    </row>
    <row r="7" spans="1:19" ht="26.25" thickBot="1" x14ac:dyDescent="0.25">
      <c r="A7" s="20" t="s">
        <v>54</v>
      </c>
      <c r="B7" s="21"/>
      <c r="C7" s="21"/>
      <c r="D7" s="21" t="s">
        <v>572</v>
      </c>
      <c r="E7" s="22" t="s">
        <v>567</v>
      </c>
      <c r="F7" s="18"/>
      <c r="G7" s="1"/>
      <c r="H7" s="1"/>
      <c r="I7" s="143">
        <v>4</v>
      </c>
      <c r="J7" s="143" t="s">
        <v>21</v>
      </c>
      <c r="K7" s="143" t="s">
        <v>569</v>
      </c>
      <c r="L7" s="143" t="s">
        <v>553</v>
      </c>
      <c r="M7" s="145">
        <f>'RM Details'!E34</f>
        <v>112.33200000000001</v>
      </c>
      <c r="N7" s="145">
        <f>'RM Details'!F34</f>
        <v>123.56520000000003</v>
      </c>
      <c r="O7" s="145">
        <f>22.3*6</f>
        <v>133.80000000000001</v>
      </c>
      <c r="P7" s="145" t="s">
        <v>570</v>
      </c>
      <c r="Q7" s="145">
        <f t="shared" si="0"/>
        <v>133.80000000000001</v>
      </c>
      <c r="R7" s="145">
        <v>110</v>
      </c>
      <c r="S7" s="145">
        <f t="shared" si="1"/>
        <v>14718.000000000002</v>
      </c>
    </row>
    <row r="8" spans="1:19" ht="17.25" customHeight="1" x14ac:dyDescent="0.2">
      <c r="A8" s="23" t="s">
        <v>55</v>
      </c>
      <c r="B8" s="24"/>
      <c r="C8" s="25"/>
      <c r="D8" s="25">
        <f>Q5+Q6</f>
        <v>25.931388559999998</v>
      </c>
      <c r="E8" s="26">
        <f>Q7</f>
        <v>133.80000000000001</v>
      </c>
      <c r="F8" s="18">
        <f>SUM(C8:E8)</f>
        <v>159.73138856</v>
      </c>
      <c r="G8" s="1"/>
      <c r="H8" s="1"/>
      <c r="I8" s="341"/>
      <c r="J8" s="341"/>
      <c r="K8" s="341" t="s">
        <v>45</v>
      </c>
      <c r="L8" s="341"/>
      <c r="M8" s="342">
        <f>SUM(M5:M7)</f>
        <v>130.33199999999999</v>
      </c>
      <c r="N8" s="342">
        <f>SUM(N5:N7)</f>
        <v>149.49658856000002</v>
      </c>
      <c r="O8" s="346"/>
      <c r="P8" s="346"/>
      <c r="Q8" s="342">
        <f>SUM(Q5:Q7)</f>
        <v>159.73138856</v>
      </c>
      <c r="R8" s="145">
        <f>S8/Q8</f>
        <v>106.75312550729384</v>
      </c>
      <c r="S8" s="342">
        <f>SUM(S5:S7)</f>
        <v>17051.824970400001</v>
      </c>
    </row>
    <row r="9" spans="1:19" ht="18" customHeight="1" x14ac:dyDescent="0.2">
      <c r="A9" s="27" t="s">
        <v>56</v>
      </c>
      <c r="B9" s="77"/>
      <c r="C9" s="28"/>
      <c r="D9" s="28">
        <f>M5+M6</f>
        <v>18</v>
      </c>
      <c r="E9" s="74">
        <f>M7</f>
        <v>112.33200000000001</v>
      </c>
      <c r="F9" s="18">
        <f>SUM(C9:E9)</f>
        <v>130.33199999999999</v>
      </c>
      <c r="G9" s="1"/>
      <c r="H9" s="1"/>
    </row>
    <row r="10" spans="1:19" ht="15" x14ac:dyDescent="0.2">
      <c r="A10" s="29" t="s">
        <v>57</v>
      </c>
      <c r="B10" s="78"/>
      <c r="C10" s="30"/>
      <c r="D10" s="30">
        <f t="shared" ref="D10:E10" si="2">(D8-D9)*80%</f>
        <v>6.3451108479999991</v>
      </c>
      <c r="E10" s="75">
        <f t="shared" si="2"/>
        <v>17.174400000000002</v>
      </c>
      <c r="F10" s="31">
        <f>(F8-F9)/F9</f>
        <v>0.2255730638676611</v>
      </c>
      <c r="G10" s="32"/>
      <c r="H10" s="32"/>
    </row>
    <row r="11" spans="1:19" ht="15" x14ac:dyDescent="0.25">
      <c r="A11" s="33" t="s">
        <v>58</v>
      </c>
      <c r="B11" s="34"/>
      <c r="C11" s="35"/>
      <c r="D11" s="35">
        <f>R5</f>
        <v>90</v>
      </c>
      <c r="E11" s="76">
        <f>R7</f>
        <v>110</v>
      </c>
      <c r="F11" s="18">
        <f>SUMPRODUCT(B11:E11,B8:E8)</f>
        <v>17051.824970400001</v>
      </c>
      <c r="G11"/>
      <c r="H11"/>
    </row>
    <row r="12" spans="1:19" ht="15.75" thickBot="1" x14ac:dyDescent="0.3">
      <c r="A12" s="29" t="s">
        <v>59</v>
      </c>
      <c r="B12" s="352"/>
      <c r="C12" s="353"/>
      <c r="D12" s="353">
        <v>30</v>
      </c>
      <c r="E12" s="354">
        <v>30</v>
      </c>
      <c r="F12" s="18"/>
      <c r="G12"/>
      <c r="H12"/>
    </row>
    <row r="13" spans="1:19" ht="15.75" thickBot="1" x14ac:dyDescent="0.3">
      <c r="A13" s="36" t="s">
        <v>60</v>
      </c>
      <c r="B13" s="349"/>
      <c r="C13" s="349"/>
      <c r="D13" s="349">
        <f>(D8*D11)-(D10*D12)</f>
        <v>2143.47164496</v>
      </c>
      <c r="E13" s="349">
        <f>(E8*E11)-(E10*E12)</f>
        <v>14202.768000000002</v>
      </c>
      <c r="F13" s="37">
        <f>SUM(B13:E13)</f>
        <v>16346.239644960002</v>
      </c>
      <c r="G13"/>
      <c r="H13"/>
    </row>
    <row r="14" spans="1:19" ht="15.75" thickBot="1" x14ac:dyDescent="0.25">
      <c r="A14" s="38" t="s">
        <v>61</v>
      </c>
      <c r="B14" s="680">
        <f>SUM(B13:E13)</f>
        <v>16346.239644960002</v>
      </c>
      <c r="C14" s="682"/>
      <c r="D14" s="683"/>
      <c r="E14" s="684"/>
      <c r="F14" s="39">
        <f>F13/F8</f>
        <v>102.33580132448328</v>
      </c>
      <c r="G14" s="32"/>
      <c r="H14" s="32"/>
    </row>
    <row r="15" spans="1:19" ht="15" x14ac:dyDescent="0.25">
      <c r="A15" s="663" t="s">
        <v>62</v>
      </c>
      <c r="B15" s="664"/>
      <c r="C15" s="664"/>
      <c r="D15" s="665"/>
      <c r="E15" s="666"/>
      <c r="F15" s="18"/>
      <c r="G15"/>
      <c r="H15"/>
    </row>
    <row r="16" spans="1:19" ht="24.75" customHeight="1" x14ac:dyDescent="0.2">
      <c r="A16" s="317" t="s">
        <v>63</v>
      </c>
      <c r="B16" s="41"/>
      <c r="C16" s="42"/>
      <c r="D16" s="150"/>
      <c r="E16" s="43"/>
      <c r="F16" s="18"/>
      <c r="G16" s="32"/>
      <c r="H16" s="32"/>
    </row>
    <row r="17" spans="1:8" ht="20.25" customHeight="1" x14ac:dyDescent="0.2">
      <c r="A17" s="667" t="s">
        <v>64</v>
      </c>
      <c r="B17" s="668"/>
      <c r="C17" s="668"/>
      <c r="D17" s="151"/>
      <c r="E17" s="45">
        <f>SUM(E16:E16)</f>
        <v>0</v>
      </c>
      <c r="F17" s="84"/>
    </row>
    <row r="18" spans="1:8" ht="13.5" thickBot="1" x14ac:dyDescent="0.25">
      <c r="A18" s="669" t="s">
        <v>65</v>
      </c>
      <c r="B18" s="670"/>
      <c r="C18" s="670"/>
      <c r="D18" s="152"/>
      <c r="E18" s="46">
        <f>B14+E17</f>
        <v>16346.239644960002</v>
      </c>
      <c r="F18" s="18"/>
    </row>
    <row r="19" spans="1:8" ht="22.5" customHeight="1" x14ac:dyDescent="0.2">
      <c r="A19" s="671" t="s">
        <v>66</v>
      </c>
      <c r="B19" s="672"/>
      <c r="C19" s="672"/>
      <c r="D19" s="673"/>
      <c r="E19" s="674"/>
      <c r="F19" s="18"/>
    </row>
    <row r="20" spans="1:8" x14ac:dyDescent="0.2">
      <c r="A20" s="47" t="s">
        <v>54</v>
      </c>
      <c r="B20" s="48" t="s">
        <v>23</v>
      </c>
      <c r="C20" s="49" t="s">
        <v>67</v>
      </c>
      <c r="D20" s="50"/>
      <c r="E20" s="51" t="s">
        <v>68</v>
      </c>
      <c r="F20" s="18"/>
    </row>
    <row r="21" spans="1:8" ht="18" customHeight="1" x14ac:dyDescent="0.2">
      <c r="A21" s="52" t="s">
        <v>69</v>
      </c>
      <c r="B21" s="53">
        <f>'BOM R2D CatWalk'!X93</f>
        <v>25.102121212121212</v>
      </c>
      <c r="C21" s="54">
        <v>35</v>
      </c>
      <c r="D21" s="55"/>
      <c r="E21" s="45">
        <f t="shared" ref="E21:E27" si="3">B21*C21</f>
        <v>878.57424242424236</v>
      </c>
      <c r="F21" s="56"/>
      <c r="G21" s="69">
        <f>E21/$F$9</f>
        <v>6.7410478042556115</v>
      </c>
      <c r="H21" s="69"/>
    </row>
    <row r="22" spans="1:8" ht="20.25" customHeight="1" x14ac:dyDescent="0.2">
      <c r="A22" s="52" t="s">
        <v>70</v>
      </c>
      <c r="B22" s="53">
        <v>1</v>
      </c>
      <c r="C22" s="54">
        <v>1000</v>
      </c>
      <c r="D22" s="55"/>
      <c r="E22" s="45">
        <f t="shared" si="3"/>
        <v>1000</v>
      </c>
      <c r="F22" s="56"/>
      <c r="G22" s="69">
        <f t="shared" ref="G22:G35" si="4">E22/$F$9</f>
        <v>7.6727127643249551</v>
      </c>
      <c r="H22" s="69"/>
    </row>
    <row r="23" spans="1:8" ht="18" customHeight="1" x14ac:dyDescent="0.2">
      <c r="A23" s="52" t="s">
        <v>71</v>
      </c>
      <c r="B23" s="53">
        <f>'BOM R2D CatWalk'!Z93</f>
        <v>0</v>
      </c>
      <c r="C23" s="54">
        <v>100</v>
      </c>
      <c r="D23" s="55"/>
      <c r="E23" s="45">
        <f t="shared" si="3"/>
        <v>0</v>
      </c>
      <c r="F23" s="79"/>
      <c r="G23" s="69">
        <f t="shared" si="4"/>
        <v>0</v>
      </c>
      <c r="H23" s="69"/>
    </row>
    <row r="24" spans="1:8" ht="18" customHeight="1" x14ac:dyDescent="0.2">
      <c r="A24" s="52" t="s">
        <v>72</v>
      </c>
      <c r="B24" s="53">
        <f>'BOM R2D CatWalk'!AF93</f>
        <v>11.04</v>
      </c>
      <c r="C24" s="54">
        <v>250</v>
      </c>
      <c r="D24" s="55"/>
      <c r="E24" s="45">
        <f t="shared" si="3"/>
        <v>2760</v>
      </c>
      <c r="F24" s="56"/>
      <c r="G24" s="69">
        <f t="shared" si="4"/>
        <v>21.176687229536878</v>
      </c>
      <c r="H24" s="69"/>
    </row>
    <row r="25" spans="1:8" ht="18" customHeight="1" x14ac:dyDescent="0.2">
      <c r="A25" s="52" t="s">
        <v>73</v>
      </c>
      <c r="B25" s="53">
        <f>B24/12</f>
        <v>0.91999999999999993</v>
      </c>
      <c r="C25" s="54">
        <v>250</v>
      </c>
      <c r="D25" s="55"/>
      <c r="E25" s="45">
        <f t="shared" si="3"/>
        <v>229.99999999999997</v>
      </c>
      <c r="F25" s="56"/>
      <c r="G25" s="69">
        <f t="shared" si="4"/>
        <v>1.7647239357947395</v>
      </c>
      <c r="H25" s="69"/>
    </row>
    <row r="26" spans="1:8" ht="18" customHeight="1" x14ac:dyDescent="0.2">
      <c r="A26" s="52" t="s">
        <v>74</v>
      </c>
      <c r="B26" s="53">
        <f>F9/95</f>
        <v>1.3719157894736842</v>
      </c>
      <c r="C26" s="54">
        <v>1200</v>
      </c>
      <c r="D26" s="55"/>
      <c r="E26" s="45">
        <f t="shared" si="3"/>
        <v>1646.2989473684211</v>
      </c>
      <c r="F26" s="56"/>
      <c r="G26" s="69">
        <f t="shared" si="4"/>
        <v>12.631578947368421</v>
      </c>
      <c r="H26" s="69"/>
    </row>
    <row r="27" spans="1:8" x14ac:dyDescent="0.2">
      <c r="A27" s="57" t="s">
        <v>75</v>
      </c>
      <c r="B27" s="58"/>
      <c r="C27" s="59">
        <v>250</v>
      </c>
      <c r="D27" s="60"/>
      <c r="E27" s="61">
        <f t="shared" si="3"/>
        <v>0</v>
      </c>
      <c r="F27" s="84" t="s">
        <v>76</v>
      </c>
      <c r="G27" s="69">
        <f t="shared" si="4"/>
        <v>0</v>
      </c>
      <c r="H27" s="69"/>
    </row>
    <row r="28" spans="1:8" ht="18" customHeight="1" x14ac:dyDescent="0.2">
      <c r="A28" s="52" t="s">
        <v>77</v>
      </c>
      <c r="B28" s="53"/>
      <c r="C28" s="54">
        <v>5</v>
      </c>
      <c r="D28" s="55"/>
      <c r="E28" s="62">
        <f>C28*F9</f>
        <v>651.66</v>
      </c>
      <c r="F28" s="18"/>
      <c r="G28" s="69">
        <f t="shared" si="4"/>
        <v>5</v>
      </c>
      <c r="H28" s="69"/>
    </row>
    <row r="29" spans="1:8" ht="18" customHeight="1" x14ac:dyDescent="0.2">
      <c r="A29" s="52" t="s">
        <v>78</v>
      </c>
      <c r="B29" s="53">
        <v>0</v>
      </c>
      <c r="C29" s="54">
        <v>50</v>
      </c>
      <c r="D29" s="55"/>
      <c r="E29" s="62">
        <f>B29*C29</f>
        <v>0</v>
      </c>
      <c r="F29" s="18"/>
      <c r="G29" s="69">
        <f t="shared" si="4"/>
        <v>0</v>
      </c>
      <c r="H29" s="69"/>
    </row>
    <row r="30" spans="1:8" ht="18" customHeight="1" x14ac:dyDescent="0.2">
      <c r="A30" s="52" t="s">
        <v>79</v>
      </c>
      <c r="B30" s="54">
        <f>'BOM R2D CatWalk'!AI93</f>
        <v>2.3088964000000005</v>
      </c>
      <c r="C30" s="54">
        <v>1250</v>
      </c>
      <c r="D30" s="55"/>
      <c r="E30" s="62">
        <f>B30*C30</f>
        <v>2886.1205000000004</v>
      </c>
      <c r="F30" s="63" t="s">
        <v>133</v>
      </c>
      <c r="G30" s="69">
        <f t="shared" si="4"/>
        <v>22.144373599729924</v>
      </c>
      <c r="H30" s="69"/>
    </row>
    <row r="31" spans="1:8" ht="18" customHeight="1" x14ac:dyDescent="0.2">
      <c r="A31" s="52" t="s">
        <v>123</v>
      </c>
      <c r="B31" s="54">
        <f>15/60</f>
        <v>0.25</v>
      </c>
      <c r="C31" s="54">
        <v>250</v>
      </c>
      <c r="D31" s="55"/>
      <c r="E31" s="45">
        <f>B31*C31</f>
        <v>62.5</v>
      </c>
      <c r="F31" s="63"/>
      <c r="G31" s="69">
        <f t="shared" si="4"/>
        <v>0.47954454777030969</v>
      </c>
      <c r="H31" s="69"/>
    </row>
    <row r="32" spans="1:8" ht="18" customHeight="1" x14ac:dyDescent="0.2">
      <c r="A32" s="52" t="s">
        <v>135</v>
      </c>
      <c r="B32" s="54"/>
      <c r="C32" s="54">
        <v>5</v>
      </c>
      <c r="D32" s="55"/>
      <c r="E32" s="45">
        <f>C32*F9</f>
        <v>651.66</v>
      </c>
      <c r="F32" s="63"/>
      <c r="G32" s="69">
        <f t="shared" si="4"/>
        <v>5</v>
      </c>
      <c r="H32" s="69"/>
    </row>
    <row r="33" spans="1:13" ht="19.5" customHeight="1" x14ac:dyDescent="0.2">
      <c r="A33" s="47" t="s">
        <v>152</v>
      </c>
      <c r="B33" s="64"/>
      <c r="C33" s="65"/>
      <c r="D33" s="66"/>
      <c r="E33" s="67">
        <f>SUM(E21:E32)</f>
        <v>10766.813689792663</v>
      </c>
      <c r="F33" s="18"/>
      <c r="G33" s="69">
        <f t="shared" si="4"/>
        <v>82.610668828780831</v>
      </c>
      <c r="H33" s="69"/>
    </row>
    <row r="34" spans="1:13" ht="22.5" customHeight="1" x14ac:dyDescent="0.2">
      <c r="A34" s="675" t="s">
        <v>80</v>
      </c>
      <c r="B34" s="676"/>
      <c r="C34" s="677"/>
      <c r="D34" s="315"/>
      <c r="E34" s="154">
        <f>E18+E33</f>
        <v>27113.053334752665</v>
      </c>
      <c r="F34" s="68"/>
      <c r="G34" s="69"/>
      <c r="H34" s="69"/>
    </row>
    <row r="35" spans="1:13" x14ac:dyDescent="0.2">
      <c r="A35" s="83" t="s">
        <v>126</v>
      </c>
      <c r="B35" s="83"/>
      <c r="C35" s="318"/>
      <c r="D35" s="156">
        <v>0.1</v>
      </c>
      <c r="E35" s="155">
        <f>E34*D35</f>
        <v>2711.3053334752667</v>
      </c>
      <c r="F35" s="70"/>
      <c r="G35" s="69">
        <f t="shared" si="4"/>
        <v>20.803067040138007</v>
      </c>
      <c r="H35" s="69"/>
    </row>
    <row r="36" spans="1:13" x14ac:dyDescent="0.2">
      <c r="A36" s="83" t="s">
        <v>127</v>
      </c>
      <c r="B36" s="83"/>
      <c r="C36" s="318"/>
      <c r="D36" s="318"/>
      <c r="E36" s="155">
        <f>SUM(E34:E35)</f>
        <v>29824.358668227931</v>
      </c>
      <c r="F36" s="70"/>
      <c r="G36" s="69">
        <f>E36/F9</f>
        <v>228.83373744151805</v>
      </c>
      <c r="H36" s="69"/>
      <c r="I36" s="69">
        <f>E36/F8</f>
        <v>186.71570401471212</v>
      </c>
    </row>
    <row r="39" spans="1:13" ht="12.75" customHeight="1" thickBot="1" x14ac:dyDescent="0.25">
      <c r="F39" s="11" t="s">
        <v>81</v>
      </c>
      <c r="G39" s="44"/>
      <c r="H39" s="44"/>
    </row>
    <row r="40" spans="1:13" ht="12.75" customHeight="1" x14ac:dyDescent="0.2">
      <c r="A40" s="678" t="s">
        <v>82</v>
      </c>
      <c r="B40" s="679"/>
      <c r="C40" s="679"/>
      <c r="D40" s="153"/>
      <c r="E40" s="71" t="s">
        <v>83</v>
      </c>
      <c r="F40" s="11" t="s">
        <v>81</v>
      </c>
      <c r="G40" s="44"/>
      <c r="H40" s="44"/>
    </row>
    <row r="41" spans="1:13" x14ac:dyDescent="0.2">
      <c r="A41" s="654" t="s">
        <v>134</v>
      </c>
      <c r="B41" s="655"/>
      <c r="C41" s="655"/>
      <c r="D41" s="316"/>
      <c r="E41" s="72"/>
    </row>
    <row r="42" spans="1:13" ht="13.5" thickBot="1" x14ac:dyDescent="0.25">
      <c r="A42" s="656" t="s">
        <v>84</v>
      </c>
      <c r="B42" s="657"/>
      <c r="C42" s="657"/>
      <c r="D42" s="314"/>
      <c r="E42" s="261" t="s">
        <v>85</v>
      </c>
    </row>
    <row r="43" spans="1:13" ht="20.100000000000001" customHeight="1" x14ac:dyDescent="0.2">
      <c r="G43" s="44"/>
      <c r="H43" s="44"/>
    </row>
    <row r="44" spans="1:13" s="44" customFormat="1" ht="18" customHeight="1" thickBot="1" x14ac:dyDescent="0.25">
      <c r="A44" s="10"/>
      <c r="B44" s="10"/>
      <c r="C44" s="10"/>
      <c r="D44" s="10"/>
      <c r="E44" s="70"/>
      <c r="F44" s="14"/>
      <c r="G44" s="10"/>
      <c r="H44" s="10"/>
      <c r="I44" s="10"/>
    </row>
    <row r="45" spans="1:13" s="44" customFormat="1" ht="15.75" thickBot="1" x14ac:dyDescent="0.25">
      <c r="A45" s="658" t="s">
        <v>161</v>
      </c>
      <c r="B45" s="659"/>
      <c r="C45" s="659"/>
      <c r="D45" s="660"/>
      <c r="E45" s="70"/>
      <c r="F45" s="14"/>
      <c r="G45" s="10"/>
      <c r="H45" s="10"/>
      <c r="I45" s="10"/>
    </row>
    <row r="46" spans="1:13" s="44" customFormat="1" ht="19.5" customHeight="1" thickBot="1" x14ac:dyDescent="0.25">
      <c r="A46" s="282" t="s">
        <v>125</v>
      </c>
      <c r="B46" s="283" t="s">
        <v>159</v>
      </c>
      <c r="C46" s="283" t="s">
        <v>155</v>
      </c>
      <c r="D46" s="284" t="s">
        <v>156</v>
      </c>
      <c r="E46" s="70"/>
      <c r="F46" s="14"/>
      <c r="G46" s="10"/>
      <c r="H46" s="10"/>
      <c r="I46" s="10"/>
      <c r="J46" s="10"/>
      <c r="K46" s="10"/>
      <c r="L46" s="10"/>
      <c r="M46" s="10"/>
    </row>
    <row r="47" spans="1:13" s="44" customFormat="1" ht="15.75" x14ac:dyDescent="0.2">
      <c r="A47" s="288" t="s">
        <v>124</v>
      </c>
      <c r="B47" s="289">
        <f>B4*0.8</f>
        <v>104</v>
      </c>
      <c r="C47" s="290">
        <v>100</v>
      </c>
      <c r="D47" s="291">
        <f>B47*C47</f>
        <v>10400</v>
      </c>
      <c r="E47" s="70"/>
      <c r="F47" s="14"/>
      <c r="G47" s="10"/>
      <c r="H47" s="10"/>
      <c r="I47" s="10"/>
      <c r="J47" s="10"/>
      <c r="K47" s="10"/>
      <c r="L47" s="10"/>
      <c r="M47" s="10"/>
    </row>
    <row r="48" spans="1:13" s="44" customFormat="1" ht="15.75" x14ac:dyDescent="0.2">
      <c r="A48" s="274" t="s">
        <v>713</v>
      </c>
      <c r="B48" s="80">
        <f>B4*0.2</f>
        <v>26</v>
      </c>
      <c r="C48" s="81">
        <v>100</v>
      </c>
      <c r="D48" s="273">
        <f>B48*C48</f>
        <v>2600</v>
      </c>
      <c r="E48" s="70"/>
      <c r="F48" s="14"/>
      <c r="G48" s="10"/>
      <c r="H48" s="10"/>
      <c r="I48" s="10"/>
      <c r="J48" s="10"/>
      <c r="K48" s="10"/>
      <c r="L48" s="10"/>
      <c r="M48" s="10"/>
    </row>
    <row r="49" spans="1:13" s="44" customFormat="1" ht="15.75" x14ac:dyDescent="0.2">
      <c r="A49" s="274" t="s">
        <v>162</v>
      </c>
      <c r="B49" s="80">
        <f>SUM(B47:B48)</f>
        <v>130</v>
      </c>
      <c r="C49" s="81">
        <v>4.5</v>
      </c>
      <c r="D49" s="273">
        <f>B49*C49</f>
        <v>585</v>
      </c>
      <c r="E49" s="70"/>
      <c r="F49" s="14"/>
      <c r="G49" s="10"/>
      <c r="H49" s="10"/>
      <c r="I49" s="10"/>
      <c r="J49" s="10"/>
      <c r="K49" s="10"/>
      <c r="L49" s="10"/>
      <c r="M49" s="10"/>
    </row>
    <row r="50" spans="1:13" s="44" customFormat="1" ht="15.75" x14ac:dyDescent="0.2">
      <c r="A50" s="292" t="s">
        <v>163</v>
      </c>
      <c r="B50" s="286"/>
      <c r="C50" s="287"/>
      <c r="D50" s="293">
        <f>SUM(D47:D49)</f>
        <v>13585</v>
      </c>
      <c r="E50" s="70"/>
      <c r="F50" s="14"/>
      <c r="G50" s="10"/>
      <c r="H50" s="10"/>
      <c r="I50" s="10"/>
      <c r="J50" s="10"/>
      <c r="K50" s="10"/>
      <c r="L50" s="10"/>
      <c r="M50" s="10"/>
    </row>
    <row r="51" spans="1:13" s="44" customFormat="1" ht="15.75" x14ac:dyDescent="0.2">
      <c r="A51" s="274" t="s">
        <v>158</v>
      </c>
      <c r="B51" s="80">
        <v>2</v>
      </c>
      <c r="C51" s="81">
        <f>75000/30</f>
        <v>2500</v>
      </c>
      <c r="D51" s="273">
        <f>B51*C51</f>
        <v>5000</v>
      </c>
      <c r="E51" s="70"/>
      <c r="F51" s="14"/>
      <c r="G51" s="10"/>
      <c r="H51" s="10"/>
      <c r="I51" s="10"/>
      <c r="J51" s="10"/>
      <c r="K51" s="10"/>
      <c r="L51" s="10"/>
      <c r="M51" s="10"/>
    </row>
    <row r="52" spans="1:13" s="44" customFormat="1" ht="16.5" thickBot="1" x14ac:dyDescent="0.25">
      <c r="A52" s="275" t="s">
        <v>126</v>
      </c>
      <c r="B52" s="276"/>
      <c r="C52" s="285">
        <v>2.5499999999999998E-2</v>
      </c>
      <c r="D52" s="277">
        <f>(D50+D51)*C52</f>
        <v>473.91749999999996</v>
      </c>
      <c r="E52" s="70"/>
      <c r="F52" s="14"/>
      <c r="G52" s="10"/>
      <c r="H52" s="10"/>
      <c r="I52" s="10"/>
      <c r="J52" s="10"/>
      <c r="K52" s="10"/>
      <c r="L52" s="10"/>
      <c r="M52" s="10"/>
    </row>
    <row r="53" spans="1:13" s="265" customFormat="1" ht="16.5" thickBot="1" x14ac:dyDescent="0.25">
      <c r="A53" s="278" t="s">
        <v>160</v>
      </c>
      <c r="B53" s="279"/>
      <c r="C53" s="280"/>
      <c r="D53" s="281">
        <f>SUM(D50:D52)</f>
        <v>19058.9175</v>
      </c>
      <c r="E53" s="262"/>
      <c r="F53" s="263"/>
      <c r="G53" s="264"/>
      <c r="H53" s="264"/>
      <c r="I53" s="264"/>
      <c r="J53" s="264"/>
      <c r="K53" s="264"/>
      <c r="L53" s="264"/>
      <c r="M53" s="264"/>
    </row>
    <row r="54" spans="1:13" s="44" customFormat="1" ht="25.5" customHeight="1" x14ac:dyDescent="0.2">
      <c r="A54" s="10"/>
      <c r="B54" s="10"/>
      <c r="C54" s="10"/>
      <c r="D54" s="10"/>
      <c r="E54" s="70"/>
      <c r="F54" s="14"/>
      <c r="G54" s="10"/>
      <c r="H54" s="10"/>
      <c r="I54" s="10"/>
      <c r="J54" s="10"/>
      <c r="K54" s="10"/>
      <c r="L54" s="10"/>
      <c r="M54" s="10"/>
    </row>
  </sheetData>
  <sheetProtection selectLockedCells="1" selectUnlockedCells="1"/>
  <mergeCells count="13">
    <mergeCell ref="A1:E1"/>
    <mergeCell ref="A5:E5"/>
    <mergeCell ref="A6:E6"/>
    <mergeCell ref="B14:E14"/>
    <mergeCell ref="A45:D45"/>
    <mergeCell ref="A41:C41"/>
    <mergeCell ref="A42:C42"/>
    <mergeCell ref="A15:E15"/>
    <mergeCell ref="A17:C17"/>
    <mergeCell ref="A18:C18"/>
    <mergeCell ref="A19:E19"/>
    <mergeCell ref="A34:C34"/>
    <mergeCell ref="A40:C4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E27:E28" emptyCellReferenc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1AD-8832-4DAA-BE90-35F2D460EDB1}">
  <sheetPr>
    <pageSetUpPr fitToPage="1"/>
  </sheetPr>
  <dimension ref="A1:W54"/>
  <sheetViews>
    <sheetView topLeftCell="A32" zoomScale="115" zoomScaleNormal="115" zoomScaleSheetLayoutView="100" workbookViewId="0">
      <selection activeCell="C57" sqref="C57"/>
    </sheetView>
  </sheetViews>
  <sheetFormatPr defaultRowHeight="12.75" x14ac:dyDescent="0.2"/>
  <cols>
    <col min="1" max="1" width="38.42578125" style="10" customWidth="1"/>
    <col min="2" max="2" width="31.5703125" style="10" bestFit="1" customWidth="1"/>
    <col min="3" max="3" width="16.5703125" style="10" bestFit="1" customWidth="1"/>
    <col min="4" max="4" width="18.85546875" style="10" bestFit="1" customWidth="1"/>
    <col min="5" max="5" width="20" style="10" bestFit="1" customWidth="1"/>
    <col min="6" max="6" width="20" style="10" customWidth="1"/>
    <col min="7" max="7" width="18.5703125" style="70" bestFit="1" customWidth="1"/>
    <col min="8" max="8" width="21.140625" style="14" customWidth="1"/>
    <col min="9" max="10" width="10.140625" style="10" customWidth="1"/>
    <col min="11" max="11" width="9.28515625" style="10" bestFit="1" customWidth="1"/>
    <col min="12" max="12" width="12.140625" style="10" bestFit="1" customWidth="1"/>
    <col min="13" max="13" width="29.28515625" style="10" bestFit="1" customWidth="1"/>
    <col min="14" max="14" width="21.42578125" style="10" bestFit="1" customWidth="1"/>
    <col min="15" max="15" width="24" style="10" customWidth="1"/>
    <col min="16" max="16" width="26.140625" style="10" customWidth="1"/>
    <col min="17" max="17" width="20.85546875" style="10" customWidth="1"/>
    <col min="18" max="18" width="15.7109375" style="10" customWidth="1"/>
    <col min="19" max="19" width="19.5703125" style="10" bestFit="1" customWidth="1"/>
    <col min="20" max="20" width="19.5703125" style="10" customWidth="1"/>
    <col min="21" max="21" width="13.85546875" style="10" bestFit="1" customWidth="1"/>
    <col min="22" max="22" width="15" style="10" bestFit="1" customWidth="1"/>
    <col min="23" max="23" width="23.85546875" style="10" customWidth="1"/>
    <col min="24" max="206" width="9.140625" style="10"/>
    <col min="207" max="207" width="37.42578125" style="10" customWidth="1"/>
    <col min="208" max="208" width="13.5703125" style="10" customWidth="1"/>
    <col min="209" max="209" width="14.42578125" style="10" customWidth="1"/>
    <col min="210" max="210" width="8.42578125" style="10" bestFit="1" customWidth="1"/>
    <col min="211" max="211" width="16.85546875" style="10" customWidth="1"/>
    <col min="212" max="212" width="9.140625" style="10"/>
    <col min="213" max="213" width="11.28515625" style="10" customWidth="1"/>
    <col min="214" max="462" width="9.140625" style="10"/>
    <col min="463" max="463" width="37.42578125" style="10" customWidth="1"/>
    <col min="464" max="464" width="13.5703125" style="10" customWidth="1"/>
    <col min="465" max="465" width="14.42578125" style="10" customWidth="1"/>
    <col min="466" max="466" width="8.42578125" style="10" bestFit="1" customWidth="1"/>
    <col min="467" max="467" width="16.85546875" style="10" customWidth="1"/>
    <col min="468" max="468" width="9.140625" style="10"/>
    <col min="469" max="469" width="11.28515625" style="10" customWidth="1"/>
    <col min="470" max="718" width="9.140625" style="10"/>
    <col min="719" max="719" width="37.42578125" style="10" customWidth="1"/>
    <col min="720" max="720" width="13.5703125" style="10" customWidth="1"/>
    <col min="721" max="721" width="14.42578125" style="10" customWidth="1"/>
    <col min="722" max="722" width="8.42578125" style="10" bestFit="1" customWidth="1"/>
    <col min="723" max="723" width="16.85546875" style="10" customWidth="1"/>
    <col min="724" max="724" width="9.140625" style="10"/>
    <col min="725" max="725" width="11.28515625" style="10" customWidth="1"/>
    <col min="726" max="974" width="9.140625" style="10"/>
    <col min="975" max="975" width="37.42578125" style="10" customWidth="1"/>
    <col min="976" max="976" width="13.5703125" style="10" customWidth="1"/>
    <col min="977" max="977" width="14.42578125" style="10" customWidth="1"/>
    <col min="978" max="978" width="8.42578125" style="10" bestFit="1" customWidth="1"/>
    <col min="979" max="979" width="16.85546875" style="10" customWidth="1"/>
    <col min="980" max="980" width="9.140625" style="10"/>
    <col min="981" max="981" width="11.28515625" style="10" customWidth="1"/>
    <col min="982" max="1230" width="9.140625" style="10"/>
    <col min="1231" max="1231" width="37.42578125" style="10" customWidth="1"/>
    <col min="1232" max="1232" width="13.5703125" style="10" customWidth="1"/>
    <col min="1233" max="1233" width="14.42578125" style="10" customWidth="1"/>
    <col min="1234" max="1234" width="8.42578125" style="10" bestFit="1" customWidth="1"/>
    <col min="1235" max="1235" width="16.85546875" style="10" customWidth="1"/>
    <col min="1236" max="1236" width="9.140625" style="10"/>
    <col min="1237" max="1237" width="11.28515625" style="10" customWidth="1"/>
    <col min="1238" max="1486" width="9.140625" style="10"/>
    <col min="1487" max="1487" width="37.42578125" style="10" customWidth="1"/>
    <col min="1488" max="1488" width="13.5703125" style="10" customWidth="1"/>
    <col min="1489" max="1489" width="14.42578125" style="10" customWidth="1"/>
    <col min="1490" max="1490" width="8.42578125" style="10" bestFit="1" customWidth="1"/>
    <col min="1491" max="1491" width="16.85546875" style="10" customWidth="1"/>
    <col min="1492" max="1492" width="9.140625" style="10"/>
    <col min="1493" max="1493" width="11.28515625" style="10" customWidth="1"/>
    <col min="1494" max="1742" width="9.140625" style="10"/>
    <col min="1743" max="1743" width="37.42578125" style="10" customWidth="1"/>
    <col min="1744" max="1744" width="13.5703125" style="10" customWidth="1"/>
    <col min="1745" max="1745" width="14.42578125" style="10" customWidth="1"/>
    <col min="1746" max="1746" width="8.42578125" style="10" bestFit="1" customWidth="1"/>
    <col min="1747" max="1747" width="16.85546875" style="10" customWidth="1"/>
    <col min="1748" max="1748" width="9.140625" style="10"/>
    <col min="1749" max="1749" width="11.28515625" style="10" customWidth="1"/>
    <col min="1750" max="1998" width="9.140625" style="10"/>
    <col min="1999" max="1999" width="37.42578125" style="10" customWidth="1"/>
    <col min="2000" max="2000" width="13.5703125" style="10" customWidth="1"/>
    <col min="2001" max="2001" width="14.42578125" style="10" customWidth="1"/>
    <col min="2002" max="2002" width="8.42578125" style="10" bestFit="1" customWidth="1"/>
    <col min="2003" max="2003" width="16.85546875" style="10" customWidth="1"/>
    <col min="2004" max="2004" width="9.140625" style="10"/>
    <col min="2005" max="2005" width="11.28515625" style="10" customWidth="1"/>
    <col min="2006" max="2254" width="9.140625" style="10"/>
    <col min="2255" max="2255" width="37.42578125" style="10" customWidth="1"/>
    <col min="2256" max="2256" width="13.5703125" style="10" customWidth="1"/>
    <col min="2257" max="2257" width="14.42578125" style="10" customWidth="1"/>
    <col min="2258" max="2258" width="8.42578125" style="10" bestFit="1" customWidth="1"/>
    <col min="2259" max="2259" width="16.85546875" style="10" customWidth="1"/>
    <col min="2260" max="2260" width="9.140625" style="10"/>
    <col min="2261" max="2261" width="11.28515625" style="10" customWidth="1"/>
    <col min="2262" max="2510" width="9.140625" style="10"/>
    <col min="2511" max="2511" width="37.42578125" style="10" customWidth="1"/>
    <col min="2512" max="2512" width="13.5703125" style="10" customWidth="1"/>
    <col min="2513" max="2513" width="14.42578125" style="10" customWidth="1"/>
    <col min="2514" max="2514" width="8.42578125" style="10" bestFit="1" customWidth="1"/>
    <col min="2515" max="2515" width="16.85546875" style="10" customWidth="1"/>
    <col min="2516" max="2516" width="9.140625" style="10"/>
    <col min="2517" max="2517" width="11.28515625" style="10" customWidth="1"/>
    <col min="2518" max="2766" width="9.140625" style="10"/>
    <col min="2767" max="2767" width="37.42578125" style="10" customWidth="1"/>
    <col min="2768" max="2768" width="13.5703125" style="10" customWidth="1"/>
    <col min="2769" max="2769" width="14.42578125" style="10" customWidth="1"/>
    <col min="2770" max="2770" width="8.42578125" style="10" bestFit="1" customWidth="1"/>
    <col min="2771" max="2771" width="16.85546875" style="10" customWidth="1"/>
    <col min="2772" max="2772" width="9.140625" style="10"/>
    <col min="2773" max="2773" width="11.28515625" style="10" customWidth="1"/>
    <col min="2774" max="3022" width="9.140625" style="10"/>
    <col min="3023" max="3023" width="37.42578125" style="10" customWidth="1"/>
    <col min="3024" max="3024" width="13.5703125" style="10" customWidth="1"/>
    <col min="3025" max="3025" width="14.42578125" style="10" customWidth="1"/>
    <col min="3026" max="3026" width="8.42578125" style="10" bestFit="1" customWidth="1"/>
    <col min="3027" max="3027" width="16.85546875" style="10" customWidth="1"/>
    <col min="3028" max="3028" width="9.140625" style="10"/>
    <col min="3029" max="3029" width="11.28515625" style="10" customWidth="1"/>
    <col min="3030" max="3278" width="9.140625" style="10"/>
    <col min="3279" max="3279" width="37.42578125" style="10" customWidth="1"/>
    <col min="3280" max="3280" width="13.5703125" style="10" customWidth="1"/>
    <col min="3281" max="3281" width="14.42578125" style="10" customWidth="1"/>
    <col min="3282" max="3282" width="8.42578125" style="10" bestFit="1" customWidth="1"/>
    <col min="3283" max="3283" width="16.85546875" style="10" customWidth="1"/>
    <col min="3284" max="3284" width="9.140625" style="10"/>
    <col min="3285" max="3285" width="11.28515625" style="10" customWidth="1"/>
    <col min="3286" max="3534" width="9.140625" style="10"/>
    <col min="3535" max="3535" width="37.42578125" style="10" customWidth="1"/>
    <col min="3536" max="3536" width="13.5703125" style="10" customWidth="1"/>
    <col min="3537" max="3537" width="14.42578125" style="10" customWidth="1"/>
    <col min="3538" max="3538" width="8.42578125" style="10" bestFit="1" customWidth="1"/>
    <col min="3539" max="3539" width="16.85546875" style="10" customWidth="1"/>
    <col min="3540" max="3540" width="9.140625" style="10"/>
    <col min="3541" max="3541" width="11.28515625" style="10" customWidth="1"/>
    <col min="3542" max="3790" width="9.140625" style="10"/>
    <col min="3791" max="3791" width="37.42578125" style="10" customWidth="1"/>
    <col min="3792" max="3792" width="13.5703125" style="10" customWidth="1"/>
    <col min="3793" max="3793" width="14.42578125" style="10" customWidth="1"/>
    <col min="3794" max="3794" width="8.42578125" style="10" bestFit="1" customWidth="1"/>
    <col min="3795" max="3795" width="16.85546875" style="10" customWidth="1"/>
    <col min="3796" max="3796" width="9.140625" style="10"/>
    <col min="3797" max="3797" width="11.28515625" style="10" customWidth="1"/>
    <col min="3798" max="4046" width="9.140625" style="10"/>
    <col min="4047" max="4047" width="37.42578125" style="10" customWidth="1"/>
    <col min="4048" max="4048" width="13.5703125" style="10" customWidth="1"/>
    <col min="4049" max="4049" width="14.42578125" style="10" customWidth="1"/>
    <col min="4050" max="4050" width="8.42578125" style="10" bestFit="1" customWidth="1"/>
    <col min="4051" max="4051" width="16.85546875" style="10" customWidth="1"/>
    <col min="4052" max="4052" width="9.140625" style="10"/>
    <col min="4053" max="4053" width="11.28515625" style="10" customWidth="1"/>
    <col min="4054" max="4302" width="9.140625" style="10"/>
    <col min="4303" max="4303" width="37.42578125" style="10" customWidth="1"/>
    <col min="4304" max="4304" width="13.5703125" style="10" customWidth="1"/>
    <col min="4305" max="4305" width="14.42578125" style="10" customWidth="1"/>
    <col min="4306" max="4306" width="8.42578125" style="10" bestFit="1" customWidth="1"/>
    <col min="4307" max="4307" width="16.85546875" style="10" customWidth="1"/>
    <col min="4308" max="4308" width="9.140625" style="10"/>
    <col min="4309" max="4309" width="11.28515625" style="10" customWidth="1"/>
    <col min="4310" max="4558" width="9.140625" style="10"/>
    <col min="4559" max="4559" width="37.42578125" style="10" customWidth="1"/>
    <col min="4560" max="4560" width="13.5703125" style="10" customWidth="1"/>
    <col min="4561" max="4561" width="14.42578125" style="10" customWidth="1"/>
    <col min="4562" max="4562" width="8.42578125" style="10" bestFit="1" customWidth="1"/>
    <col min="4563" max="4563" width="16.85546875" style="10" customWidth="1"/>
    <col min="4564" max="4564" width="9.140625" style="10"/>
    <col min="4565" max="4565" width="11.28515625" style="10" customWidth="1"/>
    <col min="4566" max="4814" width="9.140625" style="10"/>
    <col min="4815" max="4815" width="37.42578125" style="10" customWidth="1"/>
    <col min="4816" max="4816" width="13.5703125" style="10" customWidth="1"/>
    <col min="4817" max="4817" width="14.42578125" style="10" customWidth="1"/>
    <col min="4818" max="4818" width="8.42578125" style="10" bestFit="1" customWidth="1"/>
    <col min="4819" max="4819" width="16.85546875" style="10" customWidth="1"/>
    <col min="4820" max="4820" width="9.140625" style="10"/>
    <col min="4821" max="4821" width="11.28515625" style="10" customWidth="1"/>
    <col min="4822" max="5070" width="9.140625" style="10"/>
    <col min="5071" max="5071" width="37.42578125" style="10" customWidth="1"/>
    <col min="5072" max="5072" width="13.5703125" style="10" customWidth="1"/>
    <col min="5073" max="5073" width="14.42578125" style="10" customWidth="1"/>
    <col min="5074" max="5074" width="8.42578125" style="10" bestFit="1" customWidth="1"/>
    <col min="5075" max="5075" width="16.85546875" style="10" customWidth="1"/>
    <col min="5076" max="5076" width="9.140625" style="10"/>
    <col min="5077" max="5077" width="11.28515625" style="10" customWidth="1"/>
    <col min="5078" max="5326" width="9.140625" style="10"/>
    <col min="5327" max="5327" width="37.42578125" style="10" customWidth="1"/>
    <col min="5328" max="5328" width="13.5703125" style="10" customWidth="1"/>
    <col min="5329" max="5329" width="14.42578125" style="10" customWidth="1"/>
    <col min="5330" max="5330" width="8.42578125" style="10" bestFit="1" customWidth="1"/>
    <col min="5331" max="5331" width="16.85546875" style="10" customWidth="1"/>
    <col min="5332" max="5332" width="9.140625" style="10"/>
    <col min="5333" max="5333" width="11.28515625" style="10" customWidth="1"/>
    <col min="5334" max="5582" width="9.140625" style="10"/>
    <col min="5583" max="5583" width="37.42578125" style="10" customWidth="1"/>
    <col min="5584" max="5584" width="13.5703125" style="10" customWidth="1"/>
    <col min="5585" max="5585" width="14.42578125" style="10" customWidth="1"/>
    <col min="5586" max="5586" width="8.42578125" style="10" bestFit="1" customWidth="1"/>
    <col min="5587" max="5587" width="16.85546875" style="10" customWidth="1"/>
    <col min="5588" max="5588" width="9.140625" style="10"/>
    <col min="5589" max="5589" width="11.28515625" style="10" customWidth="1"/>
    <col min="5590" max="5838" width="9.140625" style="10"/>
    <col min="5839" max="5839" width="37.42578125" style="10" customWidth="1"/>
    <col min="5840" max="5840" width="13.5703125" style="10" customWidth="1"/>
    <col min="5841" max="5841" width="14.42578125" style="10" customWidth="1"/>
    <col min="5842" max="5842" width="8.42578125" style="10" bestFit="1" customWidth="1"/>
    <col min="5843" max="5843" width="16.85546875" style="10" customWidth="1"/>
    <col min="5844" max="5844" width="9.140625" style="10"/>
    <col min="5845" max="5845" width="11.28515625" style="10" customWidth="1"/>
    <col min="5846" max="6094" width="9.140625" style="10"/>
    <col min="6095" max="6095" width="37.42578125" style="10" customWidth="1"/>
    <col min="6096" max="6096" width="13.5703125" style="10" customWidth="1"/>
    <col min="6097" max="6097" width="14.42578125" style="10" customWidth="1"/>
    <col min="6098" max="6098" width="8.42578125" style="10" bestFit="1" customWidth="1"/>
    <col min="6099" max="6099" width="16.85546875" style="10" customWidth="1"/>
    <col min="6100" max="6100" width="9.140625" style="10"/>
    <col min="6101" max="6101" width="11.28515625" style="10" customWidth="1"/>
    <col min="6102" max="6350" width="9.140625" style="10"/>
    <col min="6351" max="6351" width="37.42578125" style="10" customWidth="1"/>
    <col min="6352" max="6352" width="13.5703125" style="10" customWidth="1"/>
    <col min="6353" max="6353" width="14.42578125" style="10" customWidth="1"/>
    <col min="6354" max="6354" width="8.42578125" style="10" bestFit="1" customWidth="1"/>
    <col min="6355" max="6355" width="16.85546875" style="10" customWidth="1"/>
    <col min="6356" max="6356" width="9.140625" style="10"/>
    <col min="6357" max="6357" width="11.28515625" style="10" customWidth="1"/>
    <col min="6358" max="6606" width="9.140625" style="10"/>
    <col min="6607" max="6607" width="37.42578125" style="10" customWidth="1"/>
    <col min="6608" max="6608" width="13.5703125" style="10" customWidth="1"/>
    <col min="6609" max="6609" width="14.42578125" style="10" customWidth="1"/>
    <col min="6610" max="6610" width="8.42578125" style="10" bestFit="1" customWidth="1"/>
    <col min="6611" max="6611" width="16.85546875" style="10" customWidth="1"/>
    <col min="6612" max="6612" width="9.140625" style="10"/>
    <col min="6613" max="6613" width="11.28515625" style="10" customWidth="1"/>
    <col min="6614" max="6862" width="9.140625" style="10"/>
    <col min="6863" max="6863" width="37.42578125" style="10" customWidth="1"/>
    <col min="6864" max="6864" width="13.5703125" style="10" customWidth="1"/>
    <col min="6865" max="6865" width="14.42578125" style="10" customWidth="1"/>
    <col min="6866" max="6866" width="8.42578125" style="10" bestFit="1" customWidth="1"/>
    <col min="6867" max="6867" width="16.85546875" style="10" customWidth="1"/>
    <col min="6868" max="6868" width="9.140625" style="10"/>
    <col min="6869" max="6869" width="11.28515625" style="10" customWidth="1"/>
    <col min="6870" max="7118" width="9.140625" style="10"/>
    <col min="7119" max="7119" width="37.42578125" style="10" customWidth="1"/>
    <col min="7120" max="7120" width="13.5703125" style="10" customWidth="1"/>
    <col min="7121" max="7121" width="14.42578125" style="10" customWidth="1"/>
    <col min="7122" max="7122" width="8.42578125" style="10" bestFit="1" customWidth="1"/>
    <col min="7123" max="7123" width="16.85546875" style="10" customWidth="1"/>
    <col min="7124" max="7124" width="9.140625" style="10"/>
    <col min="7125" max="7125" width="11.28515625" style="10" customWidth="1"/>
    <col min="7126" max="7374" width="9.140625" style="10"/>
    <col min="7375" max="7375" width="37.42578125" style="10" customWidth="1"/>
    <col min="7376" max="7376" width="13.5703125" style="10" customWidth="1"/>
    <col min="7377" max="7377" width="14.42578125" style="10" customWidth="1"/>
    <col min="7378" max="7378" width="8.42578125" style="10" bestFit="1" customWidth="1"/>
    <col min="7379" max="7379" width="16.85546875" style="10" customWidth="1"/>
    <col min="7380" max="7380" width="9.140625" style="10"/>
    <col min="7381" max="7381" width="11.28515625" style="10" customWidth="1"/>
    <col min="7382" max="7630" width="9.140625" style="10"/>
    <col min="7631" max="7631" width="37.42578125" style="10" customWidth="1"/>
    <col min="7632" max="7632" width="13.5703125" style="10" customWidth="1"/>
    <col min="7633" max="7633" width="14.42578125" style="10" customWidth="1"/>
    <col min="7634" max="7634" width="8.42578125" style="10" bestFit="1" customWidth="1"/>
    <col min="7635" max="7635" width="16.85546875" style="10" customWidth="1"/>
    <col min="7636" max="7636" width="9.140625" style="10"/>
    <col min="7637" max="7637" width="11.28515625" style="10" customWidth="1"/>
    <col min="7638" max="7886" width="9.140625" style="10"/>
    <col min="7887" max="7887" width="37.42578125" style="10" customWidth="1"/>
    <col min="7888" max="7888" width="13.5703125" style="10" customWidth="1"/>
    <col min="7889" max="7889" width="14.42578125" style="10" customWidth="1"/>
    <col min="7890" max="7890" width="8.42578125" style="10" bestFit="1" customWidth="1"/>
    <col min="7891" max="7891" width="16.85546875" style="10" customWidth="1"/>
    <col min="7892" max="7892" width="9.140625" style="10"/>
    <col min="7893" max="7893" width="11.28515625" style="10" customWidth="1"/>
    <col min="7894" max="8142" width="9.140625" style="10"/>
    <col min="8143" max="8143" width="37.42578125" style="10" customWidth="1"/>
    <col min="8144" max="8144" width="13.5703125" style="10" customWidth="1"/>
    <col min="8145" max="8145" width="14.42578125" style="10" customWidth="1"/>
    <col min="8146" max="8146" width="8.42578125" style="10" bestFit="1" customWidth="1"/>
    <col min="8147" max="8147" width="16.85546875" style="10" customWidth="1"/>
    <col min="8148" max="8148" width="9.140625" style="10"/>
    <col min="8149" max="8149" width="11.28515625" style="10" customWidth="1"/>
    <col min="8150" max="8398" width="9.140625" style="10"/>
    <col min="8399" max="8399" width="37.42578125" style="10" customWidth="1"/>
    <col min="8400" max="8400" width="13.5703125" style="10" customWidth="1"/>
    <col min="8401" max="8401" width="14.42578125" style="10" customWidth="1"/>
    <col min="8402" max="8402" width="8.42578125" style="10" bestFit="1" customWidth="1"/>
    <col min="8403" max="8403" width="16.85546875" style="10" customWidth="1"/>
    <col min="8404" max="8404" width="9.140625" style="10"/>
    <col min="8405" max="8405" width="11.28515625" style="10" customWidth="1"/>
    <col min="8406" max="8654" width="9.140625" style="10"/>
    <col min="8655" max="8655" width="37.42578125" style="10" customWidth="1"/>
    <col min="8656" max="8656" width="13.5703125" style="10" customWidth="1"/>
    <col min="8657" max="8657" width="14.42578125" style="10" customWidth="1"/>
    <col min="8658" max="8658" width="8.42578125" style="10" bestFit="1" customWidth="1"/>
    <col min="8659" max="8659" width="16.85546875" style="10" customWidth="1"/>
    <col min="8660" max="8660" width="9.140625" style="10"/>
    <col min="8661" max="8661" width="11.28515625" style="10" customWidth="1"/>
    <col min="8662" max="8910" width="9.140625" style="10"/>
    <col min="8911" max="8911" width="37.42578125" style="10" customWidth="1"/>
    <col min="8912" max="8912" width="13.5703125" style="10" customWidth="1"/>
    <col min="8913" max="8913" width="14.42578125" style="10" customWidth="1"/>
    <col min="8914" max="8914" width="8.42578125" style="10" bestFit="1" customWidth="1"/>
    <col min="8915" max="8915" width="16.85546875" style="10" customWidth="1"/>
    <col min="8916" max="8916" width="9.140625" style="10"/>
    <col min="8917" max="8917" width="11.28515625" style="10" customWidth="1"/>
    <col min="8918" max="9166" width="9.140625" style="10"/>
    <col min="9167" max="9167" width="37.42578125" style="10" customWidth="1"/>
    <col min="9168" max="9168" width="13.5703125" style="10" customWidth="1"/>
    <col min="9169" max="9169" width="14.42578125" style="10" customWidth="1"/>
    <col min="9170" max="9170" width="8.42578125" style="10" bestFit="1" customWidth="1"/>
    <col min="9171" max="9171" width="16.85546875" style="10" customWidth="1"/>
    <col min="9172" max="9172" width="9.140625" style="10"/>
    <col min="9173" max="9173" width="11.28515625" style="10" customWidth="1"/>
    <col min="9174" max="9422" width="9.140625" style="10"/>
    <col min="9423" max="9423" width="37.42578125" style="10" customWidth="1"/>
    <col min="9424" max="9424" width="13.5703125" style="10" customWidth="1"/>
    <col min="9425" max="9425" width="14.42578125" style="10" customWidth="1"/>
    <col min="9426" max="9426" width="8.42578125" style="10" bestFit="1" customWidth="1"/>
    <col min="9427" max="9427" width="16.85546875" style="10" customWidth="1"/>
    <col min="9428" max="9428" width="9.140625" style="10"/>
    <col min="9429" max="9429" width="11.28515625" style="10" customWidth="1"/>
    <col min="9430" max="9678" width="9.140625" style="10"/>
    <col min="9679" max="9679" width="37.42578125" style="10" customWidth="1"/>
    <col min="9680" max="9680" width="13.5703125" style="10" customWidth="1"/>
    <col min="9681" max="9681" width="14.42578125" style="10" customWidth="1"/>
    <col min="9682" max="9682" width="8.42578125" style="10" bestFit="1" customWidth="1"/>
    <col min="9683" max="9683" width="16.85546875" style="10" customWidth="1"/>
    <col min="9684" max="9684" width="9.140625" style="10"/>
    <col min="9685" max="9685" width="11.28515625" style="10" customWidth="1"/>
    <col min="9686" max="9934" width="9.140625" style="10"/>
    <col min="9935" max="9935" width="37.42578125" style="10" customWidth="1"/>
    <col min="9936" max="9936" width="13.5703125" style="10" customWidth="1"/>
    <col min="9937" max="9937" width="14.42578125" style="10" customWidth="1"/>
    <col min="9938" max="9938" width="8.42578125" style="10" bestFit="1" customWidth="1"/>
    <col min="9939" max="9939" width="16.85546875" style="10" customWidth="1"/>
    <col min="9940" max="9940" width="9.140625" style="10"/>
    <col min="9941" max="9941" width="11.28515625" style="10" customWidth="1"/>
    <col min="9942" max="10190" width="9.140625" style="10"/>
    <col min="10191" max="10191" width="37.42578125" style="10" customWidth="1"/>
    <col min="10192" max="10192" width="13.5703125" style="10" customWidth="1"/>
    <col min="10193" max="10193" width="14.42578125" style="10" customWidth="1"/>
    <col min="10194" max="10194" width="8.42578125" style="10" bestFit="1" customWidth="1"/>
    <col min="10195" max="10195" width="16.85546875" style="10" customWidth="1"/>
    <col min="10196" max="10196" width="9.140625" style="10"/>
    <col min="10197" max="10197" width="11.28515625" style="10" customWidth="1"/>
    <col min="10198" max="10446" width="9.140625" style="10"/>
    <col min="10447" max="10447" width="37.42578125" style="10" customWidth="1"/>
    <col min="10448" max="10448" width="13.5703125" style="10" customWidth="1"/>
    <col min="10449" max="10449" width="14.42578125" style="10" customWidth="1"/>
    <col min="10450" max="10450" width="8.42578125" style="10" bestFit="1" customWidth="1"/>
    <col min="10451" max="10451" width="16.85546875" style="10" customWidth="1"/>
    <col min="10452" max="10452" width="9.140625" style="10"/>
    <col min="10453" max="10453" width="11.28515625" style="10" customWidth="1"/>
    <col min="10454" max="10702" width="9.140625" style="10"/>
    <col min="10703" max="10703" width="37.42578125" style="10" customWidth="1"/>
    <col min="10704" max="10704" width="13.5703125" style="10" customWidth="1"/>
    <col min="10705" max="10705" width="14.42578125" style="10" customWidth="1"/>
    <col min="10706" max="10706" width="8.42578125" style="10" bestFit="1" customWidth="1"/>
    <col min="10707" max="10707" width="16.85546875" style="10" customWidth="1"/>
    <col min="10708" max="10708" width="9.140625" style="10"/>
    <col min="10709" max="10709" width="11.28515625" style="10" customWidth="1"/>
    <col min="10710" max="10958" width="9.140625" style="10"/>
    <col min="10959" max="10959" width="37.42578125" style="10" customWidth="1"/>
    <col min="10960" max="10960" width="13.5703125" style="10" customWidth="1"/>
    <col min="10961" max="10961" width="14.42578125" style="10" customWidth="1"/>
    <col min="10962" max="10962" width="8.42578125" style="10" bestFit="1" customWidth="1"/>
    <col min="10963" max="10963" width="16.85546875" style="10" customWidth="1"/>
    <col min="10964" max="10964" width="9.140625" style="10"/>
    <col min="10965" max="10965" width="11.28515625" style="10" customWidth="1"/>
    <col min="10966" max="11214" width="9.140625" style="10"/>
    <col min="11215" max="11215" width="37.42578125" style="10" customWidth="1"/>
    <col min="11216" max="11216" width="13.5703125" style="10" customWidth="1"/>
    <col min="11217" max="11217" width="14.42578125" style="10" customWidth="1"/>
    <col min="11218" max="11218" width="8.42578125" style="10" bestFit="1" customWidth="1"/>
    <col min="11219" max="11219" width="16.85546875" style="10" customWidth="1"/>
    <col min="11220" max="11220" width="9.140625" style="10"/>
    <col min="11221" max="11221" width="11.28515625" style="10" customWidth="1"/>
    <col min="11222" max="11470" width="9.140625" style="10"/>
    <col min="11471" max="11471" width="37.42578125" style="10" customWidth="1"/>
    <col min="11472" max="11472" width="13.5703125" style="10" customWidth="1"/>
    <col min="11473" max="11473" width="14.42578125" style="10" customWidth="1"/>
    <col min="11474" max="11474" width="8.42578125" style="10" bestFit="1" customWidth="1"/>
    <col min="11475" max="11475" width="16.85546875" style="10" customWidth="1"/>
    <col min="11476" max="11476" width="9.140625" style="10"/>
    <col min="11477" max="11477" width="11.28515625" style="10" customWidth="1"/>
    <col min="11478" max="11726" width="9.140625" style="10"/>
    <col min="11727" max="11727" width="37.42578125" style="10" customWidth="1"/>
    <col min="11728" max="11728" width="13.5703125" style="10" customWidth="1"/>
    <col min="11729" max="11729" width="14.42578125" style="10" customWidth="1"/>
    <col min="11730" max="11730" width="8.42578125" style="10" bestFit="1" customWidth="1"/>
    <col min="11731" max="11731" width="16.85546875" style="10" customWidth="1"/>
    <col min="11732" max="11732" width="9.140625" style="10"/>
    <col min="11733" max="11733" width="11.28515625" style="10" customWidth="1"/>
    <col min="11734" max="11982" width="9.140625" style="10"/>
    <col min="11983" max="11983" width="37.42578125" style="10" customWidth="1"/>
    <col min="11984" max="11984" width="13.5703125" style="10" customWidth="1"/>
    <col min="11985" max="11985" width="14.42578125" style="10" customWidth="1"/>
    <col min="11986" max="11986" width="8.42578125" style="10" bestFit="1" customWidth="1"/>
    <col min="11987" max="11987" width="16.85546875" style="10" customWidth="1"/>
    <col min="11988" max="11988" width="9.140625" style="10"/>
    <col min="11989" max="11989" width="11.28515625" style="10" customWidth="1"/>
    <col min="11990" max="12238" width="9.140625" style="10"/>
    <col min="12239" max="12239" width="37.42578125" style="10" customWidth="1"/>
    <col min="12240" max="12240" width="13.5703125" style="10" customWidth="1"/>
    <col min="12241" max="12241" width="14.42578125" style="10" customWidth="1"/>
    <col min="12242" max="12242" width="8.42578125" style="10" bestFit="1" customWidth="1"/>
    <col min="12243" max="12243" width="16.85546875" style="10" customWidth="1"/>
    <col min="12244" max="12244" width="9.140625" style="10"/>
    <col min="12245" max="12245" width="11.28515625" style="10" customWidth="1"/>
    <col min="12246" max="12494" width="9.140625" style="10"/>
    <col min="12495" max="12495" width="37.42578125" style="10" customWidth="1"/>
    <col min="12496" max="12496" width="13.5703125" style="10" customWidth="1"/>
    <col min="12497" max="12497" width="14.42578125" style="10" customWidth="1"/>
    <col min="12498" max="12498" width="8.42578125" style="10" bestFit="1" customWidth="1"/>
    <col min="12499" max="12499" width="16.85546875" style="10" customWidth="1"/>
    <col min="12500" max="12500" width="9.140625" style="10"/>
    <col min="12501" max="12501" width="11.28515625" style="10" customWidth="1"/>
    <col min="12502" max="12750" width="9.140625" style="10"/>
    <col min="12751" max="12751" width="37.42578125" style="10" customWidth="1"/>
    <col min="12752" max="12752" width="13.5703125" style="10" customWidth="1"/>
    <col min="12753" max="12753" width="14.42578125" style="10" customWidth="1"/>
    <col min="12754" max="12754" width="8.42578125" style="10" bestFit="1" customWidth="1"/>
    <col min="12755" max="12755" width="16.85546875" style="10" customWidth="1"/>
    <col min="12756" max="12756" width="9.140625" style="10"/>
    <col min="12757" max="12757" width="11.28515625" style="10" customWidth="1"/>
    <col min="12758" max="13006" width="9.140625" style="10"/>
    <col min="13007" max="13007" width="37.42578125" style="10" customWidth="1"/>
    <col min="13008" max="13008" width="13.5703125" style="10" customWidth="1"/>
    <col min="13009" max="13009" width="14.42578125" style="10" customWidth="1"/>
    <col min="13010" max="13010" width="8.42578125" style="10" bestFit="1" customWidth="1"/>
    <col min="13011" max="13011" width="16.85546875" style="10" customWidth="1"/>
    <col min="13012" max="13012" width="9.140625" style="10"/>
    <col min="13013" max="13013" width="11.28515625" style="10" customWidth="1"/>
    <col min="13014" max="13262" width="9.140625" style="10"/>
    <col min="13263" max="13263" width="37.42578125" style="10" customWidth="1"/>
    <col min="13264" max="13264" width="13.5703125" style="10" customWidth="1"/>
    <col min="13265" max="13265" width="14.42578125" style="10" customWidth="1"/>
    <col min="13266" max="13266" width="8.42578125" style="10" bestFit="1" customWidth="1"/>
    <col min="13267" max="13267" width="16.85546875" style="10" customWidth="1"/>
    <col min="13268" max="13268" width="9.140625" style="10"/>
    <col min="13269" max="13269" width="11.28515625" style="10" customWidth="1"/>
    <col min="13270" max="13518" width="9.140625" style="10"/>
    <col min="13519" max="13519" width="37.42578125" style="10" customWidth="1"/>
    <col min="13520" max="13520" width="13.5703125" style="10" customWidth="1"/>
    <col min="13521" max="13521" width="14.42578125" style="10" customWidth="1"/>
    <col min="13522" max="13522" width="8.42578125" style="10" bestFit="1" customWidth="1"/>
    <col min="13523" max="13523" width="16.85546875" style="10" customWidth="1"/>
    <col min="13524" max="13524" width="9.140625" style="10"/>
    <col min="13525" max="13525" width="11.28515625" style="10" customWidth="1"/>
    <col min="13526" max="13774" width="9.140625" style="10"/>
    <col min="13775" max="13775" width="37.42578125" style="10" customWidth="1"/>
    <col min="13776" max="13776" width="13.5703125" style="10" customWidth="1"/>
    <col min="13777" max="13777" width="14.42578125" style="10" customWidth="1"/>
    <col min="13778" max="13778" width="8.42578125" style="10" bestFit="1" customWidth="1"/>
    <col min="13779" max="13779" width="16.85546875" style="10" customWidth="1"/>
    <col min="13780" max="13780" width="9.140625" style="10"/>
    <col min="13781" max="13781" width="11.28515625" style="10" customWidth="1"/>
    <col min="13782" max="14030" width="9.140625" style="10"/>
    <col min="14031" max="14031" width="37.42578125" style="10" customWidth="1"/>
    <col min="14032" max="14032" width="13.5703125" style="10" customWidth="1"/>
    <col min="14033" max="14033" width="14.42578125" style="10" customWidth="1"/>
    <col min="14034" max="14034" width="8.42578125" style="10" bestFit="1" customWidth="1"/>
    <col min="14035" max="14035" width="16.85546875" style="10" customWidth="1"/>
    <col min="14036" max="14036" width="9.140625" style="10"/>
    <col min="14037" max="14037" width="11.28515625" style="10" customWidth="1"/>
    <col min="14038" max="14286" width="9.140625" style="10"/>
    <col min="14287" max="14287" width="37.42578125" style="10" customWidth="1"/>
    <col min="14288" max="14288" width="13.5703125" style="10" customWidth="1"/>
    <col min="14289" max="14289" width="14.42578125" style="10" customWidth="1"/>
    <col min="14290" max="14290" width="8.42578125" style="10" bestFit="1" customWidth="1"/>
    <col min="14291" max="14291" width="16.85546875" style="10" customWidth="1"/>
    <col min="14292" max="14292" width="9.140625" style="10"/>
    <col min="14293" max="14293" width="11.28515625" style="10" customWidth="1"/>
    <col min="14294" max="14542" width="9.140625" style="10"/>
    <col min="14543" max="14543" width="37.42578125" style="10" customWidth="1"/>
    <col min="14544" max="14544" width="13.5703125" style="10" customWidth="1"/>
    <col min="14545" max="14545" width="14.42578125" style="10" customWidth="1"/>
    <col min="14546" max="14546" width="8.42578125" style="10" bestFit="1" customWidth="1"/>
    <col min="14547" max="14547" width="16.85546875" style="10" customWidth="1"/>
    <col min="14548" max="14548" width="9.140625" style="10"/>
    <col min="14549" max="14549" width="11.28515625" style="10" customWidth="1"/>
    <col min="14550" max="14798" width="9.140625" style="10"/>
    <col min="14799" max="14799" width="37.42578125" style="10" customWidth="1"/>
    <col min="14800" max="14800" width="13.5703125" style="10" customWidth="1"/>
    <col min="14801" max="14801" width="14.42578125" style="10" customWidth="1"/>
    <col min="14802" max="14802" width="8.42578125" style="10" bestFit="1" customWidth="1"/>
    <col min="14803" max="14803" width="16.85546875" style="10" customWidth="1"/>
    <col min="14804" max="14804" width="9.140625" style="10"/>
    <col min="14805" max="14805" width="11.28515625" style="10" customWidth="1"/>
    <col min="14806" max="15054" width="9.140625" style="10"/>
    <col min="15055" max="15055" width="37.42578125" style="10" customWidth="1"/>
    <col min="15056" max="15056" width="13.5703125" style="10" customWidth="1"/>
    <col min="15057" max="15057" width="14.42578125" style="10" customWidth="1"/>
    <col min="15058" max="15058" width="8.42578125" style="10" bestFit="1" customWidth="1"/>
    <col min="15059" max="15059" width="16.85546875" style="10" customWidth="1"/>
    <col min="15060" max="15060" width="9.140625" style="10"/>
    <col min="15061" max="15061" width="11.28515625" style="10" customWidth="1"/>
    <col min="15062" max="15310" width="9.140625" style="10"/>
    <col min="15311" max="15311" width="37.42578125" style="10" customWidth="1"/>
    <col min="15312" max="15312" width="13.5703125" style="10" customWidth="1"/>
    <col min="15313" max="15313" width="14.42578125" style="10" customWidth="1"/>
    <col min="15314" max="15314" width="8.42578125" style="10" bestFit="1" customWidth="1"/>
    <col min="15315" max="15315" width="16.85546875" style="10" customWidth="1"/>
    <col min="15316" max="15316" width="9.140625" style="10"/>
    <col min="15317" max="15317" width="11.28515625" style="10" customWidth="1"/>
    <col min="15318" max="15566" width="9.140625" style="10"/>
    <col min="15567" max="15567" width="37.42578125" style="10" customWidth="1"/>
    <col min="15568" max="15568" width="13.5703125" style="10" customWidth="1"/>
    <col min="15569" max="15569" width="14.42578125" style="10" customWidth="1"/>
    <col min="15570" max="15570" width="8.42578125" style="10" bestFit="1" customWidth="1"/>
    <col min="15571" max="15571" width="16.85546875" style="10" customWidth="1"/>
    <col min="15572" max="15572" width="9.140625" style="10"/>
    <col min="15573" max="15573" width="11.28515625" style="10" customWidth="1"/>
    <col min="15574" max="15822" width="9.140625" style="10"/>
    <col min="15823" max="15823" width="37.42578125" style="10" customWidth="1"/>
    <col min="15824" max="15824" width="13.5703125" style="10" customWidth="1"/>
    <col min="15825" max="15825" width="14.42578125" style="10" customWidth="1"/>
    <col min="15826" max="15826" width="8.42578125" style="10" bestFit="1" customWidth="1"/>
    <col min="15827" max="15827" width="16.85546875" style="10" customWidth="1"/>
    <col min="15828" max="15828" width="9.140625" style="10"/>
    <col min="15829" max="15829" width="11.28515625" style="10" customWidth="1"/>
    <col min="15830" max="16078" width="9.140625" style="10"/>
    <col min="16079" max="16079" width="37.42578125" style="10" customWidth="1"/>
    <col min="16080" max="16080" width="13.5703125" style="10" customWidth="1"/>
    <col min="16081" max="16081" width="14.42578125" style="10" customWidth="1"/>
    <col min="16082" max="16082" width="8.42578125" style="10" bestFit="1" customWidth="1"/>
    <col min="16083" max="16083" width="16.85546875" style="10" customWidth="1"/>
    <col min="16084" max="16084" width="9.140625" style="10"/>
    <col min="16085" max="16085" width="11.28515625" style="10" customWidth="1"/>
    <col min="16086" max="16384" width="9.140625" style="10"/>
  </cols>
  <sheetData>
    <row r="1" spans="1:23" ht="15.75" x14ac:dyDescent="0.2">
      <c r="A1" s="685" t="s">
        <v>46</v>
      </c>
      <c r="B1" s="686"/>
      <c r="C1" s="686"/>
      <c r="D1" s="686"/>
      <c r="E1" s="687"/>
      <c r="F1" s="687"/>
      <c r="G1" s="688"/>
      <c r="H1" s="9"/>
    </row>
    <row r="2" spans="1:23" x14ac:dyDescent="0.2">
      <c r="A2" s="12" t="s">
        <v>47</v>
      </c>
      <c r="B2" s="689" t="str">
        <f>'BOM R2D CatWalk'!I4</f>
        <v>WELDMENT, PC4100 R2D SLAVE SKID, PC4100</v>
      </c>
      <c r="C2" s="690"/>
      <c r="D2" s="13"/>
      <c r="E2" s="13" t="s">
        <v>48</v>
      </c>
      <c r="F2" s="347"/>
      <c r="G2" s="85"/>
    </row>
    <row r="3" spans="1:23" x14ac:dyDescent="0.2">
      <c r="A3" s="12" t="s">
        <v>49</v>
      </c>
      <c r="B3" s="689" t="str">
        <f>'BOM R2D CatWalk'!G4</f>
        <v>AY30013</v>
      </c>
      <c r="C3" s="690"/>
      <c r="D3" s="13"/>
      <c r="E3" s="13" t="s">
        <v>50</v>
      </c>
      <c r="F3" s="348"/>
      <c r="G3" s="15">
        <f>'BOM R2D CatWalk'!K4</f>
        <v>1</v>
      </c>
      <c r="H3" s="9"/>
    </row>
    <row r="4" spans="1:23" ht="16.5" customHeight="1" x14ac:dyDescent="0.2">
      <c r="A4" s="12" t="s">
        <v>51</v>
      </c>
      <c r="B4" s="86"/>
      <c r="C4" s="86">
        <f>'BOM R2D CatWalk'!N4</f>
        <v>4034</v>
      </c>
      <c r="D4" s="16"/>
      <c r="E4" s="147"/>
      <c r="F4" s="147"/>
      <c r="G4" s="17"/>
      <c r="H4" s="9"/>
      <c r="K4" s="321" t="s">
        <v>0</v>
      </c>
      <c r="L4" s="321" t="s">
        <v>13</v>
      </c>
      <c r="M4" s="321" t="s">
        <v>154</v>
      </c>
      <c r="N4" s="321" t="s">
        <v>544</v>
      </c>
      <c r="O4" s="340" t="s">
        <v>551</v>
      </c>
      <c r="P4" s="340" t="s">
        <v>552</v>
      </c>
      <c r="Q4" s="321" t="s">
        <v>548</v>
      </c>
      <c r="R4" s="321" t="s">
        <v>34</v>
      </c>
      <c r="S4" s="321" t="s">
        <v>549</v>
      </c>
      <c r="T4" s="340" t="s">
        <v>563</v>
      </c>
      <c r="U4" s="321" t="s">
        <v>547</v>
      </c>
      <c r="V4" s="321" t="s">
        <v>156</v>
      </c>
    </row>
    <row r="5" spans="1:23" ht="21.75" customHeight="1" thickBot="1" x14ac:dyDescent="0.25">
      <c r="A5" s="691" t="s">
        <v>52</v>
      </c>
      <c r="B5" s="692"/>
      <c r="C5" s="692"/>
      <c r="D5" s="692"/>
      <c r="E5" s="693"/>
      <c r="F5" s="693"/>
      <c r="G5" s="694"/>
      <c r="H5" s="18"/>
      <c r="K5" s="143">
        <v>1</v>
      </c>
      <c r="L5" s="143" t="s">
        <v>21</v>
      </c>
      <c r="M5" s="143">
        <v>6</v>
      </c>
      <c r="N5" s="143" t="s">
        <v>543</v>
      </c>
      <c r="O5" s="145">
        <f>'RM Details'!E3</f>
        <v>107.02365839999999</v>
      </c>
      <c r="P5" s="145">
        <f>'RM Details'!F3</f>
        <v>118.91780834604</v>
      </c>
      <c r="Q5" s="145">
        <v>0</v>
      </c>
      <c r="R5" s="145"/>
      <c r="S5" s="145">
        <f>IF(Q5&gt;P5,Q5,IF(Q5&lt;P5,P5))</f>
        <v>118.91780834604</v>
      </c>
      <c r="T5" s="145"/>
      <c r="U5" s="145">
        <v>90</v>
      </c>
      <c r="V5" s="145">
        <f t="shared" ref="V5:V25" si="0">U5*S5</f>
        <v>10702.6027511436</v>
      </c>
    </row>
    <row r="6" spans="1:23" ht="16.5" thickBot="1" x14ac:dyDescent="0.25">
      <c r="A6" s="695" t="s">
        <v>53</v>
      </c>
      <c r="B6" s="696"/>
      <c r="C6" s="696"/>
      <c r="D6" s="696"/>
      <c r="E6" s="697"/>
      <c r="F6" s="697"/>
      <c r="G6" s="698"/>
      <c r="H6" s="18"/>
      <c r="I6" s="19"/>
      <c r="J6" s="19"/>
      <c r="K6" s="143">
        <v>2</v>
      </c>
      <c r="L6" s="143" t="s">
        <v>21</v>
      </c>
      <c r="M6" s="143">
        <v>10</v>
      </c>
      <c r="N6" s="143" t="s">
        <v>543</v>
      </c>
      <c r="O6" s="145">
        <f>'RM Details'!E4</f>
        <v>824.37733999999989</v>
      </c>
      <c r="P6" s="145">
        <f>'RM Details'!F4</f>
        <v>1100.4266982500001</v>
      </c>
      <c r="Q6" s="145">
        <v>0</v>
      </c>
      <c r="R6" s="145"/>
      <c r="S6" s="145">
        <f t="shared" ref="S6:S25" si="1">IF(Q6&gt;P6,Q6,IF(Q6&lt;P6,P6))</f>
        <v>1100.4266982500001</v>
      </c>
      <c r="T6" s="145"/>
      <c r="U6" s="145">
        <v>90</v>
      </c>
      <c r="V6" s="145">
        <f t="shared" si="0"/>
        <v>99038.4028425</v>
      </c>
    </row>
    <row r="7" spans="1:23" ht="26.25" thickBot="1" x14ac:dyDescent="0.25">
      <c r="A7" s="20" t="s">
        <v>54</v>
      </c>
      <c r="B7" s="21" t="s">
        <v>565</v>
      </c>
      <c r="C7" s="21" t="s">
        <v>566</v>
      </c>
      <c r="D7" s="21" t="s">
        <v>540</v>
      </c>
      <c r="E7" s="22" t="s">
        <v>271</v>
      </c>
      <c r="F7" s="22" t="s">
        <v>567</v>
      </c>
      <c r="G7" s="22" t="s">
        <v>568</v>
      </c>
      <c r="H7" s="18"/>
      <c r="I7" s="1"/>
      <c r="J7" s="1"/>
      <c r="K7" s="143">
        <v>3</v>
      </c>
      <c r="L7" s="143" t="s">
        <v>21</v>
      </c>
      <c r="M7" s="143">
        <v>12</v>
      </c>
      <c r="N7" s="143" t="s">
        <v>543</v>
      </c>
      <c r="O7" s="145">
        <f>'RM Details'!E5</f>
        <v>243.8</v>
      </c>
      <c r="P7" s="145">
        <f>'RM Details'!F5</f>
        <v>331.38795096000001</v>
      </c>
      <c r="Q7" s="145">
        <v>0</v>
      </c>
      <c r="R7" s="145"/>
      <c r="S7" s="145">
        <f t="shared" si="1"/>
        <v>331.38795096000001</v>
      </c>
      <c r="T7" s="145"/>
      <c r="U7" s="145">
        <v>90</v>
      </c>
      <c r="V7" s="145">
        <f t="shared" si="0"/>
        <v>29824.915586400002</v>
      </c>
    </row>
    <row r="8" spans="1:23" ht="17.25" customHeight="1" x14ac:dyDescent="0.2">
      <c r="A8" s="23" t="s">
        <v>55</v>
      </c>
      <c r="B8" s="24">
        <f>T8</f>
        <v>1677.6324175560401</v>
      </c>
      <c r="C8" s="73">
        <f>T14</f>
        <v>559.15472284999998</v>
      </c>
      <c r="D8" s="25">
        <f>T17</f>
        <v>195.66</v>
      </c>
      <c r="E8" s="148">
        <f>T22</f>
        <v>534.24</v>
      </c>
      <c r="F8" s="148">
        <f>T24</f>
        <v>2162.3148579999997</v>
      </c>
      <c r="G8" s="26">
        <f>T26</f>
        <v>168.79942400000002</v>
      </c>
      <c r="H8" s="18">
        <f>SUM(B8:G8)</f>
        <v>5297.8014224060398</v>
      </c>
      <c r="I8" s="1"/>
      <c r="J8" s="1"/>
      <c r="K8" s="143">
        <v>4</v>
      </c>
      <c r="L8" s="143" t="s">
        <v>21</v>
      </c>
      <c r="M8" s="143">
        <v>50</v>
      </c>
      <c r="N8" s="143" t="s">
        <v>543</v>
      </c>
      <c r="O8" s="145">
        <f>'RM Details'!E6</f>
        <v>76</v>
      </c>
      <c r="P8" s="145">
        <f>'RM Details'!F6</f>
        <v>126.89996000000001</v>
      </c>
      <c r="Q8" s="145">
        <v>0</v>
      </c>
      <c r="R8" s="145"/>
      <c r="S8" s="145">
        <f t="shared" si="1"/>
        <v>126.89996000000001</v>
      </c>
      <c r="T8" s="145">
        <f>SUM(S5:S8)</f>
        <v>1677.6324175560401</v>
      </c>
      <c r="U8" s="145">
        <v>90</v>
      </c>
      <c r="V8" s="145">
        <f t="shared" si="0"/>
        <v>11420.9964</v>
      </c>
      <c r="W8" s="10">
        <f>SUM(V5:V8)/T8</f>
        <v>90</v>
      </c>
    </row>
    <row r="9" spans="1:23" ht="18" customHeight="1" x14ac:dyDescent="0.2">
      <c r="A9" s="27" t="s">
        <v>56</v>
      </c>
      <c r="B9" s="351">
        <f>SUM(O5:O8)</f>
        <v>1251.2009983999999</v>
      </c>
      <c r="C9" s="149">
        <f>SUM(O9:O14)</f>
        <v>462.81395849999996</v>
      </c>
      <c r="D9" s="149">
        <f>SUM(O15:O17)</f>
        <v>70.330840000000009</v>
      </c>
      <c r="E9" s="149">
        <f>SUM(O18:O22)</f>
        <v>139.60882679999997</v>
      </c>
      <c r="F9" s="149">
        <f>SUM(O23:O24)</f>
        <v>1978.1206999999999</v>
      </c>
      <c r="G9" s="74">
        <f>SUM(O25:O26)</f>
        <v>149.99104000000003</v>
      </c>
      <c r="H9" s="18">
        <f>SUM(B9:G9)</f>
        <v>4052.0663636999998</v>
      </c>
      <c r="I9" s="1"/>
      <c r="J9" s="1"/>
      <c r="K9" s="143">
        <v>5</v>
      </c>
      <c r="L9" s="143" t="s">
        <v>21</v>
      </c>
      <c r="M9" s="143">
        <v>5</v>
      </c>
      <c r="N9" s="143" t="s">
        <v>542</v>
      </c>
      <c r="O9" s="145">
        <f>'RM Details'!E7</f>
        <v>0.19986099999999998</v>
      </c>
      <c r="P9" s="145">
        <f>'RM Details'!F7</f>
        <v>0.19986099999999998</v>
      </c>
      <c r="Q9" s="145">
        <v>0</v>
      </c>
      <c r="R9" s="145"/>
      <c r="S9" s="145">
        <f t="shared" si="1"/>
        <v>0.19986099999999998</v>
      </c>
      <c r="T9" s="145"/>
      <c r="U9" s="145">
        <v>110</v>
      </c>
      <c r="V9" s="145">
        <f t="shared" si="0"/>
        <v>21.98471</v>
      </c>
    </row>
    <row r="10" spans="1:23" ht="15.75" x14ac:dyDescent="0.2">
      <c r="A10" s="29" t="s">
        <v>57</v>
      </c>
      <c r="B10" s="78">
        <f t="shared" ref="B10:C10" si="2">(B8-B9)*80%</f>
        <v>341.14513532483215</v>
      </c>
      <c r="C10" s="30">
        <f t="shared" si="2"/>
        <v>77.072611480000035</v>
      </c>
      <c r="D10" s="30">
        <f t="shared" ref="D10" si="3">(D8-D9)*80%</f>
        <v>100.263328</v>
      </c>
      <c r="E10" s="30">
        <f t="shared" ref="E10:F10" si="4">(E8-E9)*80%</f>
        <v>315.70493856000007</v>
      </c>
      <c r="F10" s="30">
        <f t="shared" si="4"/>
        <v>147.35532639999983</v>
      </c>
      <c r="G10" s="75">
        <f t="shared" ref="G10" si="5">(G8-G9)*80%</f>
        <v>15.046707199999993</v>
      </c>
      <c r="H10" s="31">
        <f>(H8-H9)/H9</f>
        <v>0.30743204747726333</v>
      </c>
      <c r="I10" s="32"/>
      <c r="J10" s="32"/>
      <c r="K10" s="143">
        <v>6</v>
      </c>
      <c r="L10" s="143" t="s">
        <v>21</v>
      </c>
      <c r="M10" s="143">
        <v>6</v>
      </c>
      <c r="N10" s="143" t="s">
        <v>542</v>
      </c>
      <c r="O10" s="145">
        <f>'RM Details'!E8</f>
        <v>36.027967499999995</v>
      </c>
      <c r="P10" s="145">
        <f>'RM Details'!F8</f>
        <v>39.630764249999999</v>
      </c>
      <c r="Q10" s="145">
        <v>0</v>
      </c>
      <c r="R10" s="145"/>
      <c r="S10" s="145">
        <f t="shared" si="1"/>
        <v>39.630764249999999</v>
      </c>
      <c r="T10" s="145"/>
      <c r="U10" s="145">
        <v>110</v>
      </c>
      <c r="V10" s="145">
        <f t="shared" si="0"/>
        <v>4359.3840675000001</v>
      </c>
    </row>
    <row r="11" spans="1:23" ht="15.75" x14ac:dyDescent="0.25">
      <c r="A11" s="33" t="s">
        <v>58</v>
      </c>
      <c r="B11" s="34">
        <v>85</v>
      </c>
      <c r="C11" s="35">
        <v>85</v>
      </c>
      <c r="D11" s="35">
        <v>200</v>
      </c>
      <c r="E11" s="35">
        <v>125</v>
      </c>
      <c r="F11" s="35">
        <v>120</v>
      </c>
      <c r="G11" s="76">
        <v>120</v>
      </c>
      <c r="H11" s="18">
        <f>SUMPRODUCT(B11:G11,B8:G8)</f>
        <v>575772.62077451346</v>
      </c>
      <c r="I11"/>
      <c r="J11"/>
      <c r="K11" s="143">
        <v>7</v>
      </c>
      <c r="L11" s="143" t="s">
        <v>21</v>
      </c>
      <c r="M11" s="143">
        <v>12</v>
      </c>
      <c r="N11" s="143" t="s">
        <v>542</v>
      </c>
      <c r="O11" s="145">
        <f>'RM Details'!E9</f>
        <v>5.3835299999999995</v>
      </c>
      <c r="P11" s="145">
        <f>'RM Details'!F9</f>
        <v>5.9218830000000002</v>
      </c>
      <c r="Q11" s="145">
        <v>0</v>
      </c>
      <c r="R11" s="145"/>
      <c r="S11" s="145">
        <f t="shared" si="1"/>
        <v>5.9218830000000002</v>
      </c>
      <c r="T11" s="145"/>
      <c r="U11" s="145">
        <v>110</v>
      </c>
      <c r="V11" s="145">
        <f t="shared" si="0"/>
        <v>651.40713000000005</v>
      </c>
    </row>
    <row r="12" spans="1:23" ht="16.5" thickBot="1" x14ac:dyDescent="0.3">
      <c r="A12" s="29" t="s">
        <v>59</v>
      </c>
      <c r="B12" s="352">
        <v>30</v>
      </c>
      <c r="C12" s="353">
        <v>30</v>
      </c>
      <c r="D12" s="353">
        <v>30</v>
      </c>
      <c r="E12" s="353">
        <v>30</v>
      </c>
      <c r="F12" s="353">
        <v>30</v>
      </c>
      <c r="G12" s="354">
        <v>30</v>
      </c>
      <c r="H12" s="18"/>
      <c r="I12"/>
      <c r="J12"/>
      <c r="K12" s="143">
        <v>8</v>
      </c>
      <c r="L12" s="143" t="s">
        <v>21</v>
      </c>
      <c r="M12" s="143">
        <v>20</v>
      </c>
      <c r="N12" s="143" t="s">
        <v>542</v>
      </c>
      <c r="O12" s="145">
        <f>'RM Details'!E10</f>
        <v>315.99559999999997</v>
      </c>
      <c r="P12" s="145">
        <f>'RM Details'!F10</f>
        <v>352.37707999999998</v>
      </c>
      <c r="Q12" s="145">
        <v>0</v>
      </c>
      <c r="R12" s="145"/>
      <c r="S12" s="145">
        <f t="shared" si="1"/>
        <v>352.37707999999998</v>
      </c>
      <c r="T12" s="145"/>
      <c r="U12" s="145">
        <v>90</v>
      </c>
      <c r="V12" s="145">
        <f t="shared" si="0"/>
        <v>31713.937199999997</v>
      </c>
    </row>
    <row r="13" spans="1:23" ht="16.5" thickBot="1" x14ac:dyDescent="0.3">
      <c r="A13" s="36" t="s">
        <v>60</v>
      </c>
      <c r="B13" s="349">
        <f t="shared" ref="B13:G13" si="6">(B8*B11)-(B10*B12)</f>
        <v>132364.40143251844</v>
      </c>
      <c r="C13" s="349">
        <f t="shared" si="6"/>
        <v>45215.973097849994</v>
      </c>
      <c r="D13" s="349">
        <f t="shared" si="6"/>
        <v>36124.100160000002</v>
      </c>
      <c r="E13" s="349">
        <f t="shared" si="6"/>
        <v>57308.851843199998</v>
      </c>
      <c r="F13" s="349">
        <f>(F8*F11)-(F10*F12)</f>
        <v>255057.12316799999</v>
      </c>
      <c r="G13" s="349">
        <f t="shared" si="6"/>
        <v>19804.529664000005</v>
      </c>
      <c r="H13" s="37">
        <f>SUM(B13:G13)</f>
        <v>545874.97936556849</v>
      </c>
      <c r="I13"/>
      <c r="J13"/>
      <c r="K13" s="143">
        <v>9</v>
      </c>
      <c r="L13" s="143" t="s">
        <v>21</v>
      </c>
      <c r="M13" s="143">
        <v>25</v>
      </c>
      <c r="N13" s="143" t="s">
        <v>542</v>
      </c>
      <c r="O13" s="145">
        <f>'RM Details'!E11</f>
        <v>16.006999999999998</v>
      </c>
      <c r="P13" s="145">
        <f>'RM Details'!F11</f>
        <v>21.630675</v>
      </c>
      <c r="Q13" s="145">
        <v>0</v>
      </c>
      <c r="R13" s="145"/>
      <c r="S13" s="145">
        <f t="shared" si="1"/>
        <v>21.630675</v>
      </c>
      <c r="T13" s="145"/>
      <c r="U13" s="145">
        <v>110</v>
      </c>
      <c r="V13" s="145">
        <f t="shared" si="0"/>
        <v>2379.3742499999998</v>
      </c>
    </row>
    <row r="14" spans="1:23" ht="16.5" thickBot="1" x14ac:dyDescent="0.25">
      <c r="A14" s="38" t="s">
        <v>61</v>
      </c>
      <c r="B14" s="680">
        <f>SUM(B13:G13)</f>
        <v>545874.97936556849</v>
      </c>
      <c r="C14" s="681"/>
      <c r="D14" s="682"/>
      <c r="E14" s="683"/>
      <c r="F14" s="683"/>
      <c r="G14" s="684"/>
      <c r="H14" s="39">
        <f>H13/H8</f>
        <v>103.0380219720759</v>
      </c>
      <c r="I14" s="32"/>
      <c r="J14" s="32"/>
      <c r="K14" s="143">
        <v>10</v>
      </c>
      <c r="L14" s="143" t="s">
        <v>21</v>
      </c>
      <c r="M14" s="143">
        <v>40</v>
      </c>
      <c r="N14" s="143" t="s">
        <v>542</v>
      </c>
      <c r="O14" s="145">
        <f>'RM Details'!E12</f>
        <v>89.2</v>
      </c>
      <c r="P14" s="145">
        <f>'RM Details'!F12</f>
        <v>139.3944596</v>
      </c>
      <c r="Q14" s="145">
        <v>0</v>
      </c>
      <c r="R14" s="145"/>
      <c r="S14" s="145">
        <f t="shared" si="1"/>
        <v>139.3944596</v>
      </c>
      <c r="T14" s="145">
        <f>SUM(S9:S14)</f>
        <v>559.15472284999998</v>
      </c>
      <c r="U14" s="145">
        <v>90</v>
      </c>
      <c r="V14" s="145">
        <f t="shared" si="0"/>
        <v>12545.501364</v>
      </c>
      <c r="W14" s="355">
        <f>SUM(V9:V14)/T14</f>
        <v>92.410180241581401</v>
      </c>
    </row>
    <row r="15" spans="1:23" ht="31.5" x14ac:dyDescent="0.25">
      <c r="A15" s="663" t="s">
        <v>62</v>
      </c>
      <c r="B15" s="664"/>
      <c r="C15" s="664"/>
      <c r="D15" s="664"/>
      <c r="E15" s="665"/>
      <c r="F15" s="665"/>
      <c r="G15" s="666"/>
      <c r="H15" s="18"/>
      <c r="I15"/>
      <c r="J15"/>
      <c r="K15" s="143">
        <v>11</v>
      </c>
      <c r="L15" s="143" t="s">
        <v>550</v>
      </c>
      <c r="M15" s="144" t="s">
        <v>558</v>
      </c>
      <c r="N15" s="143" t="s">
        <v>540</v>
      </c>
      <c r="O15" s="145">
        <f>'RM Details'!E13</f>
        <v>23.0688</v>
      </c>
      <c r="P15" s="145">
        <f>'RM Details'!F13</f>
        <v>25.375680000000003</v>
      </c>
      <c r="Q15" s="115">
        <f>12.84*6</f>
        <v>77.039999999999992</v>
      </c>
      <c r="R15" s="115" t="s">
        <v>559</v>
      </c>
      <c r="S15" s="145">
        <f t="shared" si="1"/>
        <v>77.039999999999992</v>
      </c>
      <c r="T15" s="145"/>
      <c r="U15" s="145">
        <v>120</v>
      </c>
      <c r="V15" s="145">
        <f t="shared" si="0"/>
        <v>9244.7999999999993</v>
      </c>
    </row>
    <row r="16" spans="1:23" ht="24.75" customHeight="1" x14ac:dyDescent="0.2">
      <c r="A16" s="40" t="s">
        <v>63</v>
      </c>
      <c r="B16" s="41"/>
      <c r="C16" s="41"/>
      <c r="D16" s="42"/>
      <c r="E16" s="150"/>
      <c r="F16" s="150"/>
      <c r="G16" s="511">
        <f>'BOM R2D CatWalk'!AE32+'BOM R2D CatWalk'!AE59+'BOM R2D CatWalk'!AE69+'BOM R2D CatWalk'!AE85</f>
        <v>8000</v>
      </c>
      <c r="H16" s="84" t="s">
        <v>804</v>
      </c>
      <c r="I16" s="32"/>
      <c r="J16" s="32"/>
      <c r="K16" s="143">
        <v>12</v>
      </c>
      <c r="L16" s="143" t="s">
        <v>329</v>
      </c>
      <c r="M16" s="143" t="s">
        <v>500</v>
      </c>
      <c r="N16" s="143" t="s">
        <v>540</v>
      </c>
      <c r="O16" s="145">
        <f>'RM Details'!E14</f>
        <v>20.446440000000003</v>
      </c>
      <c r="P16" s="145">
        <f>'RM Details'!F14</f>
        <v>22.491084000000004</v>
      </c>
      <c r="Q16" s="115">
        <f>6.56*6</f>
        <v>39.36</v>
      </c>
      <c r="R16" s="115" t="s">
        <v>559</v>
      </c>
      <c r="S16" s="145">
        <f t="shared" si="1"/>
        <v>39.36</v>
      </c>
      <c r="T16" s="145"/>
      <c r="U16" s="145">
        <v>120</v>
      </c>
      <c r="V16" s="145">
        <f t="shared" si="0"/>
        <v>4723.2</v>
      </c>
    </row>
    <row r="17" spans="1:23" ht="20.25" customHeight="1" x14ac:dyDescent="0.2">
      <c r="A17" s="667" t="s">
        <v>64</v>
      </c>
      <c r="B17" s="668"/>
      <c r="C17" s="668"/>
      <c r="D17" s="668"/>
      <c r="E17" s="151"/>
      <c r="F17" s="151"/>
      <c r="G17" s="45">
        <f>SUM(G16:G16)</f>
        <v>8000</v>
      </c>
      <c r="H17" s="84"/>
      <c r="K17" s="143">
        <v>13</v>
      </c>
      <c r="L17" s="143" t="s">
        <v>329</v>
      </c>
      <c r="M17" s="143" t="s">
        <v>557</v>
      </c>
      <c r="N17" s="143" t="s">
        <v>540</v>
      </c>
      <c r="O17" s="145">
        <f>'RM Details'!E15</f>
        <v>26.815600000000003</v>
      </c>
      <c r="P17" s="145">
        <f>'RM Details'!F15</f>
        <v>29.497160000000004</v>
      </c>
      <c r="Q17" s="115">
        <f>13.21*6</f>
        <v>79.260000000000005</v>
      </c>
      <c r="R17" s="115" t="s">
        <v>559</v>
      </c>
      <c r="S17" s="145">
        <f t="shared" si="1"/>
        <v>79.260000000000005</v>
      </c>
      <c r="T17" s="145">
        <f>SUM(S15:S17)</f>
        <v>195.66</v>
      </c>
      <c r="U17" s="145">
        <v>120</v>
      </c>
      <c r="V17" s="145">
        <f t="shared" si="0"/>
        <v>9511.2000000000007</v>
      </c>
      <c r="W17" s="10">
        <f>SUM(V15:V17)/T17</f>
        <v>120</v>
      </c>
    </row>
    <row r="18" spans="1:23" ht="16.5" thickBot="1" x14ac:dyDescent="0.25">
      <c r="A18" s="669" t="s">
        <v>65</v>
      </c>
      <c r="B18" s="670"/>
      <c r="C18" s="670"/>
      <c r="D18" s="670"/>
      <c r="E18" s="152"/>
      <c r="F18" s="152"/>
      <c r="G18" s="46">
        <f>B14+G17</f>
        <v>553874.97936556849</v>
      </c>
      <c r="H18" s="18"/>
      <c r="K18" s="143">
        <v>14</v>
      </c>
      <c r="L18" s="143" t="s">
        <v>286</v>
      </c>
      <c r="M18" s="300" t="s">
        <v>321</v>
      </c>
      <c r="N18" s="143" t="s">
        <v>271</v>
      </c>
      <c r="O18" s="145">
        <f>'RM Details'!E16</f>
        <v>9.3032968</v>
      </c>
      <c r="P18" s="145">
        <f>'RM Details'!F16</f>
        <v>10.233626480000002</v>
      </c>
      <c r="Q18" s="145">
        <f>18.64*6</f>
        <v>111.84</v>
      </c>
      <c r="R18" s="145" t="s">
        <v>562</v>
      </c>
      <c r="S18" s="145">
        <f t="shared" si="1"/>
        <v>111.84</v>
      </c>
      <c r="T18" s="145"/>
      <c r="U18" s="145">
        <v>110</v>
      </c>
      <c r="V18" s="145">
        <f t="shared" si="0"/>
        <v>12302.4</v>
      </c>
    </row>
    <row r="19" spans="1:23" ht="22.5" customHeight="1" x14ac:dyDescent="0.2">
      <c r="A19" s="671" t="s">
        <v>66</v>
      </c>
      <c r="B19" s="672"/>
      <c r="C19" s="672"/>
      <c r="D19" s="672"/>
      <c r="E19" s="673"/>
      <c r="F19" s="673"/>
      <c r="G19" s="674"/>
      <c r="H19" s="18"/>
      <c r="K19" s="143">
        <v>15</v>
      </c>
      <c r="L19" s="143" t="s">
        <v>286</v>
      </c>
      <c r="M19" s="143" t="s">
        <v>532</v>
      </c>
      <c r="N19" s="143" t="s">
        <v>271</v>
      </c>
      <c r="O19" s="145">
        <f>'RM Details'!E17</f>
        <v>28.046479999999999</v>
      </c>
      <c r="P19" s="145">
        <f>'RM Details'!F17</f>
        <v>30.851128000000003</v>
      </c>
      <c r="Q19" s="145">
        <f>22.33*6</f>
        <v>133.97999999999999</v>
      </c>
      <c r="R19" s="145" t="s">
        <v>562</v>
      </c>
      <c r="S19" s="145">
        <f t="shared" si="1"/>
        <v>133.97999999999999</v>
      </c>
      <c r="T19" s="145"/>
      <c r="U19" s="145">
        <v>110</v>
      </c>
      <c r="V19" s="145">
        <f t="shared" si="0"/>
        <v>14737.8</v>
      </c>
    </row>
    <row r="20" spans="1:23" ht="15.75" x14ac:dyDescent="0.2">
      <c r="A20" s="47" t="s">
        <v>54</v>
      </c>
      <c r="B20" s="48" t="s">
        <v>23</v>
      </c>
      <c r="C20" s="48"/>
      <c r="D20" s="49" t="s">
        <v>67</v>
      </c>
      <c r="E20" s="50"/>
      <c r="F20" s="50"/>
      <c r="G20" s="51" t="s">
        <v>68</v>
      </c>
      <c r="H20" s="18"/>
      <c r="K20" s="143">
        <v>16</v>
      </c>
      <c r="L20" s="143" t="s">
        <v>286</v>
      </c>
      <c r="M20" s="143" t="s">
        <v>299</v>
      </c>
      <c r="N20" s="143" t="s">
        <v>271</v>
      </c>
      <c r="O20" s="145">
        <f>'RM Details'!E18</f>
        <v>101.63328</v>
      </c>
      <c r="P20" s="145">
        <f>'RM Details'!F18</f>
        <v>111.79660800000001</v>
      </c>
      <c r="Q20" s="145">
        <f>42.56*6</f>
        <v>255.36</v>
      </c>
      <c r="R20" s="145" t="s">
        <v>562</v>
      </c>
      <c r="S20" s="145">
        <f t="shared" si="1"/>
        <v>255.36</v>
      </c>
      <c r="T20" s="145"/>
      <c r="U20" s="145">
        <v>110</v>
      </c>
      <c r="V20" s="145">
        <f t="shared" si="0"/>
        <v>28089.600000000002</v>
      </c>
    </row>
    <row r="21" spans="1:23" ht="18" customHeight="1" x14ac:dyDescent="0.2">
      <c r="A21" s="52" t="s">
        <v>69</v>
      </c>
      <c r="B21" s="53">
        <f>'BOM R2D CatWalk'!X4</f>
        <v>373.86908803084799</v>
      </c>
      <c r="C21" s="53"/>
      <c r="D21" s="54">
        <v>45</v>
      </c>
      <c r="E21" s="55"/>
      <c r="F21" s="55"/>
      <c r="G21" s="45">
        <f t="shared" ref="G21:G27" si="7">B21*D21</f>
        <v>16824.10896138816</v>
      </c>
      <c r="H21" s="56"/>
      <c r="I21" s="69">
        <f>G21/$H$9</f>
        <v>4.1519825815552105</v>
      </c>
      <c r="J21" s="69"/>
      <c r="K21" s="143">
        <v>17</v>
      </c>
      <c r="L21" s="143" t="s">
        <v>286</v>
      </c>
      <c r="M21" s="143" t="s">
        <v>298</v>
      </c>
      <c r="N21" s="143" t="s">
        <v>271</v>
      </c>
      <c r="O21" s="145">
        <f>'RM Details'!E19</f>
        <v>0.26289000000000001</v>
      </c>
      <c r="P21" s="145">
        <f>'RM Details'!F19</f>
        <v>0.28917900000000002</v>
      </c>
      <c r="Q21" s="145">
        <f>1.27*6</f>
        <v>7.62</v>
      </c>
      <c r="R21" s="145" t="s">
        <v>562</v>
      </c>
      <c r="S21" s="145">
        <f t="shared" si="1"/>
        <v>7.62</v>
      </c>
      <c r="T21" s="145"/>
      <c r="U21" s="145">
        <v>160</v>
      </c>
      <c r="V21" s="145">
        <f t="shared" si="0"/>
        <v>1219.2</v>
      </c>
    </row>
    <row r="22" spans="1:23" ht="20.25" customHeight="1" x14ac:dyDescent="0.2">
      <c r="A22" s="52" t="s">
        <v>70</v>
      </c>
      <c r="B22" s="53">
        <f>'BOM R2D CatWalk'!AB4/60</f>
        <v>3.9666666666666668</v>
      </c>
      <c r="C22" s="53"/>
      <c r="D22" s="54">
        <v>1000</v>
      </c>
      <c r="E22" s="55"/>
      <c r="F22" s="55"/>
      <c r="G22" s="45">
        <f t="shared" si="7"/>
        <v>3966.666666666667</v>
      </c>
      <c r="H22" s="56"/>
      <c r="I22" s="69">
        <f t="shared" ref="I22:I35" si="8">G22/$H$9</f>
        <v>0.9789244080999322</v>
      </c>
      <c r="J22" s="69"/>
      <c r="K22" s="143">
        <v>18</v>
      </c>
      <c r="L22" s="143" t="s">
        <v>286</v>
      </c>
      <c r="M22" s="143" t="s">
        <v>409</v>
      </c>
      <c r="N22" s="143" t="s">
        <v>271</v>
      </c>
      <c r="O22" s="145">
        <f>'RM Details'!E20</f>
        <v>0.36288000000000004</v>
      </c>
      <c r="P22" s="145">
        <f>'RM Details'!F20</f>
        <v>0.39916800000000008</v>
      </c>
      <c r="Q22" s="145">
        <f>4.24*6</f>
        <v>25.44</v>
      </c>
      <c r="R22" s="145" t="s">
        <v>562</v>
      </c>
      <c r="S22" s="145">
        <f t="shared" si="1"/>
        <v>25.44</v>
      </c>
      <c r="T22" s="145">
        <f>SUM(S18:S22)</f>
        <v>534.24</v>
      </c>
      <c r="U22" s="145">
        <v>130</v>
      </c>
      <c r="V22" s="145">
        <f t="shared" si="0"/>
        <v>3307.2000000000003</v>
      </c>
      <c r="W22" s="10">
        <f>SUM(V18:V22)/T22</f>
        <v>111.66554357592092</v>
      </c>
    </row>
    <row r="23" spans="1:23" ht="18" customHeight="1" x14ac:dyDescent="0.2">
      <c r="A23" s="52" t="s">
        <v>71</v>
      </c>
      <c r="B23" s="53">
        <f>'BOM R2D CatWalk'!Z4</f>
        <v>9</v>
      </c>
      <c r="C23" s="53"/>
      <c r="D23" s="54">
        <v>100</v>
      </c>
      <c r="E23" s="55"/>
      <c r="F23" s="55"/>
      <c r="G23" s="45">
        <f t="shared" si="7"/>
        <v>900</v>
      </c>
      <c r="H23" s="79"/>
      <c r="I23" s="69">
        <f t="shared" si="8"/>
        <v>0.22210889931679131</v>
      </c>
      <c r="J23" s="69"/>
      <c r="K23" s="143">
        <v>19</v>
      </c>
      <c r="L23" s="143" t="s">
        <v>290</v>
      </c>
      <c r="M23" s="143" t="s">
        <v>537</v>
      </c>
      <c r="N23" s="143" t="s">
        <v>553</v>
      </c>
      <c r="O23" s="145">
        <f>'RM Details'!E21</f>
        <v>982.12069999999994</v>
      </c>
      <c r="P23" s="145">
        <f>'RM Details'!F21</f>
        <v>1080.33277</v>
      </c>
      <c r="Q23" s="143">
        <f>22.3*6</f>
        <v>133.80000000000001</v>
      </c>
      <c r="R23" s="143" t="s">
        <v>560</v>
      </c>
      <c r="S23" s="145">
        <f t="shared" si="1"/>
        <v>1080.33277</v>
      </c>
      <c r="T23" s="145"/>
      <c r="U23" s="145">
        <v>100</v>
      </c>
      <c r="V23" s="145">
        <f t="shared" si="0"/>
        <v>108033.277</v>
      </c>
    </row>
    <row r="24" spans="1:23" ht="18" customHeight="1" x14ac:dyDescent="0.2">
      <c r="A24" s="52" t="s">
        <v>72</v>
      </c>
      <c r="B24" s="53">
        <v>500</v>
      </c>
      <c r="C24" s="53"/>
      <c r="D24" s="54">
        <v>300</v>
      </c>
      <c r="E24" s="55"/>
      <c r="F24" s="55"/>
      <c r="G24" s="45">
        <f t="shared" si="7"/>
        <v>150000</v>
      </c>
      <c r="H24" s="56"/>
      <c r="I24" s="69">
        <f t="shared" si="8"/>
        <v>37.018149886131887</v>
      </c>
      <c r="J24" s="69"/>
      <c r="K24" s="143">
        <v>20</v>
      </c>
      <c r="L24" s="143" t="s">
        <v>291</v>
      </c>
      <c r="M24" s="143" t="s">
        <v>535</v>
      </c>
      <c r="N24" s="143" t="s">
        <v>553</v>
      </c>
      <c r="O24" s="145">
        <f>'RM Details'!E22</f>
        <v>996</v>
      </c>
      <c r="P24" s="145">
        <f>'RM Details'!F22</f>
        <v>1081.982088</v>
      </c>
      <c r="Q24" s="143">
        <f>107.6*6</f>
        <v>645.59999999999991</v>
      </c>
      <c r="R24" s="143" t="s">
        <v>561</v>
      </c>
      <c r="S24" s="145">
        <f t="shared" si="1"/>
        <v>1081.982088</v>
      </c>
      <c r="T24" s="145">
        <f>S23+S24</f>
        <v>2162.3148579999997</v>
      </c>
      <c r="U24" s="145">
        <v>100</v>
      </c>
      <c r="V24" s="145">
        <f t="shared" si="0"/>
        <v>108198.20879999999</v>
      </c>
      <c r="W24" s="10">
        <f>SUM(V23:V24)/T24</f>
        <v>100.00000000000001</v>
      </c>
    </row>
    <row r="25" spans="1:23" ht="18" customHeight="1" x14ac:dyDescent="0.2">
      <c r="A25" s="52" t="s">
        <v>73</v>
      </c>
      <c r="B25" s="53">
        <f>B24/12.5</f>
        <v>40</v>
      </c>
      <c r="C25" s="53"/>
      <c r="D25" s="54">
        <v>250</v>
      </c>
      <c r="E25" s="55"/>
      <c r="F25" s="55"/>
      <c r="G25" s="45">
        <f t="shared" si="7"/>
        <v>10000</v>
      </c>
      <c r="H25" s="56"/>
      <c r="I25" s="69">
        <f t="shared" si="8"/>
        <v>2.4678766590754591</v>
      </c>
      <c r="J25" s="69"/>
      <c r="K25" s="143">
        <v>21</v>
      </c>
      <c r="L25" s="143" t="s">
        <v>290</v>
      </c>
      <c r="M25" s="143" t="s">
        <v>555</v>
      </c>
      <c r="N25" s="143" t="s">
        <v>564</v>
      </c>
      <c r="O25" s="145">
        <f>'RM Details'!E23</f>
        <v>149.95104000000003</v>
      </c>
      <c r="P25" s="145">
        <f>'RM Details'!F23</f>
        <v>166.13942400000002</v>
      </c>
      <c r="Q25" s="143">
        <f>7.14*6</f>
        <v>42.839999999999996</v>
      </c>
      <c r="R25" s="143" t="s">
        <v>561</v>
      </c>
      <c r="S25" s="145">
        <f t="shared" si="1"/>
        <v>166.13942400000002</v>
      </c>
      <c r="T25" s="145"/>
      <c r="U25" s="145">
        <v>100</v>
      </c>
      <c r="V25" s="145">
        <f t="shared" si="0"/>
        <v>16613.942400000004</v>
      </c>
    </row>
    <row r="26" spans="1:23" ht="18" customHeight="1" x14ac:dyDescent="0.2">
      <c r="A26" s="52" t="s">
        <v>74</v>
      </c>
      <c r="B26" s="53">
        <f>H9/95</f>
        <v>42.653330144210521</v>
      </c>
      <c r="C26" s="53"/>
      <c r="D26" s="54">
        <v>1200</v>
      </c>
      <c r="E26" s="55"/>
      <c r="F26" s="55"/>
      <c r="G26" s="45">
        <f t="shared" si="7"/>
        <v>51183.996173052627</v>
      </c>
      <c r="H26" s="56"/>
      <c r="I26" s="69">
        <f t="shared" si="8"/>
        <v>12.631578947368421</v>
      </c>
      <c r="J26" s="69"/>
      <c r="K26" s="143">
        <v>22</v>
      </c>
      <c r="L26" s="143" t="s">
        <v>44</v>
      </c>
      <c r="M26" s="143" t="s">
        <v>326</v>
      </c>
      <c r="N26" s="143" t="s">
        <v>542</v>
      </c>
      <c r="O26" s="145">
        <f>'RM Details'!E24</f>
        <v>0.04</v>
      </c>
      <c r="P26" s="145">
        <f>'RM Details'!F24</f>
        <v>0.29315000000000002</v>
      </c>
      <c r="Q26" s="145">
        <v>2.66</v>
      </c>
      <c r="R26" s="145" t="s">
        <v>562</v>
      </c>
      <c r="S26" s="145">
        <f t="shared" ref="S26" si="9">IF(Q26&gt;P26,Q26,IF(Q26&lt;P26,P26))</f>
        <v>2.66</v>
      </c>
      <c r="T26" s="145">
        <f>S25+S26</f>
        <v>168.79942400000002</v>
      </c>
      <c r="U26" s="145">
        <v>150</v>
      </c>
      <c r="V26" s="145">
        <f t="shared" ref="V26" si="10">U26*S26</f>
        <v>399</v>
      </c>
      <c r="W26" s="355">
        <f>SUM(V25:V26)/T26</f>
        <v>100.78791738057117</v>
      </c>
    </row>
    <row r="27" spans="1:23" ht="21" x14ac:dyDescent="0.2">
      <c r="A27" s="57" t="s">
        <v>75</v>
      </c>
      <c r="B27" s="58"/>
      <c r="C27" s="58"/>
      <c r="D27" s="59">
        <v>250</v>
      </c>
      <c r="E27" s="60"/>
      <c r="F27" s="60"/>
      <c r="G27" s="61">
        <f t="shared" si="7"/>
        <v>0</v>
      </c>
      <c r="H27" s="84" t="s">
        <v>76</v>
      </c>
      <c r="I27" s="69">
        <f t="shared" si="8"/>
        <v>0</v>
      </c>
      <c r="J27" s="69"/>
      <c r="K27" s="341"/>
      <c r="L27" s="341"/>
      <c r="M27" s="341" t="s">
        <v>45</v>
      </c>
      <c r="N27" s="341"/>
      <c r="O27" s="342">
        <f>SUM(O5:O25)</f>
        <v>4052.0263636999998</v>
      </c>
      <c r="P27" s="342">
        <f>SUM(P5:P25)</f>
        <v>4796.1750558860404</v>
      </c>
      <c r="Q27" s="346"/>
      <c r="R27" s="346"/>
      <c r="S27" s="342">
        <f>SUM(S5:S25)</f>
        <v>5295.1414224060409</v>
      </c>
      <c r="T27" s="342"/>
      <c r="U27" s="145">
        <f>V27/S27</f>
        <v>97.946266799779053</v>
      </c>
      <c r="V27" s="342">
        <f>SUM(V5:V25)</f>
        <v>518639.33450154361</v>
      </c>
    </row>
    <row r="28" spans="1:23" ht="18" customHeight="1" x14ac:dyDescent="0.2">
      <c r="A28" s="52" t="s">
        <v>77</v>
      </c>
      <c r="B28" s="53"/>
      <c r="C28" s="53"/>
      <c r="D28" s="54">
        <v>5</v>
      </c>
      <c r="E28" s="55"/>
      <c r="F28" s="55"/>
      <c r="G28" s="62">
        <f>D28*H9</f>
        <v>20260.331818499999</v>
      </c>
      <c r="H28" s="18"/>
      <c r="I28" s="69">
        <f t="shared" si="8"/>
        <v>5</v>
      </c>
      <c r="J28" s="69"/>
    </row>
    <row r="29" spans="1:23" ht="18" customHeight="1" x14ac:dyDescent="0.2">
      <c r="A29" s="52" t="s">
        <v>78</v>
      </c>
      <c r="B29" s="53">
        <v>0</v>
      </c>
      <c r="C29" s="53"/>
      <c r="D29" s="54">
        <v>50</v>
      </c>
      <c r="E29" s="55"/>
      <c r="F29" s="55"/>
      <c r="G29" s="62">
        <f>B29*D29</f>
        <v>0</v>
      </c>
      <c r="H29" s="18"/>
      <c r="I29" s="69">
        <f t="shared" si="8"/>
        <v>0</v>
      </c>
      <c r="J29" s="69"/>
    </row>
    <row r="30" spans="1:23" ht="18" customHeight="1" x14ac:dyDescent="0.2">
      <c r="A30" s="52" t="s">
        <v>79</v>
      </c>
      <c r="B30" s="54">
        <f>'BOM R2D CatWalk'!AI4</f>
        <v>51.842345813200012</v>
      </c>
      <c r="C30" s="54"/>
      <c r="D30" s="54">
        <v>1250</v>
      </c>
      <c r="E30" s="55"/>
      <c r="F30" s="55"/>
      <c r="G30" s="62">
        <f>B30*D30</f>
        <v>64802.932266500015</v>
      </c>
      <c r="H30" s="63" t="s">
        <v>133</v>
      </c>
      <c r="I30" s="69">
        <f t="shared" si="8"/>
        <v>15.992564398014332</v>
      </c>
      <c r="J30" s="69"/>
    </row>
    <row r="31" spans="1:23" ht="18" customHeight="1" x14ac:dyDescent="0.2">
      <c r="A31" s="52" t="s">
        <v>123</v>
      </c>
      <c r="B31" s="54">
        <f>15/60</f>
        <v>0.25</v>
      </c>
      <c r="C31" s="54"/>
      <c r="D31" s="54">
        <v>250</v>
      </c>
      <c r="E31" s="55"/>
      <c r="F31" s="55"/>
      <c r="G31" s="45">
        <f>B31*D31</f>
        <v>62.5</v>
      </c>
      <c r="H31" s="63"/>
      <c r="I31" s="69">
        <f t="shared" si="8"/>
        <v>1.542422911922162E-2</v>
      </c>
      <c r="J31" s="69"/>
    </row>
    <row r="32" spans="1:23" ht="18" customHeight="1" x14ac:dyDescent="0.2">
      <c r="A32" s="52" t="s">
        <v>135</v>
      </c>
      <c r="B32" s="54"/>
      <c r="C32" s="54"/>
      <c r="D32" s="54">
        <v>4.5</v>
      </c>
      <c r="E32" s="55"/>
      <c r="F32" s="55"/>
      <c r="G32" s="45">
        <f>D32*H9</f>
        <v>18234.298636649997</v>
      </c>
      <c r="H32" s="63"/>
      <c r="I32" s="69">
        <f t="shared" si="8"/>
        <v>4.4999999999999991</v>
      </c>
      <c r="J32" s="69"/>
    </row>
    <row r="33" spans="1:15" ht="19.5" customHeight="1" x14ac:dyDescent="0.2">
      <c r="A33" s="47" t="s">
        <v>152</v>
      </c>
      <c r="B33" s="64"/>
      <c r="C33" s="64"/>
      <c r="D33" s="65"/>
      <c r="E33" s="66"/>
      <c r="F33" s="66"/>
      <c r="G33" s="67">
        <f>SUM(G21:G32)</f>
        <v>336234.83452275745</v>
      </c>
      <c r="H33" s="18"/>
      <c r="I33" s="69">
        <f t="shared" si="8"/>
        <v>82.978610008681258</v>
      </c>
      <c r="J33" s="69"/>
    </row>
    <row r="34" spans="1:15" ht="22.5" customHeight="1" x14ac:dyDescent="0.2">
      <c r="A34" s="675" t="s">
        <v>80</v>
      </c>
      <c r="B34" s="676"/>
      <c r="C34" s="676"/>
      <c r="D34" s="677"/>
      <c r="E34" s="82"/>
      <c r="F34" s="315"/>
      <c r="G34" s="154">
        <f>G18+G33</f>
        <v>890109.81388832594</v>
      </c>
      <c r="H34" s="68"/>
      <c r="I34" s="69"/>
      <c r="J34" s="69"/>
    </row>
    <row r="35" spans="1:15" x14ac:dyDescent="0.2">
      <c r="A35" s="83" t="s">
        <v>126</v>
      </c>
      <c r="B35" s="83"/>
      <c r="C35" s="83"/>
      <c r="D35" s="87"/>
      <c r="E35" s="156">
        <v>0.1</v>
      </c>
      <c r="F35" s="156"/>
      <c r="G35" s="155">
        <f>G34*E35</f>
        <v>89010.981388832603</v>
      </c>
      <c r="H35" s="70"/>
      <c r="I35" s="69">
        <f t="shared" si="8"/>
        <v>21.966812337090008</v>
      </c>
      <c r="J35" s="69"/>
    </row>
    <row r="36" spans="1:15" x14ac:dyDescent="0.2">
      <c r="A36" s="83" t="s">
        <v>127</v>
      </c>
      <c r="B36" s="83"/>
      <c r="C36" s="83"/>
      <c r="D36" s="87"/>
      <c r="E36" s="87"/>
      <c r="F36" s="318"/>
      <c r="G36" s="155">
        <f>SUM(G34:G35)</f>
        <v>979120.7952771585</v>
      </c>
      <c r="H36" s="70"/>
      <c r="I36" s="69">
        <f>G36/H9</f>
        <v>241.63493570799005</v>
      </c>
      <c r="J36" s="69"/>
      <c r="K36" s="69">
        <f>G36/H8</f>
        <v>184.81643935088883</v>
      </c>
    </row>
    <row r="39" spans="1:15" ht="12.75" customHeight="1" thickBot="1" x14ac:dyDescent="0.25">
      <c r="H39" s="11" t="s">
        <v>81</v>
      </c>
      <c r="I39" s="44"/>
      <c r="J39" s="44"/>
    </row>
    <row r="40" spans="1:15" ht="12.75" customHeight="1" x14ac:dyDescent="0.2">
      <c r="A40" s="678" t="s">
        <v>82</v>
      </c>
      <c r="B40" s="679"/>
      <c r="C40" s="679"/>
      <c r="D40" s="679"/>
      <c r="E40" s="153"/>
      <c r="F40" s="153"/>
      <c r="G40" s="71" t="s">
        <v>83</v>
      </c>
      <c r="H40" s="11" t="s">
        <v>81</v>
      </c>
      <c r="I40" s="44"/>
      <c r="J40" s="44"/>
    </row>
    <row r="41" spans="1:15" x14ac:dyDescent="0.2">
      <c r="A41" s="654" t="s">
        <v>134</v>
      </c>
      <c r="B41" s="655"/>
      <c r="C41" s="655"/>
      <c r="D41" s="655"/>
      <c r="E41" s="127"/>
      <c r="F41" s="316"/>
      <c r="G41" s="72"/>
    </row>
    <row r="42" spans="1:15" ht="13.5" thickBot="1" x14ac:dyDescent="0.25">
      <c r="A42" s="656" t="s">
        <v>84</v>
      </c>
      <c r="B42" s="657"/>
      <c r="C42" s="657"/>
      <c r="D42" s="657"/>
      <c r="E42" s="260"/>
      <c r="F42" s="314"/>
      <c r="G42" s="261" t="s">
        <v>85</v>
      </c>
    </row>
    <row r="43" spans="1:15" ht="20.100000000000001" customHeight="1" x14ac:dyDescent="0.2">
      <c r="I43" s="44"/>
      <c r="J43" s="44"/>
    </row>
    <row r="44" spans="1:15" s="44" customFormat="1" ht="18" customHeight="1" thickBot="1" x14ac:dyDescent="0.25">
      <c r="A44" s="10"/>
      <c r="B44" s="10"/>
      <c r="C44" s="10"/>
      <c r="D44" s="10"/>
      <c r="E44" s="10"/>
      <c r="F44" s="10"/>
      <c r="G44" s="70"/>
      <c r="H44" s="14"/>
      <c r="I44" s="10"/>
      <c r="J44" s="10"/>
      <c r="K44" s="10"/>
    </row>
    <row r="45" spans="1:15" s="44" customFormat="1" ht="15.75" thickBot="1" x14ac:dyDescent="0.25">
      <c r="A45" s="658" t="s">
        <v>161</v>
      </c>
      <c r="B45" s="659"/>
      <c r="C45" s="659"/>
      <c r="D45" s="660"/>
      <c r="E45" s="10"/>
      <c r="F45" s="10"/>
      <c r="G45" s="70"/>
      <c r="H45" s="14"/>
      <c r="I45" s="10"/>
      <c r="J45" s="10"/>
      <c r="K45" s="10"/>
    </row>
    <row r="46" spans="1:15" s="44" customFormat="1" ht="19.5" customHeight="1" thickBot="1" x14ac:dyDescent="0.25">
      <c r="A46" s="282" t="s">
        <v>125</v>
      </c>
      <c r="B46" s="283" t="s">
        <v>159</v>
      </c>
      <c r="C46" s="283" t="s">
        <v>155</v>
      </c>
      <c r="D46" s="284" t="s">
        <v>156</v>
      </c>
      <c r="G46" s="70"/>
      <c r="H46" s="14"/>
      <c r="I46" s="10"/>
      <c r="J46" s="10"/>
      <c r="K46" s="10"/>
      <c r="L46" s="10"/>
      <c r="M46" s="10"/>
      <c r="N46" s="10"/>
      <c r="O46" s="10"/>
    </row>
    <row r="47" spans="1:15" s="44" customFormat="1" ht="15.75" x14ac:dyDescent="0.2">
      <c r="A47" s="464" t="s">
        <v>124</v>
      </c>
      <c r="B47" s="464">
        <f>C4*0.8</f>
        <v>3227.2000000000003</v>
      </c>
      <c r="C47" s="465">
        <v>100</v>
      </c>
      <c r="D47" s="465">
        <f>B47*C47</f>
        <v>322720</v>
      </c>
      <c r="G47" s="70"/>
      <c r="H47" s="14"/>
      <c r="I47" s="10"/>
      <c r="J47" s="10"/>
      <c r="K47" s="10"/>
      <c r="L47" s="10"/>
      <c r="M47" s="10"/>
      <c r="N47" s="10"/>
      <c r="O47" s="10"/>
    </row>
    <row r="48" spans="1:15" s="44" customFormat="1" ht="15.75" x14ac:dyDescent="0.2">
      <c r="A48" s="80" t="s">
        <v>713</v>
      </c>
      <c r="B48" s="80">
        <f>C4*0.2</f>
        <v>806.80000000000007</v>
      </c>
      <c r="C48" s="81">
        <v>100</v>
      </c>
      <c r="D48" s="81">
        <f>B48*C48</f>
        <v>80680</v>
      </c>
      <c r="G48" s="70"/>
      <c r="H48" s="14"/>
      <c r="I48" s="10"/>
      <c r="J48" s="10"/>
      <c r="K48" s="10"/>
      <c r="L48" s="10"/>
      <c r="M48" s="10"/>
      <c r="N48" s="10"/>
      <c r="O48" s="10"/>
    </row>
    <row r="49" spans="1:15" s="44" customFormat="1" ht="15.75" x14ac:dyDescent="0.2">
      <c r="A49" s="80" t="s">
        <v>162</v>
      </c>
      <c r="B49" s="80">
        <f>SUM(B47:B48)</f>
        <v>4034.0000000000005</v>
      </c>
      <c r="C49" s="81">
        <v>4.5</v>
      </c>
      <c r="D49" s="81">
        <f>B49*C49</f>
        <v>18153.000000000004</v>
      </c>
      <c r="G49" s="70"/>
      <c r="H49" s="14"/>
      <c r="I49" s="10"/>
      <c r="J49" s="10"/>
      <c r="K49" s="10"/>
      <c r="L49" s="10"/>
      <c r="M49" s="10"/>
      <c r="N49" s="10"/>
      <c r="O49" s="10"/>
    </row>
    <row r="50" spans="1:15" s="44" customFormat="1" ht="15.75" x14ac:dyDescent="0.2">
      <c r="A50" s="467" t="s">
        <v>163</v>
      </c>
      <c r="B50" s="286"/>
      <c r="C50" s="287"/>
      <c r="D50" s="287">
        <f>SUM(D47:D49)</f>
        <v>421553</v>
      </c>
      <c r="G50" s="70"/>
      <c r="H50" s="14"/>
      <c r="I50" s="10"/>
      <c r="J50" s="10"/>
      <c r="K50" s="10"/>
      <c r="L50" s="10"/>
      <c r="M50" s="10"/>
      <c r="N50" s="10"/>
      <c r="O50" s="10"/>
    </row>
    <row r="51" spans="1:15" s="44" customFormat="1" ht="16.5" thickBot="1" x14ac:dyDescent="0.25">
      <c r="A51" s="463" t="s">
        <v>158</v>
      </c>
      <c r="B51" s="464">
        <v>15</v>
      </c>
      <c r="C51" s="465">
        <f>75000/30</f>
        <v>2500</v>
      </c>
      <c r="D51" s="466">
        <f>B51*C51</f>
        <v>37500</v>
      </c>
      <c r="E51" s="294"/>
      <c r="F51" s="294"/>
      <c r="G51" s="70"/>
      <c r="H51" s="14"/>
      <c r="I51" s="10"/>
      <c r="J51" s="10"/>
      <c r="K51" s="10"/>
      <c r="L51" s="10"/>
      <c r="M51" s="10"/>
      <c r="N51" s="10"/>
      <c r="O51" s="10"/>
    </row>
    <row r="52" spans="1:15" s="44" customFormat="1" ht="16.5" thickBot="1" x14ac:dyDescent="0.25">
      <c r="A52" s="288" t="s">
        <v>126</v>
      </c>
      <c r="B52" s="276"/>
      <c r="C52" s="285">
        <v>2.5499999999999998E-2</v>
      </c>
      <c r="D52" s="277">
        <f>(D50+D51)*C52</f>
        <v>11705.851499999999</v>
      </c>
      <c r="G52" s="70"/>
      <c r="H52" s="14"/>
      <c r="I52" s="10"/>
      <c r="J52" s="10"/>
      <c r="K52" s="10"/>
      <c r="L52" s="10"/>
      <c r="M52" s="10"/>
      <c r="N52" s="10"/>
      <c r="O52" s="10"/>
    </row>
    <row r="53" spans="1:15" s="265" customFormat="1" ht="16.5" thickBot="1" x14ac:dyDescent="0.25">
      <c r="A53" s="278" t="s">
        <v>160</v>
      </c>
      <c r="B53" s="279"/>
      <c r="C53" s="280"/>
      <c r="D53" s="281">
        <f>SUM(D50:D52)</f>
        <v>470758.85149999999</v>
      </c>
      <c r="E53" s="295">
        <v>470823.58974464267</v>
      </c>
      <c r="F53" s="295">
        <f>D53-E53</f>
        <v>-64.738244642678183</v>
      </c>
      <c r="G53" s="262"/>
      <c r="H53" s="263"/>
      <c r="I53" s="264"/>
      <c r="J53" s="264"/>
      <c r="K53" s="264"/>
      <c r="L53" s="264"/>
      <c r="M53" s="264"/>
      <c r="N53" s="264"/>
      <c r="O53" s="264"/>
    </row>
    <row r="54" spans="1:15" s="44" customFormat="1" ht="25.5" customHeight="1" x14ac:dyDescent="0.2">
      <c r="A54" s="10"/>
      <c r="B54" s="10"/>
      <c r="C54" s="10"/>
      <c r="D54" s="10"/>
      <c r="E54" s="10"/>
      <c r="F54" s="10"/>
      <c r="G54" s="70"/>
      <c r="H54" s="14"/>
      <c r="I54" s="10"/>
      <c r="J54" s="10"/>
      <c r="K54" s="10"/>
      <c r="L54" s="10"/>
      <c r="M54" s="10"/>
      <c r="N54" s="10"/>
      <c r="O54" s="10"/>
    </row>
  </sheetData>
  <sheetProtection selectLockedCells="1" selectUnlockedCells="1"/>
  <mergeCells count="15">
    <mergeCell ref="A45:D45"/>
    <mergeCell ref="A1:G1"/>
    <mergeCell ref="A5:G5"/>
    <mergeCell ref="A6:G6"/>
    <mergeCell ref="B14:G14"/>
    <mergeCell ref="A15:G15"/>
    <mergeCell ref="B2:C2"/>
    <mergeCell ref="B3:C3"/>
    <mergeCell ref="A42:D42"/>
    <mergeCell ref="A19:G19"/>
    <mergeCell ref="A34:D34"/>
    <mergeCell ref="A40:D40"/>
    <mergeCell ref="A41:D41"/>
    <mergeCell ref="A18:D18"/>
    <mergeCell ref="A17:D1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H8:H13 G27" emptyCellReference="1"/>
    <ignoredError sqref="G28" formula="1" emptyCellReference="1"/>
    <ignoredError sqref="D50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1FF-1F97-4E29-AA7D-1B92A2311F46}">
  <dimension ref="A1:AL228"/>
  <sheetViews>
    <sheetView zoomScale="85" zoomScaleNormal="85" workbookViewId="0">
      <pane xSplit="3" ySplit="3" topLeftCell="D144" activePane="bottomRight" state="frozen"/>
      <selection activeCell="A98" sqref="A98:K101"/>
      <selection pane="topRight" activeCell="A98" sqref="A98:K101"/>
      <selection pane="bottomLeft" activeCell="A98" sqref="A98:K101"/>
      <selection pane="bottomRight" activeCell="G145" sqref="G145"/>
    </sheetView>
  </sheetViews>
  <sheetFormatPr defaultColWidth="9" defaultRowHeight="15.75" x14ac:dyDescent="0.25"/>
  <cols>
    <col min="1" max="1" width="8.7109375" style="120" bestFit="1" customWidth="1"/>
    <col min="2" max="2" width="17.28515625" style="120" customWidth="1"/>
    <col min="3" max="3" width="6.7109375" style="120" customWidth="1"/>
    <col min="4" max="4" width="7.140625" style="120" customWidth="1"/>
    <col min="5" max="5" width="8.140625" style="120" customWidth="1"/>
    <col min="6" max="6" width="4.28515625" style="120" customWidth="1"/>
    <col min="7" max="7" width="20.85546875" style="120" bestFit="1" customWidth="1"/>
    <col min="8" max="8" width="5.7109375" style="120" customWidth="1"/>
    <col min="9" max="9" width="72.5703125" style="121" customWidth="1"/>
    <col min="10" max="10" width="9.85546875" style="120" customWidth="1"/>
    <col min="11" max="11" width="10.42578125" style="120" customWidth="1"/>
    <col min="12" max="12" width="12.5703125" style="120" hidden="1" customWidth="1"/>
    <col min="13" max="13" width="15.42578125" style="120" bestFit="1" customWidth="1"/>
    <col min="14" max="14" width="16.42578125" style="120" bestFit="1" customWidth="1"/>
    <col min="15" max="15" width="16.7109375" style="120" bestFit="1" customWidth="1"/>
    <col min="16" max="16" width="22.28515625" style="122" customWidth="1"/>
    <col min="17" max="17" width="22.7109375" style="129" customWidth="1"/>
    <col min="18" max="18" width="18.85546875" style="120" hidden="1" customWidth="1"/>
    <col min="19" max="19" width="29.5703125" style="120" customWidth="1"/>
    <col min="20" max="20" width="11.42578125" style="120" bestFit="1" customWidth="1"/>
    <col min="21" max="21" width="11.85546875" style="120" bestFit="1" customWidth="1"/>
    <col min="22" max="22" width="16.28515625" style="120" bestFit="1" customWidth="1"/>
    <col min="23" max="23" width="28.42578125" style="120" bestFit="1" customWidth="1"/>
    <col min="24" max="24" width="20.140625" style="120" bestFit="1" customWidth="1"/>
    <col min="25" max="25" width="16.42578125" style="120" hidden="1" customWidth="1"/>
    <col min="26" max="26" width="11.42578125" style="120" bestFit="1" customWidth="1"/>
    <col min="27" max="27" width="12.85546875" style="120" bestFit="1" customWidth="1"/>
    <col min="28" max="29" width="22.42578125" style="120" bestFit="1" customWidth="1"/>
    <col min="30" max="30" width="17.140625" style="120" customWidth="1"/>
    <col min="31" max="31" width="23.42578125" style="120" customWidth="1"/>
    <col min="32" max="32" width="25.5703125" style="120" bestFit="1" customWidth="1"/>
    <col min="33" max="33" width="15.85546875" style="120" bestFit="1" customWidth="1"/>
    <col min="34" max="34" width="6.28515625" style="122" bestFit="1" customWidth="1"/>
    <col min="35" max="35" width="13.5703125" style="122" bestFit="1" customWidth="1"/>
    <col min="36" max="37" width="11.28515625" style="120" customWidth="1"/>
    <col min="38" max="38" width="9" style="120" customWidth="1"/>
    <col min="39" max="16384" width="9" style="120"/>
  </cols>
  <sheetData>
    <row r="1" spans="1:35" s="92" customFormat="1" ht="18" customHeight="1" thickBot="1" x14ac:dyDescent="0.3">
      <c r="A1" s="711" t="s">
        <v>0</v>
      </c>
      <c r="B1" s="90"/>
      <c r="C1" s="713" t="s">
        <v>1</v>
      </c>
      <c r="D1" s="714"/>
      <c r="E1" s="714"/>
      <c r="F1" s="299"/>
      <c r="G1" s="715" t="s">
        <v>594</v>
      </c>
      <c r="H1" s="715"/>
      <c r="I1" s="715"/>
      <c r="J1" s="715"/>
      <c r="K1" s="715"/>
      <c r="L1" s="715"/>
      <c r="M1" s="130">
        <v>0.4536</v>
      </c>
      <c r="N1" s="131"/>
      <c r="O1" s="131"/>
      <c r="P1" s="296"/>
      <c r="Q1" s="132"/>
      <c r="R1" s="131"/>
      <c r="S1" s="131">
        <v>25.4</v>
      </c>
      <c r="T1" s="131"/>
      <c r="U1" s="133"/>
      <c r="V1" s="133">
        <v>0.1</v>
      </c>
      <c r="W1" s="134">
        <v>0.15</v>
      </c>
      <c r="X1" s="134"/>
      <c r="Y1" s="135"/>
      <c r="Z1" s="134"/>
      <c r="AA1" s="134"/>
      <c r="AB1" s="136"/>
      <c r="AC1" s="136">
        <v>550</v>
      </c>
      <c r="AD1" s="136"/>
      <c r="AE1" s="136"/>
      <c r="AF1" s="134">
        <v>0.2</v>
      </c>
      <c r="AG1" s="137"/>
      <c r="AH1" s="91"/>
      <c r="AI1" s="357">
        <v>0.15</v>
      </c>
    </row>
    <row r="2" spans="1:35" s="92" customFormat="1" ht="41.25" customHeight="1" thickBot="1" x14ac:dyDescent="0.3">
      <c r="A2" s="712"/>
      <c r="B2" s="142" t="s">
        <v>128</v>
      </c>
      <c r="C2" s="93" t="s">
        <v>2</v>
      </c>
      <c r="D2" s="94" t="s">
        <v>3</v>
      </c>
      <c r="E2" s="93" t="s">
        <v>4</v>
      </c>
      <c r="F2" s="94" t="s">
        <v>527</v>
      </c>
      <c r="G2" s="95" t="s">
        <v>5</v>
      </c>
      <c r="H2" s="94" t="s">
        <v>6</v>
      </c>
      <c r="I2" s="95" t="s">
        <v>7</v>
      </c>
      <c r="J2" s="94" t="s">
        <v>8</v>
      </c>
      <c r="K2" s="95" t="s">
        <v>9</v>
      </c>
      <c r="L2" s="96" t="s">
        <v>10</v>
      </c>
      <c r="M2" s="97" t="s">
        <v>11</v>
      </c>
      <c r="N2" s="98" t="s">
        <v>12</v>
      </c>
      <c r="O2" s="95" t="s">
        <v>13</v>
      </c>
      <c r="P2" s="95" t="s">
        <v>14</v>
      </c>
      <c r="Q2" s="95" t="s">
        <v>15</v>
      </c>
      <c r="R2" s="95" t="s">
        <v>16</v>
      </c>
      <c r="S2" s="95" t="s">
        <v>17</v>
      </c>
      <c r="T2" s="95" t="s">
        <v>18</v>
      </c>
      <c r="U2" s="95" t="s">
        <v>19</v>
      </c>
      <c r="V2" s="99" t="s">
        <v>24</v>
      </c>
      <c r="W2" s="100" t="s">
        <v>798</v>
      </c>
      <c r="X2" s="100" t="s">
        <v>25</v>
      </c>
      <c r="Y2" s="100" t="s">
        <v>26</v>
      </c>
      <c r="Z2" s="100" t="s">
        <v>27</v>
      </c>
      <c r="AA2" s="100" t="s">
        <v>28</v>
      </c>
      <c r="AB2" s="100" t="s">
        <v>29</v>
      </c>
      <c r="AC2" s="100" t="s">
        <v>30</v>
      </c>
      <c r="AD2" s="100" t="s">
        <v>31</v>
      </c>
      <c r="AE2" s="100" t="s">
        <v>32</v>
      </c>
      <c r="AF2" s="100" t="s">
        <v>33</v>
      </c>
      <c r="AG2" s="99" t="s">
        <v>34</v>
      </c>
      <c r="AH2" s="101" t="s">
        <v>20</v>
      </c>
      <c r="AI2" s="101" t="s">
        <v>122</v>
      </c>
    </row>
    <row r="3" spans="1:35" s="332" customFormat="1" ht="26.25" customHeight="1" x14ac:dyDescent="0.25">
      <c r="A3" s="322"/>
      <c r="B3" s="322"/>
      <c r="C3" s="358" t="s">
        <v>596</v>
      </c>
      <c r="D3" s="323"/>
      <c r="E3" s="323"/>
      <c r="F3" s="323"/>
      <c r="G3" s="323"/>
      <c r="H3" s="323"/>
      <c r="I3" s="324" t="s">
        <v>595</v>
      </c>
      <c r="J3" s="323"/>
      <c r="K3" s="325"/>
      <c r="L3" s="326"/>
      <c r="M3" s="326"/>
      <c r="N3" s="326">
        <f>N4+N93+N97+N100+N105+N109+N114+N119+N128+N145+N162+N171+N187</f>
        <v>7416.173797299999</v>
      </c>
      <c r="O3" s="327" t="s">
        <v>546</v>
      </c>
      <c r="P3" s="328"/>
      <c r="Q3" s="329"/>
      <c r="R3" s="330"/>
      <c r="S3" s="323"/>
      <c r="T3" s="323"/>
      <c r="U3" s="326"/>
      <c r="V3" s="326">
        <f>V4+V93+V97+V100+V105+V109+V114+V119+V128+V145+V162+V171+V187</f>
        <v>9171.8161413410398</v>
      </c>
      <c r="W3" s="331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8"/>
      <c r="AI3" s="326"/>
    </row>
    <row r="4" spans="1:35" s="109" customFormat="1" ht="36" customHeight="1" x14ac:dyDescent="0.25">
      <c r="A4" s="124">
        <v>1</v>
      </c>
      <c r="B4" s="124" t="s">
        <v>166</v>
      </c>
      <c r="C4" s="102">
        <v>0</v>
      </c>
      <c r="D4" s="102"/>
      <c r="E4" s="102"/>
      <c r="F4" s="102"/>
      <c r="G4" s="102" t="s">
        <v>166</v>
      </c>
      <c r="H4" s="102" t="s">
        <v>22</v>
      </c>
      <c r="I4" s="103" t="s">
        <v>167</v>
      </c>
      <c r="J4" s="102">
        <f>VLOOKUP(G4,'Customer Data '!$B$1:$D$14,3,0)</f>
        <v>1</v>
      </c>
      <c r="K4" s="104">
        <f>J4</f>
        <v>1</v>
      </c>
      <c r="L4" s="105"/>
      <c r="M4" s="105">
        <v>4034</v>
      </c>
      <c r="N4" s="105">
        <f>M4*K4</f>
        <v>4034</v>
      </c>
      <c r="O4" s="123" t="s">
        <v>251</v>
      </c>
      <c r="P4" s="108"/>
      <c r="Q4" s="128"/>
      <c r="R4" s="106"/>
      <c r="S4" s="102"/>
      <c r="T4" s="102"/>
      <c r="U4" s="105"/>
      <c r="V4" s="105">
        <f>SUM(V5:V92)</f>
        <v>4796.48819198604</v>
      </c>
      <c r="W4" s="107"/>
      <c r="X4" s="105">
        <f>SUMPRODUCT(X5:X92,$K$5:$K$92)</f>
        <v>373.86908803084799</v>
      </c>
      <c r="Y4" s="105">
        <f>SUM(Y5:Y92)</f>
        <v>0</v>
      </c>
      <c r="Z4" s="105">
        <f>SUMPRODUCT(Z5:Z92,$K$5:$K$92)</f>
        <v>9</v>
      </c>
      <c r="AA4" s="105"/>
      <c r="AB4" s="105">
        <f>SUMPRODUCT(AB5:AB92,$K$5:$K$92)</f>
        <v>238</v>
      </c>
      <c r="AC4" s="105">
        <f>SUM(AC5:AC92)</f>
        <v>2181.6666666666665</v>
      </c>
      <c r="AD4" s="105"/>
      <c r="AE4" s="105"/>
      <c r="AF4" s="105">
        <v>0</v>
      </c>
      <c r="AG4" s="105"/>
      <c r="AH4" s="108"/>
      <c r="AI4" s="105">
        <f>SUM(AI5:AI92)</f>
        <v>51.842345813200012</v>
      </c>
    </row>
    <row r="5" spans="1:35" s="117" customFormat="1" ht="36" customHeight="1" x14ac:dyDescent="0.25">
      <c r="A5" s="110">
        <v>2</v>
      </c>
      <c r="B5" s="110" t="s">
        <v>166</v>
      </c>
      <c r="C5" s="110" t="s">
        <v>597</v>
      </c>
      <c r="D5" s="110" t="s">
        <v>300</v>
      </c>
      <c r="E5" s="110" t="s">
        <v>300</v>
      </c>
      <c r="F5" s="110"/>
      <c r="G5" s="110" t="s">
        <v>481</v>
      </c>
      <c r="H5" s="110"/>
      <c r="I5" s="111" t="s">
        <v>480</v>
      </c>
      <c r="J5" s="110">
        <v>1</v>
      </c>
      <c r="K5" s="112">
        <f t="shared" ref="K5" si="0">J5*$K$4</f>
        <v>1</v>
      </c>
      <c r="L5" s="112"/>
      <c r="M5" s="113">
        <v>3370</v>
      </c>
      <c r="N5" s="113">
        <f t="shared" ref="N5" si="1">M5*K5</f>
        <v>3370</v>
      </c>
      <c r="O5" s="123" t="s">
        <v>252</v>
      </c>
      <c r="P5" s="116" t="s">
        <v>215</v>
      </c>
      <c r="Q5" s="110"/>
      <c r="R5" s="115"/>
      <c r="S5" s="110"/>
      <c r="T5" s="110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6"/>
      <c r="AI5" s="113"/>
    </row>
    <row r="6" spans="1:35" s="117" customFormat="1" ht="36" customHeight="1" x14ac:dyDescent="0.25">
      <c r="A6" s="110">
        <v>3</v>
      </c>
      <c r="B6" s="110" t="s">
        <v>166</v>
      </c>
      <c r="C6" s="110"/>
      <c r="D6" s="110" t="s">
        <v>620</v>
      </c>
      <c r="E6" s="110"/>
      <c r="F6" s="110"/>
      <c r="G6" s="110" t="s">
        <v>195</v>
      </c>
      <c r="H6" s="110" t="s">
        <v>22</v>
      </c>
      <c r="I6" s="111" t="s">
        <v>196</v>
      </c>
      <c r="J6" s="110">
        <v>1</v>
      </c>
      <c r="K6" s="112">
        <f>J6*$K$5</f>
        <v>1</v>
      </c>
      <c r="L6" s="112"/>
      <c r="M6" s="113">
        <v>3208</v>
      </c>
      <c r="N6" s="113">
        <f>M6*K6</f>
        <v>3208</v>
      </c>
      <c r="O6" s="123" t="s">
        <v>252</v>
      </c>
      <c r="P6" s="116" t="s">
        <v>215</v>
      </c>
      <c r="Q6" s="110"/>
      <c r="R6" s="115"/>
      <c r="S6" s="110"/>
      <c r="T6" s="110"/>
      <c r="U6" s="113"/>
      <c r="V6" s="113"/>
      <c r="W6" s="113"/>
      <c r="X6" s="113"/>
      <c r="Y6" s="113"/>
      <c r="Z6" s="113"/>
      <c r="AA6" s="113"/>
      <c r="AB6" s="113"/>
      <c r="AC6" s="303"/>
      <c r="AD6" s="113"/>
      <c r="AE6" s="113"/>
      <c r="AF6" s="113"/>
      <c r="AG6" s="113"/>
      <c r="AH6" s="116"/>
      <c r="AI6" s="113"/>
    </row>
    <row r="7" spans="1:35" s="117" customFormat="1" ht="36" customHeight="1" x14ac:dyDescent="0.25">
      <c r="A7" s="110">
        <v>4</v>
      </c>
      <c r="B7" s="110" t="s">
        <v>166</v>
      </c>
      <c r="C7" s="110"/>
      <c r="D7" s="110"/>
      <c r="E7" s="110" t="s">
        <v>631</v>
      </c>
      <c r="F7" s="110"/>
      <c r="G7" s="110" t="s">
        <v>198</v>
      </c>
      <c r="H7" s="110" t="s">
        <v>22</v>
      </c>
      <c r="I7" s="111" t="s">
        <v>197</v>
      </c>
      <c r="J7" s="110">
        <v>1</v>
      </c>
      <c r="K7" s="112">
        <f>J7*$K$6</f>
        <v>1</v>
      </c>
      <c r="L7" s="112"/>
      <c r="M7" s="113">
        <v>679</v>
      </c>
      <c r="N7" s="113">
        <f>M7*K7</f>
        <v>679</v>
      </c>
      <c r="O7" s="123" t="s">
        <v>252</v>
      </c>
      <c r="P7" s="116" t="s">
        <v>215</v>
      </c>
      <c r="Q7" s="110"/>
      <c r="R7" s="115"/>
      <c r="S7" s="110"/>
      <c r="T7" s="110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6"/>
      <c r="AI7" s="113"/>
    </row>
    <row r="8" spans="1:35" s="117" customFormat="1" ht="36" customHeight="1" x14ac:dyDescent="0.25">
      <c r="A8" s="110">
        <v>5</v>
      </c>
      <c r="B8" s="110" t="s">
        <v>166</v>
      </c>
      <c r="C8" s="110"/>
      <c r="D8" s="110"/>
      <c r="E8" s="110"/>
      <c r="F8" s="110" t="s">
        <v>658</v>
      </c>
      <c r="G8" s="110" t="s">
        <v>254</v>
      </c>
      <c r="H8" s="110"/>
      <c r="I8" s="111" t="s">
        <v>253</v>
      </c>
      <c r="J8" s="110">
        <v>1</v>
      </c>
      <c r="K8" s="112">
        <f>J8*$K$7</f>
        <v>1</v>
      </c>
      <c r="L8" s="112"/>
      <c r="M8" s="113">
        <v>339</v>
      </c>
      <c r="N8" s="113">
        <f t="shared" ref="N8:N92" si="2">M8*K8</f>
        <v>339</v>
      </c>
      <c r="O8" s="114" t="s">
        <v>21</v>
      </c>
      <c r="P8" s="116" t="s">
        <v>202</v>
      </c>
      <c r="Q8" s="116" t="s">
        <v>573</v>
      </c>
      <c r="R8" s="115"/>
      <c r="S8" s="110">
        <v>10</v>
      </c>
      <c r="T8" s="110">
        <v>1022</v>
      </c>
      <c r="U8" s="113">
        <v>5080</v>
      </c>
      <c r="V8" s="113">
        <f>S8*T8*U8*0.00000785*(1+$V$1)*K8</f>
        <v>448.30847600000004</v>
      </c>
      <c r="W8" s="113">
        <f>((T8+U8)*2*(1+$W$1))/1000</f>
        <v>14.034599999999999</v>
      </c>
      <c r="X8" s="113">
        <f>W8/1.1</f>
        <v>12.75872727272727</v>
      </c>
      <c r="Y8" s="113"/>
      <c r="Z8" s="113"/>
      <c r="AA8" s="113"/>
      <c r="AB8" s="113"/>
      <c r="AC8" s="113"/>
      <c r="AD8" s="113"/>
      <c r="AE8" s="113"/>
      <c r="AF8" s="113"/>
      <c r="AG8" s="113"/>
      <c r="AH8" s="116"/>
      <c r="AI8" s="356">
        <f t="shared" ref="AI8:AI15" si="3">(T8*U8*2)/1000000*(1+$AI$1)*K8</f>
        <v>11.941048</v>
      </c>
    </row>
    <row r="9" spans="1:35" s="117" customFormat="1" ht="36" customHeight="1" x14ac:dyDescent="0.25">
      <c r="A9" s="110">
        <v>6</v>
      </c>
      <c r="B9" s="110" t="s">
        <v>166</v>
      </c>
      <c r="C9" s="110"/>
      <c r="D9" s="110"/>
      <c r="E9" s="110"/>
      <c r="F9" s="110" t="s">
        <v>659</v>
      </c>
      <c r="G9" s="110" t="s">
        <v>256</v>
      </c>
      <c r="H9" s="110"/>
      <c r="I9" s="111" t="s">
        <v>255</v>
      </c>
      <c r="J9" s="110">
        <v>1</v>
      </c>
      <c r="K9" s="112">
        <f t="shared" ref="K9:K19" si="4">J9*$K$7</f>
        <v>1</v>
      </c>
      <c r="L9" s="112"/>
      <c r="M9" s="113">
        <v>76</v>
      </c>
      <c r="N9" s="113">
        <f t="shared" si="2"/>
        <v>76</v>
      </c>
      <c r="O9" s="114" t="s">
        <v>21</v>
      </c>
      <c r="P9" s="116" t="s">
        <v>202</v>
      </c>
      <c r="Q9" s="116" t="s">
        <v>573</v>
      </c>
      <c r="R9" s="115"/>
      <c r="S9" s="110">
        <v>12</v>
      </c>
      <c r="T9" s="110">
        <v>180</v>
      </c>
      <c r="U9" s="113">
        <v>4775</v>
      </c>
      <c r="V9" s="113">
        <f t="shared" ref="V9:V15" si="5">S9*T9*U9*0.00000785*(1+$V$1)*K9</f>
        <v>89.061390000000003</v>
      </c>
      <c r="W9" s="113">
        <f t="shared" ref="W9:W15" si="6">((T9+U9)*2*(1+$W$1))/1000</f>
        <v>11.3965</v>
      </c>
      <c r="X9" s="113">
        <f t="shared" ref="X9:X10" si="7">W9/1.1</f>
        <v>10.360454545454544</v>
      </c>
      <c r="Y9" s="113"/>
      <c r="Z9" s="113"/>
      <c r="AA9" s="113"/>
      <c r="AB9" s="113"/>
      <c r="AC9" s="113"/>
      <c r="AD9" s="113"/>
      <c r="AE9" s="113"/>
      <c r="AF9" s="113"/>
      <c r="AG9" s="113"/>
      <c r="AH9" s="116"/>
      <c r="AI9" s="356">
        <f t="shared" si="3"/>
        <v>1.97685</v>
      </c>
    </row>
    <row r="10" spans="1:35" s="117" customFormat="1" ht="36" customHeight="1" x14ac:dyDescent="0.25">
      <c r="A10" s="110">
        <v>7</v>
      </c>
      <c r="B10" s="110" t="s">
        <v>166</v>
      </c>
      <c r="C10" s="110"/>
      <c r="D10" s="110"/>
      <c r="E10" s="110"/>
      <c r="F10" s="110" t="s">
        <v>660</v>
      </c>
      <c r="G10" s="110" t="s">
        <v>258</v>
      </c>
      <c r="H10" s="110"/>
      <c r="I10" s="111" t="s">
        <v>257</v>
      </c>
      <c r="J10" s="110">
        <v>1</v>
      </c>
      <c r="K10" s="112">
        <f t="shared" si="4"/>
        <v>1</v>
      </c>
      <c r="L10" s="112"/>
      <c r="M10" s="113">
        <v>9</v>
      </c>
      <c r="N10" s="113">
        <f t="shared" si="2"/>
        <v>9</v>
      </c>
      <c r="O10" s="114" t="s">
        <v>21</v>
      </c>
      <c r="P10" s="116" t="s">
        <v>202</v>
      </c>
      <c r="Q10" s="116" t="s">
        <v>573</v>
      </c>
      <c r="R10" s="115"/>
      <c r="S10" s="110">
        <v>12</v>
      </c>
      <c r="T10" s="110">
        <v>180</v>
      </c>
      <c r="U10" s="113">
        <v>572</v>
      </c>
      <c r="V10" s="113">
        <f t="shared" si="5"/>
        <v>10.668715199999999</v>
      </c>
      <c r="W10" s="113">
        <f t="shared" si="6"/>
        <v>1.7295999999999998</v>
      </c>
      <c r="X10" s="113">
        <f t="shared" si="7"/>
        <v>1.572363636363636</v>
      </c>
      <c r="Y10" s="113"/>
      <c r="Z10" s="113"/>
      <c r="AA10" s="113"/>
      <c r="AB10" s="113"/>
      <c r="AC10" s="113"/>
      <c r="AD10" s="113"/>
      <c r="AE10" s="113"/>
      <c r="AF10" s="113"/>
      <c r="AG10" s="113"/>
      <c r="AH10" s="116"/>
      <c r="AI10" s="356">
        <f t="shared" si="3"/>
        <v>0.23680799999999996</v>
      </c>
    </row>
    <row r="11" spans="1:35" s="117" customFormat="1" ht="36" customHeight="1" x14ac:dyDescent="0.25">
      <c r="A11" s="110">
        <v>8</v>
      </c>
      <c r="B11" s="110" t="s">
        <v>166</v>
      </c>
      <c r="C11" s="110"/>
      <c r="D11" s="110"/>
      <c r="E11" s="110"/>
      <c r="F11" s="110" t="s">
        <v>661</v>
      </c>
      <c r="G11" s="110" t="s">
        <v>260</v>
      </c>
      <c r="H11" s="110"/>
      <c r="I11" s="111" t="s">
        <v>259</v>
      </c>
      <c r="J11" s="110">
        <v>1</v>
      </c>
      <c r="K11" s="112">
        <f t="shared" si="4"/>
        <v>1</v>
      </c>
      <c r="L11" s="112"/>
      <c r="M11" s="113">
        <v>8</v>
      </c>
      <c r="N11" s="113">
        <f t="shared" si="2"/>
        <v>8</v>
      </c>
      <c r="O11" s="114" t="s">
        <v>21</v>
      </c>
      <c r="P11" s="116" t="s">
        <v>223</v>
      </c>
      <c r="Q11" s="116" t="s">
        <v>777</v>
      </c>
      <c r="R11" s="115"/>
      <c r="S11" s="110">
        <v>20</v>
      </c>
      <c r="T11" s="110">
        <v>200</v>
      </c>
      <c r="U11" s="113">
        <v>324</v>
      </c>
      <c r="V11" s="113">
        <f t="shared" si="5"/>
        <v>11.190959999999999</v>
      </c>
      <c r="W11" s="113">
        <f t="shared" si="6"/>
        <v>1.2051999999999998</v>
      </c>
      <c r="X11" s="113">
        <f>W11/1.5</f>
        <v>0.80346666666666655</v>
      </c>
      <c r="Y11" s="113"/>
      <c r="Z11" s="113"/>
      <c r="AA11" s="113"/>
      <c r="AB11" s="113"/>
      <c r="AC11" s="113"/>
      <c r="AD11" s="113"/>
      <c r="AE11" s="113"/>
      <c r="AF11" s="113"/>
      <c r="AG11" s="113"/>
      <c r="AH11" s="116"/>
      <c r="AI11" s="356">
        <f t="shared" si="3"/>
        <v>0.14903999999999998</v>
      </c>
    </row>
    <row r="12" spans="1:35" s="117" customFormat="1" ht="36" customHeight="1" x14ac:dyDescent="0.25">
      <c r="A12" s="110">
        <v>9</v>
      </c>
      <c r="B12" s="110" t="s">
        <v>166</v>
      </c>
      <c r="C12" s="110"/>
      <c r="D12" s="110"/>
      <c r="E12" s="110"/>
      <c r="F12" s="110" t="s">
        <v>662</v>
      </c>
      <c r="G12" s="110" t="s">
        <v>263</v>
      </c>
      <c r="H12" s="110"/>
      <c r="I12" s="111" t="s">
        <v>261</v>
      </c>
      <c r="J12" s="110">
        <v>1</v>
      </c>
      <c r="K12" s="112">
        <f t="shared" si="4"/>
        <v>1</v>
      </c>
      <c r="L12" s="112"/>
      <c r="M12" s="113">
        <v>37</v>
      </c>
      <c r="N12" s="113">
        <f t="shared" si="2"/>
        <v>37</v>
      </c>
      <c r="O12" s="114" t="s">
        <v>21</v>
      </c>
      <c r="P12" s="116" t="s">
        <v>262</v>
      </c>
      <c r="Q12" s="116" t="s">
        <v>573</v>
      </c>
      <c r="R12" s="115"/>
      <c r="S12" s="110">
        <v>10</v>
      </c>
      <c r="T12" s="110">
        <v>100</v>
      </c>
      <c r="U12" s="113">
        <v>4702</v>
      </c>
      <c r="V12" s="113">
        <f t="shared" si="5"/>
        <v>40.601770000000002</v>
      </c>
      <c r="W12" s="113">
        <f t="shared" si="6"/>
        <v>11.044599999999999</v>
      </c>
      <c r="X12" s="113">
        <f t="shared" ref="X12:X13" si="8">W12/1.1</f>
        <v>10.040545454545454</v>
      </c>
      <c r="Y12" s="113"/>
      <c r="Z12" s="113"/>
      <c r="AA12" s="113"/>
      <c r="AB12" s="113"/>
      <c r="AC12" s="113"/>
      <c r="AD12" s="113"/>
      <c r="AE12" s="113"/>
      <c r="AF12" s="113"/>
      <c r="AG12" s="113"/>
      <c r="AH12" s="116"/>
      <c r="AI12" s="356">
        <f t="shared" si="3"/>
        <v>1.0814599999999999</v>
      </c>
    </row>
    <row r="13" spans="1:35" s="117" customFormat="1" ht="36" customHeight="1" x14ac:dyDescent="0.25">
      <c r="A13" s="110">
        <v>10</v>
      </c>
      <c r="B13" s="110" t="s">
        <v>166</v>
      </c>
      <c r="C13" s="110"/>
      <c r="D13" s="110"/>
      <c r="E13" s="110"/>
      <c r="F13" s="110" t="s">
        <v>663</v>
      </c>
      <c r="G13" s="110" t="s">
        <v>265</v>
      </c>
      <c r="H13" s="110"/>
      <c r="I13" s="111" t="s">
        <v>264</v>
      </c>
      <c r="J13" s="110">
        <v>1</v>
      </c>
      <c r="K13" s="112">
        <f t="shared" si="4"/>
        <v>1</v>
      </c>
      <c r="L13" s="112"/>
      <c r="M13" s="113">
        <v>0.8</v>
      </c>
      <c r="N13" s="113">
        <f t="shared" si="2"/>
        <v>0.8</v>
      </c>
      <c r="O13" s="114" t="s">
        <v>21</v>
      </c>
      <c r="P13" s="116" t="s">
        <v>202</v>
      </c>
      <c r="Q13" s="116" t="s">
        <v>573</v>
      </c>
      <c r="R13" s="115"/>
      <c r="S13" s="110">
        <v>10</v>
      </c>
      <c r="T13" s="110">
        <v>100</v>
      </c>
      <c r="U13" s="113">
        <v>191</v>
      </c>
      <c r="V13" s="113">
        <f t="shared" si="5"/>
        <v>1.6492850000000001</v>
      </c>
      <c r="W13" s="113">
        <f t="shared" si="6"/>
        <v>0.66930000000000001</v>
      </c>
      <c r="X13" s="113">
        <f t="shared" si="8"/>
        <v>0.60845454545454536</v>
      </c>
      <c r="Y13" s="113"/>
      <c r="Z13" s="113"/>
      <c r="AA13" s="113"/>
      <c r="AB13" s="113"/>
      <c r="AC13" s="113"/>
      <c r="AD13" s="113"/>
      <c r="AE13" s="113"/>
      <c r="AF13" s="113"/>
      <c r="AG13" s="113"/>
      <c r="AH13" s="116"/>
      <c r="AI13" s="356">
        <f t="shared" si="3"/>
        <v>4.3929999999999997E-2</v>
      </c>
    </row>
    <row r="14" spans="1:35" s="117" customFormat="1" ht="36" customHeight="1" x14ac:dyDescent="0.25">
      <c r="A14" s="110">
        <v>11</v>
      </c>
      <c r="B14" s="110" t="s">
        <v>166</v>
      </c>
      <c r="C14" s="110"/>
      <c r="D14" s="110"/>
      <c r="E14" s="110"/>
      <c r="F14" s="110" t="s">
        <v>664</v>
      </c>
      <c r="G14" s="110" t="s">
        <v>267</v>
      </c>
      <c r="H14" s="110"/>
      <c r="I14" s="111" t="s">
        <v>266</v>
      </c>
      <c r="J14" s="110">
        <v>1</v>
      </c>
      <c r="K14" s="112">
        <f t="shared" si="4"/>
        <v>1</v>
      </c>
      <c r="L14" s="112"/>
      <c r="M14" s="113">
        <v>11.6</v>
      </c>
      <c r="N14" s="113">
        <f t="shared" si="2"/>
        <v>11.6</v>
      </c>
      <c r="O14" s="114" t="s">
        <v>21</v>
      </c>
      <c r="P14" s="116" t="s">
        <v>223</v>
      </c>
      <c r="Q14" s="116" t="s">
        <v>777</v>
      </c>
      <c r="R14" s="115"/>
      <c r="S14" s="110">
        <v>40</v>
      </c>
      <c r="T14" s="110">
        <v>200</v>
      </c>
      <c r="U14" s="110">
        <v>200</v>
      </c>
      <c r="V14" s="113">
        <f t="shared" si="5"/>
        <v>13.815999999999999</v>
      </c>
      <c r="W14" s="113">
        <f t="shared" si="6"/>
        <v>0.91999999999999993</v>
      </c>
      <c r="X14" s="113">
        <f>W14/0.35</f>
        <v>2.6285714285714286</v>
      </c>
      <c r="Y14" s="113"/>
      <c r="Z14" s="113"/>
      <c r="AA14" s="113"/>
      <c r="AB14" s="113">
        <v>10</v>
      </c>
      <c r="AC14" s="303">
        <f>AB14*($AC$1/60)*K14</f>
        <v>91.666666666666657</v>
      </c>
      <c r="AD14" s="113"/>
      <c r="AE14" s="113"/>
      <c r="AF14" s="113"/>
      <c r="AG14" s="113"/>
      <c r="AH14" s="116"/>
      <c r="AI14" s="356">
        <f t="shared" si="3"/>
        <v>9.1999999999999998E-2</v>
      </c>
    </row>
    <row r="15" spans="1:35" s="117" customFormat="1" ht="36" customHeight="1" x14ac:dyDescent="0.25">
      <c r="A15" s="110">
        <v>12</v>
      </c>
      <c r="B15" s="110" t="s">
        <v>166</v>
      </c>
      <c r="C15" s="110"/>
      <c r="D15" s="110"/>
      <c r="E15" s="110"/>
      <c r="F15" s="110" t="s">
        <v>665</v>
      </c>
      <c r="G15" s="110" t="s">
        <v>269</v>
      </c>
      <c r="H15" s="110"/>
      <c r="I15" s="111" t="s">
        <v>268</v>
      </c>
      <c r="J15" s="110">
        <v>1</v>
      </c>
      <c r="K15" s="112">
        <f t="shared" si="4"/>
        <v>1</v>
      </c>
      <c r="L15" s="112"/>
      <c r="M15" s="113">
        <v>4</v>
      </c>
      <c r="N15" s="113">
        <f t="shared" si="2"/>
        <v>4</v>
      </c>
      <c r="O15" s="114" t="s">
        <v>21</v>
      </c>
      <c r="P15" s="116" t="s">
        <v>223</v>
      </c>
      <c r="Q15" s="116" t="s">
        <v>777</v>
      </c>
      <c r="R15" s="115"/>
      <c r="S15" s="110">
        <v>25</v>
      </c>
      <c r="T15" s="110">
        <v>165</v>
      </c>
      <c r="U15" s="113">
        <v>180</v>
      </c>
      <c r="V15" s="113">
        <f t="shared" si="5"/>
        <v>6.4114874999999998</v>
      </c>
      <c r="W15" s="113">
        <f t="shared" si="6"/>
        <v>0.79349999999999987</v>
      </c>
      <c r="X15" s="113">
        <f>W15/1.3</f>
        <v>0.6103846153846153</v>
      </c>
      <c r="Y15" s="113"/>
      <c r="Z15" s="113"/>
      <c r="AA15" s="113"/>
      <c r="AB15" s="113"/>
      <c r="AC15" s="113"/>
      <c r="AD15" s="113"/>
      <c r="AE15" s="113"/>
      <c r="AF15" s="113"/>
      <c r="AG15" s="113"/>
      <c r="AH15" s="116"/>
      <c r="AI15" s="356">
        <f t="shared" si="3"/>
        <v>6.8309999999999996E-2</v>
      </c>
    </row>
    <row r="16" spans="1:35" s="117" customFormat="1" ht="36" customHeight="1" x14ac:dyDescent="0.25">
      <c r="A16" s="110">
        <v>13</v>
      </c>
      <c r="B16" s="110" t="s">
        <v>166</v>
      </c>
      <c r="C16" s="110"/>
      <c r="D16" s="110"/>
      <c r="E16" s="110"/>
      <c r="F16" s="110" t="s">
        <v>666</v>
      </c>
      <c r="G16" s="110" t="s">
        <v>272</v>
      </c>
      <c r="H16" s="110"/>
      <c r="I16" s="111" t="s">
        <v>270</v>
      </c>
      <c r="J16" s="110">
        <v>4</v>
      </c>
      <c r="K16" s="112">
        <f t="shared" si="4"/>
        <v>4</v>
      </c>
      <c r="L16" s="112"/>
      <c r="M16" s="113">
        <f>0.2*0.4536</f>
        <v>9.0720000000000009E-2</v>
      </c>
      <c r="N16" s="113">
        <f t="shared" si="2"/>
        <v>0.36288000000000004</v>
      </c>
      <c r="O16" s="114" t="s">
        <v>286</v>
      </c>
      <c r="P16" s="116" t="s">
        <v>271</v>
      </c>
      <c r="Q16" s="116" t="s">
        <v>271</v>
      </c>
      <c r="R16" s="115"/>
      <c r="S16" s="300" t="s">
        <v>409</v>
      </c>
      <c r="T16" s="110"/>
      <c r="U16" s="113">
        <v>51</v>
      </c>
      <c r="V16" s="113">
        <f>M16*K16*(1+$V$1)</f>
        <v>0.39916800000000008</v>
      </c>
      <c r="W16" s="113"/>
      <c r="X16" s="113">
        <v>2</v>
      </c>
      <c r="Y16" s="113"/>
      <c r="Z16" s="113"/>
      <c r="AA16" s="113"/>
      <c r="AB16" s="113"/>
      <c r="AC16" s="113"/>
      <c r="AD16" s="113"/>
      <c r="AE16" s="113"/>
      <c r="AF16" s="113"/>
      <c r="AG16" s="113"/>
      <c r="AH16" s="116"/>
      <c r="AI16" s="113"/>
    </row>
    <row r="17" spans="1:35" s="117" customFormat="1" ht="36" customHeight="1" x14ac:dyDescent="0.25">
      <c r="A17" s="110">
        <v>14</v>
      </c>
      <c r="B17" s="110" t="s">
        <v>166</v>
      </c>
      <c r="C17" s="110"/>
      <c r="D17" s="110"/>
      <c r="E17" s="110"/>
      <c r="F17" s="110" t="s">
        <v>667</v>
      </c>
      <c r="G17" s="110" t="s">
        <v>274</v>
      </c>
      <c r="H17" s="110"/>
      <c r="I17" s="111" t="s">
        <v>273</v>
      </c>
      <c r="J17" s="110">
        <v>2</v>
      </c>
      <c r="K17" s="112">
        <f t="shared" si="4"/>
        <v>2</v>
      </c>
      <c r="L17" s="112"/>
      <c r="M17" s="113">
        <v>19</v>
      </c>
      <c r="N17" s="113">
        <f t="shared" si="2"/>
        <v>38</v>
      </c>
      <c r="O17" s="114" t="s">
        <v>21</v>
      </c>
      <c r="P17" s="116" t="s">
        <v>262</v>
      </c>
      <c r="Q17" s="116" t="s">
        <v>573</v>
      </c>
      <c r="R17" s="115"/>
      <c r="S17" s="110">
        <v>50</v>
      </c>
      <c r="T17" s="110">
        <v>220</v>
      </c>
      <c r="U17" s="113">
        <v>334</v>
      </c>
      <c r="V17" s="113">
        <f t="shared" ref="V17:V19" si="9">S17*T17*U17*0.00000785*(1+$V$1)*K17</f>
        <v>63.449980000000004</v>
      </c>
      <c r="W17" s="113">
        <f t="shared" ref="W17:W19" si="10">((T17+U17)*2*(1+$W$1))/1000</f>
        <v>1.2741999999999998</v>
      </c>
      <c r="X17" s="113">
        <f>W17/0.32</f>
        <v>3.9818749999999992</v>
      </c>
      <c r="Y17" s="113"/>
      <c r="Z17" s="113"/>
      <c r="AA17" s="113"/>
      <c r="AB17" s="113">
        <v>45</v>
      </c>
      <c r="AC17" s="303">
        <f>AB17*($AC$1/60)*K17</f>
        <v>825</v>
      </c>
      <c r="AD17" s="113"/>
      <c r="AE17" s="113"/>
      <c r="AF17" s="113"/>
      <c r="AG17" s="113"/>
      <c r="AH17" s="116"/>
      <c r="AI17" s="356">
        <f t="shared" ref="AI17:AI19" si="11">(T17*U17*2)/1000000*(1+$AI$1)*K17</f>
        <v>0.33800799999999998</v>
      </c>
    </row>
    <row r="18" spans="1:35" s="117" customFormat="1" ht="36" customHeight="1" x14ac:dyDescent="0.25">
      <c r="A18" s="110">
        <v>15</v>
      </c>
      <c r="B18" s="110" t="s">
        <v>166</v>
      </c>
      <c r="C18" s="110"/>
      <c r="D18" s="110"/>
      <c r="E18" s="110"/>
      <c r="F18" s="110" t="s">
        <v>668</v>
      </c>
      <c r="G18" s="110" t="s">
        <v>215</v>
      </c>
      <c r="H18" s="110"/>
      <c r="I18" s="111" t="s">
        <v>275</v>
      </c>
      <c r="J18" s="110">
        <v>1</v>
      </c>
      <c r="K18" s="112">
        <f t="shared" si="4"/>
        <v>1</v>
      </c>
      <c r="L18" s="112"/>
      <c r="M18" s="113">
        <f>S18*T18*U18*0.00000785</f>
        <v>149.99779999999998</v>
      </c>
      <c r="N18" s="113">
        <f t="shared" si="2"/>
        <v>149.99779999999998</v>
      </c>
      <c r="O18" s="114" t="s">
        <v>21</v>
      </c>
      <c r="P18" s="116" t="s">
        <v>223</v>
      </c>
      <c r="Q18" s="116" t="s">
        <v>777</v>
      </c>
      <c r="R18" s="115"/>
      <c r="S18" s="110">
        <v>20</v>
      </c>
      <c r="T18" s="110">
        <v>200</v>
      </c>
      <c r="U18" s="113">
        <v>4777</v>
      </c>
      <c r="V18" s="113">
        <f t="shared" si="9"/>
        <v>164.99758</v>
      </c>
      <c r="W18" s="113">
        <f t="shared" si="10"/>
        <v>11.447099999999999</v>
      </c>
      <c r="X18" s="113">
        <f>W18/1.5</f>
        <v>7.6313999999999993</v>
      </c>
      <c r="Y18" s="113"/>
      <c r="Z18" s="113"/>
      <c r="AA18" s="113"/>
      <c r="AB18" s="113"/>
      <c r="AC18" s="113"/>
      <c r="AD18" s="113"/>
      <c r="AE18" s="113"/>
      <c r="AF18" s="113"/>
      <c r="AG18" s="113"/>
      <c r="AH18" s="116"/>
      <c r="AI18" s="356">
        <f t="shared" si="11"/>
        <v>2.1974199999999997</v>
      </c>
    </row>
    <row r="19" spans="1:35" s="117" customFormat="1" ht="36" customHeight="1" x14ac:dyDescent="0.25">
      <c r="A19" s="110">
        <v>16</v>
      </c>
      <c r="B19" s="110" t="s">
        <v>166</v>
      </c>
      <c r="C19" s="110"/>
      <c r="D19" s="110"/>
      <c r="E19" s="110"/>
      <c r="F19" s="110" t="s">
        <v>669</v>
      </c>
      <c r="G19" s="110" t="s">
        <v>215</v>
      </c>
      <c r="H19" s="110"/>
      <c r="I19" s="111" t="s">
        <v>276</v>
      </c>
      <c r="J19" s="110">
        <v>2</v>
      </c>
      <c r="K19" s="112">
        <f t="shared" si="4"/>
        <v>2</v>
      </c>
      <c r="L19" s="112"/>
      <c r="M19" s="113">
        <f>S19*T19*U19*0.00000785</f>
        <v>2.6917649999999997</v>
      </c>
      <c r="N19" s="113">
        <f t="shared" si="2"/>
        <v>5.3835299999999995</v>
      </c>
      <c r="O19" s="114" t="s">
        <v>21</v>
      </c>
      <c r="P19" s="116" t="s">
        <v>223</v>
      </c>
      <c r="Q19" s="116" t="s">
        <v>777</v>
      </c>
      <c r="R19" s="115"/>
      <c r="S19" s="110">
        <v>12</v>
      </c>
      <c r="T19" s="110">
        <v>75</v>
      </c>
      <c r="U19" s="113">
        <v>381</v>
      </c>
      <c r="V19" s="113">
        <f t="shared" si="9"/>
        <v>5.9218830000000002</v>
      </c>
      <c r="W19" s="113">
        <f t="shared" si="10"/>
        <v>1.0488</v>
      </c>
      <c r="X19" s="113">
        <f>W19/1.1</f>
        <v>0.95345454545454533</v>
      </c>
      <c r="Y19" s="113"/>
      <c r="Z19" s="113"/>
      <c r="AA19" s="113"/>
      <c r="AB19" s="113"/>
      <c r="AC19" s="113"/>
      <c r="AD19" s="113"/>
      <c r="AE19" s="113"/>
      <c r="AF19" s="113"/>
      <c r="AG19" s="113"/>
      <c r="AH19" s="116"/>
      <c r="AI19" s="356">
        <f t="shared" si="11"/>
        <v>0.13144499999999998</v>
      </c>
    </row>
    <row r="20" spans="1:35" s="117" customFormat="1" ht="36" customHeight="1" x14ac:dyDescent="0.25">
      <c r="A20" s="110">
        <v>17</v>
      </c>
      <c r="B20" s="110" t="s">
        <v>166</v>
      </c>
      <c r="C20" s="110"/>
      <c r="D20" s="110"/>
      <c r="E20" s="110" t="s">
        <v>632</v>
      </c>
      <c r="F20" s="110"/>
      <c r="G20" s="110" t="s">
        <v>200</v>
      </c>
      <c r="H20" s="110"/>
      <c r="I20" s="111" t="s">
        <v>199</v>
      </c>
      <c r="J20" s="110">
        <v>1</v>
      </c>
      <c r="K20" s="112">
        <f t="shared" ref="K20:K60" si="12">J20*$K$6</f>
        <v>1</v>
      </c>
      <c r="L20" s="113"/>
      <c r="M20" s="113">
        <v>667</v>
      </c>
      <c r="N20" s="113">
        <f t="shared" si="2"/>
        <v>667</v>
      </c>
      <c r="O20" s="123" t="s">
        <v>252</v>
      </c>
      <c r="P20" s="116" t="s">
        <v>215</v>
      </c>
      <c r="Q20" s="110"/>
      <c r="R20" s="115"/>
      <c r="S20" s="110"/>
      <c r="T20" s="113"/>
      <c r="U20" s="110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6"/>
      <c r="AI20" s="113"/>
    </row>
    <row r="21" spans="1:35" s="117" customFormat="1" ht="36" customHeight="1" x14ac:dyDescent="0.25">
      <c r="A21" s="110">
        <v>18</v>
      </c>
      <c r="B21" s="110" t="s">
        <v>166</v>
      </c>
      <c r="C21" s="110"/>
      <c r="D21" s="110"/>
      <c r="E21" s="110"/>
      <c r="F21" s="110" t="s">
        <v>670</v>
      </c>
      <c r="G21" s="110" t="s">
        <v>278</v>
      </c>
      <c r="H21" s="110"/>
      <c r="I21" s="111" t="s">
        <v>277</v>
      </c>
      <c r="J21" s="110">
        <v>1</v>
      </c>
      <c r="K21" s="112">
        <f>J21*$K$20</f>
        <v>1</v>
      </c>
      <c r="L21" s="113"/>
      <c r="M21" s="113">
        <v>321</v>
      </c>
      <c r="N21" s="113">
        <f t="shared" si="2"/>
        <v>321</v>
      </c>
      <c r="O21" s="114" t="s">
        <v>21</v>
      </c>
      <c r="P21" s="116" t="s">
        <v>202</v>
      </c>
      <c r="Q21" s="116" t="s">
        <v>573</v>
      </c>
      <c r="R21" s="115"/>
      <c r="S21" s="110">
        <v>10</v>
      </c>
      <c r="T21" s="113">
        <v>1022</v>
      </c>
      <c r="U21" s="110">
        <v>5080</v>
      </c>
      <c r="V21" s="113">
        <f t="shared" ref="V21:V30" si="13">S21*T21*U21*0.00000785*(1+$V$1)*K21</f>
        <v>448.30847600000004</v>
      </c>
      <c r="W21" s="113">
        <f t="shared" ref="W21:W30" si="14">((T21+U21)*2*(1+$W$1))/1000</f>
        <v>14.034599999999999</v>
      </c>
      <c r="X21" s="113">
        <f t="shared" ref="X21:X23" si="15">W21/1.1</f>
        <v>12.75872727272727</v>
      </c>
      <c r="Y21" s="113"/>
      <c r="Z21" s="113"/>
      <c r="AA21" s="113"/>
      <c r="AB21" s="113"/>
      <c r="AC21" s="113"/>
      <c r="AD21" s="113"/>
      <c r="AE21" s="113"/>
      <c r="AF21" s="113"/>
      <c r="AG21" s="113"/>
      <c r="AH21" s="116"/>
      <c r="AI21" s="356">
        <f t="shared" ref="AI21:AI30" si="16">(T21*U21*2)/1000000*(1+$AI$1)*K21</f>
        <v>11.941048</v>
      </c>
    </row>
    <row r="22" spans="1:35" s="117" customFormat="1" ht="36" customHeight="1" x14ac:dyDescent="0.25">
      <c r="A22" s="110">
        <v>19</v>
      </c>
      <c r="B22" s="110" t="s">
        <v>166</v>
      </c>
      <c r="C22" s="110"/>
      <c r="D22" s="110"/>
      <c r="E22" s="110"/>
      <c r="F22" s="110" t="s">
        <v>671</v>
      </c>
      <c r="G22" s="110" t="s">
        <v>280</v>
      </c>
      <c r="H22" s="110"/>
      <c r="I22" s="111" t="s">
        <v>279</v>
      </c>
      <c r="J22" s="110">
        <v>1</v>
      </c>
      <c r="K22" s="112">
        <f t="shared" ref="K22:K33" si="17">J22*$K$20</f>
        <v>1</v>
      </c>
      <c r="L22" s="113"/>
      <c r="M22" s="113">
        <v>83</v>
      </c>
      <c r="N22" s="113">
        <f t="shared" si="2"/>
        <v>83</v>
      </c>
      <c r="O22" s="114" t="s">
        <v>21</v>
      </c>
      <c r="P22" s="116" t="s">
        <v>202</v>
      </c>
      <c r="Q22" s="116" t="s">
        <v>573</v>
      </c>
      <c r="R22" s="115"/>
      <c r="S22" s="110">
        <v>12</v>
      </c>
      <c r="T22" s="113">
        <v>180</v>
      </c>
      <c r="U22" s="110">
        <v>4775</v>
      </c>
      <c r="V22" s="113">
        <f t="shared" si="13"/>
        <v>89.061390000000003</v>
      </c>
      <c r="W22" s="113">
        <f t="shared" si="14"/>
        <v>11.3965</v>
      </c>
      <c r="X22" s="113">
        <f t="shared" si="15"/>
        <v>10.360454545454544</v>
      </c>
      <c r="Y22" s="113"/>
      <c r="Z22" s="113"/>
      <c r="AA22" s="113"/>
      <c r="AB22" s="113"/>
      <c r="AC22" s="113"/>
      <c r="AD22" s="113"/>
      <c r="AE22" s="113"/>
      <c r="AF22" s="113"/>
      <c r="AG22" s="113"/>
      <c r="AH22" s="116"/>
      <c r="AI22" s="356">
        <f t="shared" si="16"/>
        <v>1.97685</v>
      </c>
    </row>
    <row r="23" spans="1:35" s="117" customFormat="1" ht="36" customHeight="1" x14ac:dyDescent="0.25">
      <c r="A23" s="110">
        <v>20</v>
      </c>
      <c r="B23" s="110" t="s">
        <v>166</v>
      </c>
      <c r="C23" s="110"/>
      <c r="D23" s="110"/>
      <c r="E23" s="110"/>
      <c r="F23" s="110" t="s">
        <v>672</v>
      </c>
      <c r="G23" s="110" t="s">
        <v>258</v>
      </c>
      <c r="H23" s="110"/>
      <c r="I23" s="111" t="s">
        <v>257</v>
      </c>
      <c r="J23" s="110">
        <v>1</v>
      </c>
      <c r="K23" s="112">
        <f t="shared" si="17"/>
        <v>1</v>
      </c>
      <c r="L23" s="113"/>
      <c r="M23" s="113">
        <v>9</v>
      </c>
      <c r="N23" s="113">
        <f t="shared" ref="N23:N27" si="18">M23*K23</f>
        <v>9</v>
      </c>
      <c r="O23" s="114" t="s">
        <v>21</v>
      </c>
      <c r="P23" s="116" t="s">
        <v>202</v>
      </c>
      <c r="Q23" s="116" t="s">
        <v>573</v>
      </c>
      <c r="R23" s="115"/>
      <c r="S23" s="110">
        <v>12</v>
      </c>
      <c r="T23" s="110">
        <v>180</v>
      </c>
      <c r="U23" s="113">
        <v>572</v>
      </c>
      <c r="V23" s="113">
        <f t="shared" si="13"/>
        <v>10.668715199999999</v>
      </c>
      <c r="W23" s="113">
        <f t="shared" si="14"/>
        <v>1.7295999999999998</v>
      </c>
      <c r="X23" s="113">
        <f t="shared" si="15"/>
        <v>1.572363636363636</v>
      </c>
      <c r="Y23" s="113"/>
      <c r="Z23" s="113"/>
      <c r="AA23" s="113"/>
      <c r="AB23" s="113"/>
      <c r="AC23" s="113"/>
      <c r="AD23" s="113"/>
      <c r="AE23" s="113"/>
      <c r="AF23" s="113"/>
      <c r="AG23" s="113"/>
      <c r="AH23" s="116"/>
      <c r="AI23" s="356">
        <f t="shared" si="16"/>
        <v>0.23680799999999996</v>
      </c>
    </row>
    <row r="24" spans="1:35" s="117" customFormat="1" ht="36" customHeight="1" x14ac:dyDescent="0.25">
      <c r="A24" s="110">
        <v>21</v>
      </c>
      <c r="B24" s="110" t="s">
        <v>166</v>
      </c>
      <c r="C24" s="110"/>
      <c r="D24" s="110"/>
      <c r="E24" s="110"/>
      <c r="F24" s="110" t="s">
        <v>673</v>
      </c>
      <c r="G24" s="110" t="s">
        <v>260</v>
      </c>
      <c r="H24" s="110"/>
      <c r="I24" s="111" t="s">
        <v>259</v>
      </c>
      <c r="J24" s="110">
        <v>1</v>
      </c>
      <c r="K24" s="112">
        <f t="shared" si="17"/>
        <v>1</v>
      </c>
      <c r="L24" s="113"/>
      <c r="M24" s="113">
        <v>8</v>
      </c>
      <c r="N24" s="113">
        <f t="shared" si="18"/>
        <v>8</v>
      </c>
      <c r="O24" s="114" t="s">
        <v>21</v>
      </c>
      <c r="P24" s="116" t="s">
        <v>223</v>
      </c>
      <c r="Q24" s="116" t="s">
        <v>777</v>
      </c>
      <c r="R24" s="115"/>
      <c r="S24" s="110">
        <v>20</v>
      </c>
      <c r="T24" s="110">
        <v>200</v>
      </c>
      <c r="U24" s="113">
        <v>324</v>
      </c>
      <c r="V24" s="113">
        <f t="shared" si="13"/>
        <v>11.190959999999999</v>
      </c>
      <c r="W24" s="113">
        <f t="shared" si="14"/>
        <v>1.2051999999999998</v>
      </c>
      <c r="X24" s="113">
        <f>W24/1.5</f>
        <v>0.80346666666666655</v>
      </c>
      <c r="Y24" s="113"/>
      <c r="Z24" s="113"/>
      <c r="AA24" s="113"/>
      <c r="AB24" s="113"/>
      <c r="AC24" s="113"/>
      <c r="AD24" s="113"/>
      <c r="AE24" s="113"/>
      <c r="AF24" s="113"/>
      <c r="AG24" s="113"/>
      <c r="AH24" s="116"/>
      <c r="AI24" s="356">
        <f t="shared" si="16"/>
        <v>0.14903999999999998</v>
      </c>
    </row>
    <row r="25" spans="1:35" s="117" customFormat="1" ht="36" customHeight="1" x14ac:dyDescent="0.25">
      <c r="A25" s="110">
        <v>22</v>
      </c>
      <c r="B25" s="110" t="s">
        <v>166</v>
      </c>
      <c r="C25" s="110"/>
      <c r="D25" s="110"/>
      <c r="E25" s="110"/>
      <c r="F25" s="110" t="s">
        <v>674</v>
      </c>
      <c r="G25" s="110" t="s">
        <v>263</v>
      </c>
      <c r="H25" s="110"/>
      <c r="I25" s="111" t="s">
        <v>261</v>
      </c>
      <c r="J25" s="110">
        <v>1</v>
      </c>
      <c r="K25" s="112">
        <f t="shared" si="17"/>
        <v>1</v>
      </c>
      <c r="L25" s="113"/>
      <c r="M25" s="113">
        <v>37</v>
      </c>
      <c r="N25" s="113">
        <f t="shared" si="18"/>
        <v>37</v>
      </c>
      <c r="O25" s="114" t="s">
        <v>21</v>
      </c>
      <c r="P25" s="116" t="s">
        <v>262</v>
      </c>
      <c r="Q25" s="116" t="s">
        <v>573</v>
      </c>
      <c r="R25" s="115"/>
      <c r="S25" s="110">
        <v>10</v>
      </c>
      <c r="T25" s="110">
        <v>100</v>
      </c>
      <c r="U25" s="113">
        <v>4702</v>
      </c>
      <c r="V25" s="113">
        <f t="shared" si="13"/>
        <v>40.601770000000002</v>
      </c>
      <c r="W25" s="113">
        <f t="shared" si="14"/>
        <v>11.044599999999999</v>
      </c>
      <c r="X25" s="113">
        <f t="shared" ref="X25:X26" si="19">W25/1.1</f>
        <v>10.040545454545454</v>
      </c>
      <c r="Y25" s="113"/>
      <c r="Z25" s="113"/>
      <c r="AA25" s="113"/>
      <c r="AB25" s="113"/>
      <c r="AC25" s="113"/>
      <c r="AD25" s="113"/>
      <c r="AE25" s="113"/>
      <c r="AF25" s="113"/>
      <c r="AG25" s="113"/>
      <c r="AH25" s="116"/>
      <c r="AI25" s="356">
        <f t="shared" si="16"/>
        <v>1.0814599999999999</v>
      </c>
    </row>
    <row r="26" spans="1:35" s="117" customFormat="1" ht="36" customHeight="1" x14ac:dyDescent="0.25">
      <c r="A26" s="110">
        <v>23</v>
      </c>
      <c r="B26" s="110" t="s">
        <v>166</v>
      </c>
      <c r="C26" s="110"/>
      <c r="D26" s="110"/>
      <c r="E26" s="110"/>
      <c r="F26" s="110" t="s">
        <v>675</v>
      </c>
      <c r="G26" s="110" t="s">
        <v>265</v>
      </c>
      <c r="H26" s="110"/>
      <c r="I26" s="111" t="s">
        <v>264</v>
      </c>
      <c r="J26" s="110">
        <v>1</v>
      </c>
      <c r="K26" s="112">
        <f t="shared" si="17"/>
        <v>1</v>
      </c>
      <c r="L26" s="113"/>
      <c r="M26" s="113">
        <v>0.8</v>
      </c>
      <c r="N26" s="113">
        <f t="shared" si="18"/>
        <v>0.8</v>
      </c>
      <c r="O26" s="114" t="s">
        <v>21</v>
      </c>
      <c r="P26" s="116" t="s">
        <v>202</v>
      </c>
      <c r="Q26" s="116" t="s">
        <v>573</v>
      </c>
      <c r="R26" s="115"/>
      <c r="S26" s="110">
        <v>10</v>
      </c>
      <c r="T26" s="110">
        <v>100</v>
      </c>
      <c r="U26" s="113">
        <v>191</v>
      </c>
      <c r="V26" s="113">
        <f t="shared" si="13"/>
        <v>1.6492850000000001</v>
      </c>
      <c r="W26" s="113">
        <f t="shared" si="14"/>
        <v>0.66930000000000001</v>
      </c>
      <c r="X26" s="113">
        <f t="shared" si="19"/>
        <v>0.60845454545454536</v>
      </c>
      <c r="Y26" s="113"/>
      <c r="Z26" s="113"/>
      <c r="AA26" s="113"/>
      <c r="AB26" s="113"/>
      <c r="AC26" s="113"/>
      <c r="AD26" s="113"/>
      <c r="AE26" s="113"/>
      <c r="AF26" s="113"/>
      <c r="AG26" s="113"/>
      <c r="AH26" s="116"/>
      <c r="AI26" s="356">
        <f t="shared" si="16"/>
        <v>4.3929999999999997E-2</v>
      </c>
    </row>
    <row r="27" spans="1:35" s="117" customFormat="1" ht="36" customHeight="1" x14ac:dyDescent="0.25">
      <c r="A27" s="110">
        <v>24</v>
      </c>
      <c r="B27" s="110" t="s">
        <v>166</v>
      </c>
      <c r="C27" s="110"/>
      <c r="D27" s="110"/>
      <c r="E27" s="110"/>
      <c r="F27" s="110" t="s">
        <v>676</v>
      </c>
      <c r="G27" s="110" t="s">
        <v>267</v>
      </c>
      <c r="H27" s="110"/>
      <c r="I27" s="111" t="s">
        <v>266</v>
      </c>
      <c r="J27" s="110">
        <v>1</v>
      </c>
      <c r="K27" s="112">
        <f t="shared" si="17"/>
        <v>1</v>
      </c>
      <c r="L27" s="113"/>
      <c r="M27" s="113">
        <v>11.6</v>
      </c>
      <c r="N27" s="113">
        <f t="shared" si="18"/>
        <v>11.6</v>
      </c>
      <c r="O27" s="114" t="s">
        <v>21</v>
      </c>
      <c r="P27" s="116" t="s">
        <v>223</v>
      </c>
      <c r="Q27" s="116" t="s">
        <v>777</v>
      </c>
      <c r="R27" s="115"/>
      <c r="S27" s="110">
        <v>40</v>
      </c>
      <c r="T27" s="110">
        <v>200</v>
      </c>
      <c r="U27" s="110">
        <v>200</v>
      </c>
      <c r="V27" s="113">
        <f t="shared" si="13"/>
        <v>13.815999999999999</v>
      </c>
      <c r="W27" s="113">
        <f t="shared" si="14"/>
        <v>0.91999999999999993</v>
      </c>
      <c r="X27" s="113">
        <f>W27/0.35</f>
        <v>2.6285714285714286</v>
      </c>
      <c r="Y27" s="113"/>
      <c r="Z27" s="113"/>
      <c r="AA27" s="113"/>
      <c r="AB27" s="113">
        <v>10</v>
      </c>
      <c r="AC27" s="303">
        <f>AB27*($AC$1/60)*K27</f>
        <v>91.666666666666657</v>
      </c>
      <c r="AD27" s="113"/>
      <c r="AE27" s="113"/>
      <c r="AF27" s="113"/>
      <c r="AG27" s="113"/>
      <c r="AH27" s="116"/>
      <c r="AI27" s="356">
        <f t="shared" si="16"/>
        <v>9.1999999999999998E-2</v>
      </c>
    </row>
    <row r="28" spans="1:35" s="117" customFormat="1" ht="36" customHeight="1" x14ac:dyDescent="0.25">
      <c r="A28" s="110">
        <v>25</v>
      </c>
      <c r="B28" s="110" t="s">
        <v>166</v>
      </c>
      <c r="C28" s="110"/>
      <c r="D28" s="110"/>
      <c r="E28" s="110"/>
      <c r="F28" s="110" t="s">
        <v>677</v>
      </c>
      <c r="G28" s="110" t="s">
        <v>269</v>
      </c>
      <c r="H28" s="110"/>
      <c r="I28" s="111" t="s">
        <v>268</v>
      </c>
      <c r="J28" s="110">
        <v>1</v>
      </c>
      <c r="K28" s="112">
        <f t="shared" si="17"/>
        <v>1</v>
      </c>
      <c r="L28" s="113"/>
      <c r="M28" s="113">
        <v>4</v>
      </c>
      <c r="N28" s="113">
        <f t="shared" ref="N28:N33" si="20">M28*K28</f>
        <v>4</v>
      </c>
      <c r="O28" s="114" t="s">
        <v>21</v>
      </c>
      <c r="P28" s="116" t="s">
        <v>223</v>
      </c>
      <c r="Q28" s="116" t="s">
        <v>777</v>
      </c>
      <c r="R28" s="115"/>
      <c r="S28" s="110">
        <v>25</v>
      </c>
      <c r="T28" s="110">
        <v>165</v>
      </c>
      <c r="U28" s="113">
        <v>180</v>
      </c>
      <c r="V28" s="113">
        <f t="shared" si="13"/>
        <v>6.4114874999999998</v>
      </c>
      <c r="W28" s="113">
        <f t="shared" si="14"/>
        <v>0.79349999999999987</v>
      </c>
      <c r="X28" s="113">
        <f>W28/1.3</f>
        <v>0.6103846153846153</v>
      </c>
      <c r="Y28" s="113"/>
      <c r="Z28" s="113"/>
      <c r="AA28" s="113"/>
      <c r="AB28" s="113"/>
      <c r="AC28" s="113"/>
      <c r="AD28" s="113"/>
      <c r="AE28" s="113"/>
      <c r="AF28" s="113"/>
      <c r="AG28" s="113"/>
      <c r="AH28" s="116"/>
      <c r="AI28" s="356">
        <f t="shared" si="16"/>
        <v>6.8309999999999996E-2</v>
      </c>
    </row>
    <row r="29" spans="1:35" s="117" customFormat="1" ht="36" customHeight="1" x14ac:dyDescent="0.25">
      <c r="A29" s="110">
        <v>26</v>
      </c>
      <c r="B29" s="110" t="s">
        <v>166</v>
      </c>
      <c r="C29" s="110"/>
      <c r="D29" s="110"/>
      <c r="E29" s="110"/>
      <c r="F29" s="110" t="s">
        <v>678</v>
      </c>
      <c r="G29" s="110" t="s">
        <v>274</v>
      </c>
      <c r="H29" s="110"/>
      <c r="I29" s="111" t="s">
        <v>273</v>
      </c>
      <c r="J29" s="110">
        <v>2</v>
      </c>
      <c r="K29" s="112">
        <f t="shared" si="17"/>
        <v>2</v>
      </c>
      <c r="L29" s="113"/>
      <c r="M29" s="113">
        <v>19</v>
      </c>
      <c r="N29" s="113">
        <f t="shared" si="20"/>
        <v>38</v>
      </c>
      <c r="O29" s="114" t="s">
        <v>21</v>
      </c>
      <c r="P29" s="116" t="s">
        <v>262</v>
      </c>
      <c r="Q29" s="116" t="s">
        <v>573</v>
      </c>
      <c r="R29" s="115"/>
      <c r="S29" s="110">
        <v>50</v>
      </c>
      <c r="T29" s="110">
        <v>220</v>
      </c>
      <c r="U29" s="113">
        <v>334</v>
      </c>
      <c r="V29" s="113">
        <f t="shared" si="13"/>
        <v>63.449980000000004</v>
      </c>
      <c r="W29" s="113">
        <f t="shared" si="14"/>
        <v>1.2741999999999998</v>
      </c>
      <c r="X29" s="113">
        <f>W29/0.32</f>
        <v>3.9818749999999992</v>
      </c>
      <c r="Y29" s="113"/>
      <c r="Z29" s="113"/>
      <c r="AA29" s="113"/>
      <c r="AB29" s="113">
        <v>45</v>
      </c>
      <c r="AC29" s="303">
        <f>AB29*($AC$1/60)*K29</f>
        <v>825</v>
      </c>
      <c r="AD29" s="113"/>
      <c r="AE29" s="113"/>
      <c r="AF29" s="113"/>
      <c r="AG29" s="113"/>
      <c r="AH29" s="116"/>
      <c r="AI29" s="356">
        <f t="shared" si="16"/>
        <v>0.33800799999999998</v>
      </c>
    </row>
    <row r="30" spans="1:35" s="117" customFormat="1" ht="36" customHeight="1" x14ac:dyDescent="0.25">
      <c r="A30" s="110">
        <v>27</v>
      </c>
      <c r="B30" s="110" t="s">
        <v>166</v>
      </c>
      <c r="C30" s="110"/>
      <c r="D30" s="110"/>
      <c r="E30" s="110"/>
      <c r="F30" s="110" t="s">
        <v>679</v>
      </c>
      <c r="G30" s="110" t="s">
        <v>215</v>
      </c>
      <c r="H30" s="110"/>
      <c r="I30" s="111" t="s">
        <v>275</v>
      </c>
      <c r="J30" s="110">
        <v>1</v>
      </c>
      <c r="K30" s="112">
        <f t="shared" si="17"/>
        <v>1</v>
      </c>
      <c r="L30" s="113"/>
      <c r="M30" s="113">
        <f>S30*T30*U30*0.00000785</f>
        <v>149.99779999999998</v>
      </c>
      <c r="N30" s="113">
        <f t="shared" si="20"/>
        <v>149.99779999999998</v>
      </c>
      <c r="O30" s="114" t="s">
        <v>21</v>
      </c>
      <c r="P30" s="116" t="s">
        <v>223</v>
      </c>
      <c r="Q30" s="116" t="s">
        <v>777</v>
      </c>
      <c r="R30" s="115"/>
      <c r="S30" s="110">
        <v>20</v>
      </c>
      <c r="T30" s="113">
        <v>200</v>
      </c>
      <c r="U30" s="110">
        <v>4777</v>
      </c>
      <c r="V30" s="113">
        <f t="shared" si="13"/>
        <v>164.99758</v>
      </c>
      <c r="W30" s="113">
        <f t="shared" si="14"/>
        <v>11.447099999999999</v>
      </c>
      <c r="X30" s="113">
        <f>W30/1.5</f>
        <v>7.6313999999999993</v>
      </c>
      <c r="Y30" s="113"/>
      <c r="Z30" s="113"/>
      <c r="AA30" s="113"/>
      <c r="AB30" s="113"/>
      <c r="AC30" s="113"/>
      <c r="AD30" s="113"/>
      <c r="AE30" s="113"/>
      <c r="AF30" s="113"/>
      <c r="AG30" s="113"/>
      <c r="AH30" s="116"/>
      <c r="AI30" s="356">
        <f t="shared" si="16"/>
        <v>2.1974199999999997</v>
      </c>
    </row>
    <row r="31" spans="1:35" s="117" customFormat="1" ht="36" customHeight="1" x14ac:dyDescent="0.25">
      <c r="A31" s="110">
        <v>28</v>
      </c>
      <c r="B31" s="110" t="s">
        <v>166</v>
      </c>
      <c r="C31" s="110"/>
      <c r="D31" s="110"/>
      <c r="E31" s="110"/>
      <c r="F31" s="110" t="s">
        <v>680</v>
      </c>
      <c r="G31" s="110" t="s">
        <v>215</v>
      </c>
      <c r="H31" s="110"/>
      <c r="I31" s="111" t="s">
        <v>281</v>
      </c>
      <c r="J31" s="110">
        <v>2</v>
      </c>
      <c r="K31" s="112">
        <f t="shared" si="17"/>
        <v>2</v>
      </c>
      <c r="L31" s="113"/>
      <c r="M31" s="113">
        <f>1.27*U31/1000</f>
        <v>0.13144500000000001</v>
      </c>
      <c r="N31" s="113">
        <f t="shared" si="20"/>
        <v>0.26289000000000001</v>
      </c>
      <c r="O31" s="114" t="s">
        <v>286</v>
      </c>
      <c r="P31" s="116" t="s">
        <v>207</v>
      </c>
      <c r="Q31" s="116" t="s">
        <v>271</v>
      </c>
      <c r="R31" s="115"/>
      <c r="S31" s="110" t="s">
        <v>298</v>
      </c>
      <c r="T31" s="113"/>
      <c r="U31" s="125">
        <v>103.5</v>
      </c>
      <c r="V31" s="113">
        <f>M31*K31*(1+$V$1)</f>
        <v>0.28917900000000002</v>
      </c>
      <c r="W31" s="113"/>
      <c r="X31" s="113">
        <v>2</v>
      </c>
      <c r="Y31" s="113"/>
      <c r="Z31" s="113"/>
      <c r="AA31" s="113"/>
      <c r="AB31" s="113"/>
      <c r="AC31" s="113"/>
      <c r="AD31" s="113"/>
      <c r="AE31" s="113"/>
      <c r="AF31" s="113"/>
      <c r="AG31" s="113"/>
      <c r="AH31" s="116"/>
      <c r="AI31" s="113"/>
    </row>
    <row r="32" spans="1:35" s="117" customFormat="1" ht="36" customHeight="1" x14ac:dyDescent="0.25">
      <c r="A32" s="110">
        <v>29</v>
      </c>
      <c r="B32" s="110" t="s">
        <v>166</v>
      </c>
      <c r="C32" s="110"/>
      <c r="D32" s="110"/>
      <c r="E32" s="110"/>
      <c r="F32" s="110" t="s">
        <v>681</v>
      </c>
      <c r="G32" s="110" t="s">
        <v>215</v>
      </c>
      <c r="H32" s="110"/>
      <c r="I32" s="111" t="s">
        <v>282</v>
      </c>
      <c r="J32" s="110">
        <v>2</v>
      </c>
      <c r="K32" s="112">
        <f t="shared" si="17"/>
        <v>2</v>
      </c>
      <c r="L32" s="113"/>
      <c r="M32" s="113"/>
      <c r="N32" s="113">
        <f t="shared" si="20"/>
        <v>0</v>
      </c>
      <c r="O32" s="114" t="s">
        <v>287</v>
      </c>
      <c r="P32" s="116" t="s">
        <v>283</v>
      </c>
      <c r="Q32" s="110"/>
      <c r="R32" s="115"/>
      <c r="S32" s="110"/>
      <c r="T32" s="113"/>
      <c r="U32" s="110"/>
      <c r="V32" s="113"/>
      <c r="W32" s="113"/>
      <c r="X32" s="113"/>
      <c r="Y32" s="113"/>
      <c r="Z32" s="113"/>
      <c r="AA32" s="113"/>
      <c r="AB32" s="113"/>
      <c r="AC32" s="113"/>
      <c r="AD32" s="113"/>
      <c r="AE32" s="110">
        <f>500*K32</f>
        <v>1000</v>
      </c>
      <c r="AF32" s="113"/>
      <c r="AG32" s="113"/>
      <c r="AH32" s="116"/>
      <c r="AI32" s="113"/>
    </row>
    <row r="33" spans="1:38" s="117" customFormat="1" ht="36" customHeight="1" x14ac:dyDescent="0.25">
      <c r="A33" s="110">
        <v>30</v>
      </c>
      <c r="B33" s="110" t="s">
        <v>166</v>
      </c>
      <c r="C33" s="110"/>
      <c r="D33" s="110"/>
      <c r="E33" s="110"/>
      <c r="F33" s="110" t="s">
        <v>682</v>
      </c>
      <c r="G33" s="110" t="s">
        <v>285</v>
      </c>
      <c r="H33" s="110"/>
      <c r="I33" s="111" t="s">
        <v>284</v>
      </c>
      <c r="J33" s="110">
        <v>2</v>
      </c>
      <c r="K33" s="112">
        <f t="shared" si="17"/>
        <v>2</v>
      </c>
      <c r="L33" s="113"/>
      <c r="M33" s="113">
        <v>2</v>
      </c>
      <c r="N33" s="113">
        <f t="shared" si="20"/>
        <v>4</v>
      </c>
      <c r="O33" s="114" t="s">
        <v>21</v>
      </c>
      <c r="P33" s="116" t="s">
        <v>202</v>
      </c>
      <c r="Q33" s="116" t="s">
        <v>573</v>
      </c>
      <c r="R33" s="115"/>
      <c r="S33" s="110">
        <v>10</v>
      </c>
      <c r="T33" s="113">
        <v>210</v>
      </c>
      <c r="U33" s="110">
        <v>210</v>
      </c>
      <c r="V33" s="113">
        <f t="shared" ref="V33:V35" si="21">S33*T33*U33*0.00000785*(1+$V$1)*K33</f>
        <v>7.6160699999999997</v>
      </c>
      <c r="W33" s="113">
        <f t="shared" ref="W33:W35" si="22">((T33+U33)*2*(1+$W$1))/1000</f>
        <v>0.96599999999999986</v>
      </c>
      <c r="X33" s="113">
        <f t="shared" ref="X33:X35" si="23">W33/1.1</f>
        <v>0.87818181818181795</v>
      </c>
      <c r="Y33" s="113"/>
      <c r="Z33" s="113"/>
      <c r="AA33" s="113"/>
      <c r="AB33" s="113"/>
      <c r="AC33" s="113"/>
      <c r="AD33" s="113"/>
      <c r="AE33" s="113"/>
      <c r="AF33" s="113"/>
      <c r="AG33" s="113"/>
      <c r="AH33" s="116"/>
      <c r="AI33" s="356">
        <f t="shared" ref="AI33:AI35" si="24">(T33*U33*2)/1000000*(1+$AI$1)*K33</f>
        <v>0.20285999999999998</v>
      </c>
    </row>
    <row r="34" spans="1:38" s="117" customFormat="1" ht="36" customHeight="1" x14ac:dyDescent="0.25">
      <c r="A34" s="110">
        <v>31</v>
      </c>
      <c r="B34" s="110" t="s">
        <v>166</v>
      </c>
      <c r="C34" s="110"/>
      <c r="D34" s="110"/>
      <c r="E34" s="110" t="s">
        <v>634</v>
      </c>
      <c r="F34" s="110"/>
      <c r="G34" s="110" t="s">
        <v>203</v>
      </c>
      <c r="H34" s="110"/>
      <c r="I34" s="111" t="s">
        <v>201</v>
      </c>
      <c r="J34" s="110">
        <v>2</v>
      </c>
      <c r="K34" s="112">
        <f t="shared" si="12"/>
        <v>2</v>
      </c>
      <c r="L34" s="113"/>
      <c r="M34" s="113">
        <v>3.4</v>
      </c>
      <c r="N34" s="113">
        <f t="shared" si="2"/>
        <v>6.8</v>
      </c>
      <c r="O34" s="114" t="s">
        <v>21</v>
      </c>
      <c r="P34" s="116" t="s">
        <v>202</v>
      </c>
      <c r="Q34" s="116" t="s">
        <v>573</v>
      </c>
      <c r="R34" s="115"/>
      <c r="S34" s="110">
        <v>12</v>
      </c>
      <c r="T34" s="113">
        <v>200</v>
      </c>
      <c r="U34" s="110">
        <v>240</v>
      </c>
      <c r="V34" s="113">
        <f t="shared" si="21"/>
        <v>9.947519999999999</v>
      </c>
      <c r="W34" s="113">
        <f t="shared" si="22"/>
        <v>1.0119999999999998</v>
      </c>
      <c r="X34" s="113">
        <f t="shared" si="23"/>
        <v>0.91999999999999971</v>
      </c>
      <c r="Y34" s="113"/>
      <c r="Z34" s="113"/>
      <c r="AA34" s="113"/>
      <c r="AB34" s="113"/>
      <c r="AC34" s="113"/>
      <c r="AD34" s="113"/>
      <c r="AE34" s="113"/>
      <c r="AF34" s="113"/>
      <c r="AG34" s="113"/>
      <c r="AH34" s="116"/>
      <c r="AI34" s="356">
        <f t="shared" si="24"/>
        <v>0.2208</v>
      </c>
    </row>
    <row r="35" spans="1:38" s="117" customFormat="1" ht="36" customHeight="1" x14ac:dyDescent="0.25">
      <c r="A35" s="110">
        <v>32</v>
      </c>
      <c r="B35" s="110" t="s">
        <v>166</v>
      </c>
      <c r="C35" s="110"/>
      <c r="D35" s="110"/>
      <c r="E35" s="110" t="s">
        <v>635</v>
      </c>
      <c r="F35" s="110"/>
      <c r="G35" s="110" t="s">
        <v>205</v>
      </c>
      <c r="H35" s="110"/>
      <c r="I35" s="111" t="s">
        <v>204</v>
      </c>
      <c r="J35" s="110">
        <v>4</v>
      </c>
      <c r="K35" s="112">
        <f t="shared" si="12"/>
        <v>4</v>
      </c>
      <c r="L35" s="110"/>
      <c r="M35" s="113">
        <v>15</v>
      </c>
      <c r="N35" s="113">
        <f t="shared" si="2"/>
        <v>60</v>
      </c>
      <c r="O35" s="114" t="s">
        <v>21</v>
      </c>
      <c r="P35" s="118" t="s">
        <v>202</v>
      </c>
      <c r="Q35" s="116" t="s">
        <v>573</v>
      </c>
      <c r="R35" s="110"/>
      <c r="S35" s="110">
        <v>12</v>
      </c>
      <c r="T35" s="110">
        <v>373</v>
      </c>
      <c r="U35" s="110">
        <v>789</v>
      </c>
      <c r="V35" s="113">
        <f t="shared" si="21"/>
        <v>121.98022056000001</v>
      </c>
      <c r="W35" s="113">
        <f t="shared" si="22"/>
        <v>2.6726000000000001</v>
      </c>
      <c r="X35" s="113">
        <f t="shared" si="23"/>
        <v>2.4296363636363636</v>
      </c>
      <c r="Y35" s="113"/>
      <c r="Z35" s="113"/>
      <c r="AA35" s="110"/>
      <c r="AB35" s="113"/>
      <c r="AC35" s="113"/>
      <c r="AD35" s="110"/>
      <c r="AE35" s="110"/>
      <c r="AF35" s="113"/>
      <c r="AG35" s="110"/>
      <c r="AH35" s="116"/>
      <c r="AI35" s="356">
        <f t="shared" si="24"/>
        <v>2.7075323999999994</v>
      </c>
    </row>
    <row r="36" spans="1:38" s="117" customFormat="1" ht="36" customHeight="1" x14ac:dyDescent="0.25">
      <c r="A36" s="110">
        <v>33</v>
      </c>
      <c r="B36" s="110" t="s">
        <v>166</v>
      </c>
      <c r="C36" s="110"/>
      <c r="D36" s="110"/>
      <c r="E36" s="110" t="s">
        <v>633</v>
      </c>
      <c r="F36" s="110"/>
      <c r="G36" s="110" t="s">
        <v>208</v>
      </c>
      <c r="H36" s="110"/>
      <c r="I36" s="111" t="s">
        <v>206</v>
      </c>
      <c r="J36" s="110">
        <v>2</v>
      </c>
      <c r="K36" s="112">
        <f t="shared" si="12"/>
        <v>2</v>
      </c>
      <c r="L36" s="138"/>
      <c r="M36" s="113">
        <v>5</v>
      </c>
      <c r="N36" s="113">
        <f t="shared" si="2"/>
        <v>10</v>
      </c>
      <c r="O36" s="123" t="s">
        <v>252</v>
      </c>
      <c r="P36" s="116" t="s">
        <v>215</v>
      </c>
      <c r="Q36" s="110"/>
      <c r="R36" s="115"/>
      <c r="S36" s="110"/>
      <c r="T36" s="110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6"/>
      <c r="AI36" s="113"/>
    </row>
    <row r="37" spans="1:38" s="117" customFormat="1" ht="36" customHeight="1" x14ac:dyDescent="0.25">
      <c r="A37" s="110">
        <v>34</v>
      </c>
      <c r="B37" s="110" t="s">
        <v>166</v>
      </c>
      <c r="C37" s="110"/>
      <c r="D37" s="110"/>
      <c r="E37" s="110"/>
      <c r="F37" s="110" t="s">
        <v>683</v>
      </c>
      <c r="G37" s="110"/>
      <c r="H37" s="110"/>
      <c r="I37" s="339" t="s">
        <v>288</v>
      </c>
      <c r="J37" s="110">
        <v>1</v>
      </c>
      <c r="K37" s="112">
        <f>J37*$K$36</f>
        <v>2</v>
      </c>
      <c r="L37" s="138"/>
      <c r="M37" s="113">
        <f>M36-M38</f>
        <v>4.6516484</v>
      </c>
      <c r="N37" s="113">
        <f t="shared" si="2"/>
        <v>9.3032968</v>
      </c>
      <c r="O37" s="114" t="s">
        <v>286</v>
      </c>
      <c r="P37" s="116" t="s">
        <v>207</v>
      </c>
      <c r="Q37" s="116" t="s">
        <v>271</v>
      </c>
      <c r="R37" s="115"/>
      <c r="S37" s="300" t="s">
        <v>321</v>
      </c>
      <c r="T37" s="110"/>
      <c r="U37" s="110">
        <v>255</v>
      </c>
      <c r="V37" s="113">
        <f>M37*K37*(1+$V$1)</f>
        <v>10.233626480000002</v>
      </c>
      <c r="W37" s="113"/>
      <c r="X37" s="113">
        <v>2</v>
      </c>
      <c r="Y37" s="113"/>
      <c r="Z37" s="113"/>
      <c r="AA37" s="113"/>
      <c r="AB37" s="113">
        <v>5</v>
      </c>
      <c r="AC37" s="303">
        <f>AB37*($AC$1/60)*K37</f>
        <v>91.666666666666657</v>
      </c>
      <c r="AD37" s="113"/>
      <c r="AE37" s="113"/>
      <c r="AF37" s="113"/>
      <c r="AG37" s="113"/>
      <c r="AH37" s="116"/>
      <c r="AI37" s="113"/>
    </row>
    <row r="38" spans="1:38" s="117" customFormat="1" ht="36" customHeight="1" x14ac:dyDescent="0.25">
      <c r="A38" s="110">
        <v>35</v>
      </c>
      <c r="B38" s="110" t="s">
        <v>166</v>
      </c>
      <c r="C38" s="110"/>
      <c r="D38" s="110"/>
      <c r="E38" s="110"/>
      <c r="F38" s="110" t="s">
        <v>684</v>
      </c>
      <c r="G38" s="110"/>
      <c r="H38" s="110"/>
      <c r="I38" s="111" t="s">
        <v>289</v>
      </c>
      <c r="J38" s="110">
        <v>1</v>
      </c>
      <c r="K38" s="112">
        <f>J38*$K$36</f>
        <v>2</v>
      </c>
      <c r="L38" s="138"/>
      <c r="M38" s="113">
        <f>S38*T38*U38*0.00000785</f>
        <v>0.34835159999999998</v>
      </c>
      <c r="N38" s="113">
        <f t="shared" si="2"/>
        <v>0.69670319999999997</v>
      </c>
      <c r="O38" s="114" t="s">
        <v>21</v>
      </c>
      <c r="P38" s="116" t="s">
        <v>207</v>
      </c>
      <c r="Q38" s="484" t="s">
        <v>573</v>
      </c>
      <c r="R38" s="115"/>
      <c r="S38" s="110">
        <v>6</v>
      </c>
      <c r="T38" s="110">
        <v>86</v>
      </c>
      <c r="U38" s="113">
        <v>86</v>
      </c>
      <c r="V38" s="113">
        <f>S38*T38*U38*0.00000785*(1+$V$1)*K38</f>
        <v>0.76637352000000003</v>
      </c>
      <c r="W38" s="113">
        <f>((T38+U38)*2*(1+$W$1))/1000</f>
        <v>0.39559999999999995</v>
      </c>
      <c r="X38" s="113">
        <f>1.5/W38</f>
        <v>3.791708796764409</v>
      </c>
      <c r="Y38" s="113"/>
      <c r="Z38" s="113"/>
      <c r="AA38" s="113"/>
      <c r="AB38" s="113"/>
      <c r="AC38" s="113"/>
      <c r="AD38" s="113"/>
      <c r="AE38" s="113"/>
      <c r="AF38" s="113"/>
      <c r="AG38" s="113"/>
      <c r="AH38" s="116"/>
      <c r="AI38" s="356">
        <f>(T38*U38*2)/1000000*(1+$AI$1)*K38</f>
        <v>3.4021599999999999E-2</v>
      </c>
    </row>
    <row r="39" spans="1:38" s="117" customFormat="1" ht="36" customHeight="1" x14ac:dyDescent="0.25">
      <c r="A39" s="110">
        <v>36</v>
      </c>
      <c r="B39" s="110" t="s">
        <v>166</v>
      </c>
      <c r="C39" s="110"/>
      <c r="D39" s="110"/>
      <c r="E39" s="110" t="s">
        <v>636</v>
      </c>
      <c r="F39" s="110"/>
      <c r="G39" s="110" t="s">
        <v>210</v>
      </c>
      <c r="H39" s="110"/>
      <c r="I39" s="111" t="s">
        <v>292</v>
      </c>
      <c r="J39" s="110">
        <v>2</v>
      </c>
      <c r="K39" s="112">
        <f t="shared" si="12"/>
        <v>2</v>
      </c>
      <c r="L39" s="113"/>
      <c r="M39" s="113">
        <v>498</v>
      </c>
      <c r="N39" s="113">
        <f t="shared" si="2"/>
        <v>996</v>
      </c>
      <c r="O39" s="114" t="s">
        <v>291</v>
      </c>
      <c r="P39" s="116" t="s">
        <v>209</v>
      </c>
      <c r="Q39" s="116" t="s">
        <v>573</v>
      </c>
      <c r="R39" s="115"/>
      <c r="S39" s="110" t="s">
        <v>535</v>
      </c>
      <c r="T39" s="110"/>
      <c r="U39" s="113">
        <v>4572</v>
      </c>
      <c r="V39" s="113">
        <f>107.57*U39/1000*(1+$V$1)*K39</f>
        <v>1081.982088</v>
      </c>
      <c r="W39" s="113"/>
      <c r="X39" s="113">
        <v>6</v>
      </c>
      <c r="Y39" s="113"/>
      <c r="Z39" s="113"/>
      <c r="AA39" s="113"/>
      <c r="AB39" s="113"/>
      <c r="AC39" s="113"/>
      <c r="AD39" s="113"/>
      <c r="AE39" s="113"/>
      <c r="AF39" s="113"/>
      <c r="AG39" s="113" t="s">
        <v>554</v>
      </c>
      <c r="AH39" s="116"/>
      <c r="AI39" s="113"/>
    </row>
    <row r="40" spans="1:38" s="117" customFormat="1" ht="36" customHeight="1" x14ac:dyDescent="0.25">
      <c r="A40" s="110">
        <v>37</v>
      </c>
      <c r="B40" s="110" t="s">
        <v>166</v>
      </c>
      <c r="C40" s="110"/>
      <c r="D40" s="110"/>
      <c r="E40" s="110" t="s">
        <v>637</v>
      </c>
      <c r="F40" s="110"/>
      <c r="G40" s="110" t="s">
        <v>212</v>
      </c>
      <c r="H40" s="110"/>
      <c r="I40" s="111" t="s">
        <v>538</v>
      </c>
      <c r="J40" s="110">
        <v>1</v>
      </c>
      <c r="K40" s="112">
        <f t="shared" si="12"/>
        <v>1</v>
      </c>
      <c r="L40" s="113"/>
      <c r="M40" s="113">
        <v>3</v>
      </c>
      <c r="N40" s="113">
        <f t="shared" si="2"/>
        <v>3</v>
      </c>
      <c r="O40" s="114" t="s">
        <v>290</v>
      </c>
      <c r="P40" s="116" t="s">
        <v>211</v>
      </c>
      <c r="Q40" s="116" t="s">
        <v>777</v>
      </c>
      <c r="R40" s="115"/>
      <c r="S40" s="312" t="s">
        <v>293</v>
      </c>
      <c r="T40" s="113"/>
      <c r="U40" s="110">
        <v>410</v>
      </c>
      <c r="V40" s="113">
        <f>8.64*U40/1000*(1+$V$1)*K40</f>
        <v>3.8966400000000005</v>
      </c>
      <c r="W40" s="113"/>
      <c r="X40" s="113">
        <v>2</v>
      </c>
      <c r="Y40" s="113"/>
      <c r="Z40" s="113"/>
      <c r="AA40" s="113"/>
      <c r="AB40" s="113"/>
      <c r="AC40" s="113"/>
      <c r="AD40" s="113"/>
      <c r="AE40" s="113"/>
      <c r="AF40" s="113"/>
      <c r="AG40" s="113"/>
      <c r="AH40" s="116"/>
      <c r="AI40" s="113"/>
    </row>
    <row r="41" spans="1:38" s="117" customFormat="1" ht="36" customHeight="1" x14ac:dyDescent="0.25">
      <c r="A41" s="110">
        <v>38</v>
      </c>
      <c r="B41" s="110" t="s">
        <v>166</v>
      </c>
      <c r="C41" s="110"/>
      <c r="D41" s="110"/>
      <c r="E41" s="110" t="s">
        <v>638</v>
      </c>
      <c r="F41" s="110"/>
      <c r="G41" s="110" t="s">
        <v>213</v>
      </c>
      <c r="H41" s="110"/>
      <c r="I41" s="111" t="s">
        <v>539</v>
      </c>
      <c r="J41" s="110">
        <v>1</v>
      </c>
      <c r="K41" s="112">
        <f t="shared" si="12"/>
        <v>1</v>
      </c>
      <c r="L41" s="110"/>
      <c r="M41" s="113">
        <v>3</v>
      </c>
      <c r="N41" s="113">
        <f t="shared" si="2"/>
        <v>3</v>
      </c>
      <c r="O41" s="114" t="s">
        <v>290</v>
      </c>
      <c r="P41" s="116" t="s">
        <v>211</v>
      </c>
      <c r="Q41" s="116" t="s">
        <v>777</v>
      </c>
      <c r="R41" s="116"/>
      <c r="S41" s="312" t="s">
        <v>293</v>
      </c>
      <c r="T41" s="110"/>
      <c r="U41" s="110">
        <v>410</v>
      </c>
      <c r="V41" s="113">
        <f t="shared" ref="V41" si="25">8.64*U41/1000*(1+$V$1)*K41</f>
        <v>3.8966400000000005</v>
      </c>
      <c r="W41" s="110"/>
      <c r="X41" s="113">
        <v>2</v>
      </c>
      <c r="Y41" s="113"/>
      <c r="Z41" s="113"/>
      <c r="AA41" s="110"/>
      <c r="AB41" s="113"/>
      <c r="AC41" s="113"/>
      <c r="AD41" s="110"/>
      <c r="AE41" s="110"/>
      <c r="AF41" s="113"/>
      <c r="AG41" s="113"/>
      <c r="AH41" s="116"/>
      <c r="AI41" s="113"/>
      <c r="AL41" s="119"/>
    </row>
    <row r="42" spans="1:38" s="117" customFormat="1" ht="36" customHeight="1" x14ac:dyDescent="0.25">
      <c r="A42" s="110">
        <v>39</v>
      </c>
      <c r="B42" s="110" t="s">
        <v>166</v>
      </c>
      <c r="C42" s="110"/>
      <c r="D42" s="110"/>
      <c r="E42" s="110" t="s">
        <v>639</v>
      </c>
      <c r="F42" s="110"/>
      <c r="G42" s="110" t="s">
        <v>215</v>
      </c>
      <c r="H42" s="110"/>
      <c r="I42" s="111" t="s">
        <v>214</v>
      </c>
      <c r="J42" s="110">
        <v>7</v>
      </c>
      <c r="K42" s="112">
        <f t="shared" si="12"/>
        <v>7</v>
      </c>
      <c r="L42" s="113"/>
      <c r="M42" s="113">
        <f>25.3*U42/1000</f>
        <v>55.609400000000001</v>
      </c>
      <c r="N42" s="113">
        <f t="shared" si="2"/>
        <v>389.26580000000001</v>
      </c>
      <c r="O42" s="114" t="s">
        <v>290</v>
      </c>
      <c r="P42" s="116" t="s">
        <v>202</v>
      </c>
      <c r="Q42" s="116" t="s">
        <v>573</v>
      </c>
      <c r="R42" s="116"/>
      <c r="S42" s="110" t="s">
        <v>537</v>
      </c>
      <c r="T42" s="110"/>
      <c r="U42" s="113">
        <v>2198</v>
      </c>
      <c r="V42" s="113">
        <f>25.3*U42/1000*(1+$V$1)*K42</f>
        <v>428.19238000000001</v>
      </c>
      <c r="W42" s="113"/>
      <c r="X42" s="113">
        <v>3</v>
      </c>
      <c r="Y42" s="113"/>
      <c r="Z42" s="110"/>
      <c r="AA42" s="110"/>
      <c r="AB42" s="110"/>
      <c r="AC42" s="113"/>
      <c r="AD42" s="110"/>
      <c r="AE42" s="110"/>
      <c r="AF42" s="110"/>
      <c r="AG42" s="113"/>
      <c r="AH42" s="116"/>
      <c r="AI42" s="113"/>
      <c r="AL42" s="119"/>
    </row>
    <row r="43" spans="1:38" s="117" customFormat="1" ht="36" customHeight="1" x14ac:dyDescent="0.25">
      <c r="A43" s="110">
        <v>40</v>
      </c>
      <c r="B43" s="110" t="s">
        <v>166</v>
      </c>
      <c r="C43" s="110"/>
      <c r="D43" s="113"/>
      <c r="E43" s="110" t="s">
        <v>640</v>
      </c>
      <c r="F43" s="110"/>
      <c r="G43" s="110" t="s">
        <v>218</v>
      </c>
      <c r="H43" s="110"/>
      <c r="I43" s="111" t="s">
        <v>216</v>
      </c>
      <c r="J43" s="110">
        <v>1</v>
      </c>
      <c r="K43" s="112">
        <f t="shared" si="12"/>
        <v>1</v>
      </c>
      <c r="L43" s="110"/>
      <c r="M43" s="113">
        <v>27.7</v>
      </c>
      <c r="N43" s="113">
        <f t="shared" si="2"/>
        <v>27.7</v>
      </c>
      <c r="O43" s="116" t="s">
        <v>21</v>
      </c>
      <c r="P43" s="116" t="s">
        <v>217</v>
      </c>
      <c r="Q43" s="116" t="s">
        <v>573</v>
      </c>
      <c r="R43" s="116"/>
      <c r="S43" s="110">
        <v>6</v>
      </c>
      <c r="T43" s="110">
        <v>720</v>
      </c>
      <c r="U43" s="113">
        <v>819</v>
      </c>
      <c r="V43" s="113">
        <f>S43*T43*U43*0.00000785*(1+$V$1)*K43</f>
        <v>30.551320799999999</v>
      </c>
      <c r="W43" s="113">
        <f>((T43+U43)*2*(1+$W$1))/1000</f>
        <v>3.5396999999999998</v>
      </c>
      <c r="X43" s="113">
        <f>1.5/W43</f>
        <v>0.42376472582422242</v>
      </c>
      <c r="Y43" s="113"/>
      <c r="Z43" s="110">
        <v>1</v>
      </c>
      <c r="AA43" s="110" t="s">
        <v>294</v>
      </c>
      <c r="AB43" s="110"/>
      <c r="AC43" s="113"/>
      <c r="AD43" s="110"/>
      <c r="AE43" s="110"/>
      <c r="AF43" s="110"/>
      <c r="AG43" s="113"/>
      <c r="AH43" s="116"/>
      <c r="AI43" s="356">
        <f>(T43*U43*2)/1000000*(1+$AI$1)*K43</f>
        <v>1.3562639999999999</v>
      </c>
      <c r="AL43" s="119"/>
    </row>
    <row r="44" spans="1:38" s="117" customFormat="1" ht="36" customHeight="1" x14ac:dyDescent="0.25">
      <c r="A44" s="110">
        <v>41</v>
      </c>
      <c r="B44" s="110" t="s">
        <v>166</v>
      </c>
      <c r="C44" s="110"/>
      <c r="D44" s="110"/>
      <c r="E44" s="110" t="s">
        <v>641</v>
      </c>
      <c r="F44" s="110"/>
      <c r="G44" s="110" t="s">
        <v>215</v>
      </c>
      <c r="H44" s="110"/>
      <c r="I44" s="111" t="s">
        <v>295</v>
      </c>
      <c r="J44" s="110">
        <v>1</v>
      </c>
      <c r="K44" s="112">
        <f t="shared" si="12"/>
        <v>1</v>
      </c>
      <c r="L44" s="110"/>
      <c r="M44" s="113">
        <f>8.64*U44/1000</f>
        <v>40.366080000000004</v>
      </c>
      <c r="N44" s="113">
        <f t="shared" si="2"/>
        <v>40.366080000000004</v>
      </c>
      <c r="O44" s="114" t="s">
        <v>290</v>
      </c>
      <c r="P44" s="116" t="s">
        <v>211</v>
      </c>
      <c r="Q44" s="116" t="s">
        <v>777</v>
      </c>
      <c r="R44" s="116"/>
      <c r="S44" s="312" t="s">
        <v>293</v>
      </c>
      <c r="T44" s="113"/>
      <c r="U44" s="113">
        <v>4672</v>
      </c>
      <c r="V44" s="113">
        <f t="shared" ref="V44:V46" si="26">8.64*U44/1000*(1+$V$1)*K44</f>
        <v>44.402688000000005</v>
      </c>
      <c r="W44" s="113"/>
      <c r="X44" s="110">
        <v>2</v>
      </c>
      <c r="Y44" s="110"/>
      <c r="Z44" s="110"/>
      <c r="AA44" s="110"/>
      <c r="AB44" s="110"/>
      <c r="AC44" s="113"/>
      <c r="AD44" s="110"/>
      <c r="AE44" s="110"/>
      <c r="AF44" s="110"/>
      <c r="AG44" s="113"/>
      <c r="AH44" s="116"/>
      <c r="AI44" s="118"/>
      <c r="AL44" s="119"/>
    </row>
    <row r="45" spans="1:38" s="117" customFormat="1" ht="36" customHeight="1" x14ac:dyDescent="0.25">
      <c r="A45" s="110">
        <v>42</v>
      </c>
      <c r="B45" s="110" t="s">
        <v>166</v>
      </c>
      <c r="C45" s="110"/>
      <c r="D45" s="113"/>
      <c r="E45" s="110" t="s">
        <v>642</v>
      </c>
      <c r="F45" s="110"/>
      <c r="G45" s="110" t="s">
        <v>215</v>
      </c>
      <c r="H45" s="110"/>
      <c r="I45" s="111" t="s">
        <v>219</v>
      </c>
      <c r="J45" s="110">
        <v>5</v>
      </c>
      <c r="K45" s="112">
        <f t="shared" si="12"/>
        <v>5</v>
      </c>
      <c r="L45" s="110"/>
      <c r="M45" s="113">
        <f>8.64*U45/1000</f>
        <v>9.8755199999999999</v>
      </c>
      <c r="N45" s="113">
        <f t="shared" si="2"/>
        <v>49.377600000000001</v>
      </c>
      <c r="O45" s="114" t="s">
        <v>290</v>
      </c>
      <c r="P45" s="116" t="s">
        <v>211</v>
      </c>
      <c r="Q45" s="116" t="s">
        <v>777</v>
      </c>
      <c r="R45" s="116"/>
      <c r="S45" s="312" t="s">
        <v>293</v>
      </c>
      <c r="T45" s="110"/>
      <c r="U45" s="113">
        <v>1143</v>
      </c>
      <c r="V45" s="113">
        <f t="shared" si="26"/>
        <v>54.315360000000005</v>
      </c>
      <c r="W45" s="113"/>
      <c r="X45" s="113">
        <v>2</v>
      </c>
      <c r="Y45" s="113"/>
      <c r="Z45" s="110"/>
      <c r="AA45" s="110"/>
      <c r="AB45" s="110"/>
      <c r="AC45" s="110"/>
      <c r="AD45" s="110"/>
      <c r="AE45" s="110"/>
      <c r="AF45" s="110"/>
      <c r="AG45" s="113"/>
      <c r="AH45" s="116"/>
      <c r="AI45" s="113"/>
      <c r="AL45" s="119"/>
    </row>
    <row r="46" spans="1:38" s="117" customFormat="1" ht="36" customHeight="1" x14ac:dyDescent="0.25">
      <c r="A46" s="110">
        <v>43</v>
      </c>
      <c r="B46" s="110" t="s">
        <v>166</v>
      </c>
      <c r="C46" s="110"/>
      <c r="D46" s="110"/>
      <c r="E46" s="110" t="s">
        <v>643</v>
      </c>
      <c r="F46" s="110"/>
      <c r="G46" s="110" t="s">
        <v>221</v>
      </c>
      <c r="H46" s="110"/>
      <c r="I46" s="111" t="s">
        <v>220</v>
      </c>
      <c r="J46" s="110">
        <v>1</v>
      </c>
      <c r="K46" s="112">
        <f t="shared" si="12"/>
        <v>1</v>
      </c>
      <c r="L46" s="110"/>
      <c r="M46" s="113">
        <f>8.64*U46/1000</f>
        <v>39.942720000000001</v>
      </c>
      <c r="N46" s="113">
        <f t="shared" si="2"/>
        <v>39.942720000000001</v>
      </c>
      <c r="O46" s="114" t="s">
        <v>290</v>
      </c>
      <c r="P46" s="116" t="s">
        <v>211</v>
      </c>
      <c r="Q46" s="116" t="s">
        <v>777</v>
      </c>
      <c r="R46" s="116"/>
      <c r="S46" s="312" t="s">
        <v>293</v>
      </c>
      <c r="T46" s="110"/>
      <c r="U46" s="113">
        <v>4623</v>
      </c>
      <c r="V46" s="113">
        <f t="shared" si="26"/>
        <v>43.936992000000004</v>
      </c>
      <c r="W46" s="110"/>
      <c r="X46" s="113">
        <v>2</v>
      </c>
      <c r="Y46" s="113"/>
      <c r="Z46" s="113"/>
      <c r="AA46" s="110"/>
      <c r="AB46" s="113"/>
      <c r="AC46" s="113"/>
      <c r="AD46" s="110"/>
      <c r="AE46" s="110"/>
      <c r="AF46" s="113"/>
      <c r="AG46" s="113"/>
      <c r="AH46" s="116"/>
      <c r="AI46" s="113"/>
      <c r="AL46" s="119"/>
    </row>
    <row r="47" spans="1:38" s="117" customFormat="1" ht="36" customHeight="1" x14ac:dyDescent="0.25">
      <c r="A47" s="110">
        <v>44</v>
      </c>
      <c r="B47" s="110" t="s">
        <v>166</v>
      </c>
      <c r="C47" s="110"/>
      <c r="D47" s="113"/>
      <c r="E47" s="110" t="s">
        <v>644</v>
      </c>
      <c r="F47" s="110"/>
      <c r="G47" s="110" t="s">
        <v>224</v>
      </c>
      <c r="H47" s="110"/>
      <c r="I47" s="111" t="s">
        <v>222</v>
      </c>
      <c r="J47" s="110">
        <v>1</v>
      </c>
      <c r="K47" s="112">
        <f t="shared" si="12"/>
        <v>1</v>
      </c>
      <c r="L47" s="113"/>
      <c r="M47" s="113">
        <f>S47*T47*U47*0.00000785</f>
        <v>0.69731549999999998</v>
      </c>
      <c r="N47" s="113">
        <f t="shared" si="2"/>
        <v>0.69731549999999998</v>
      </c>
      <c r="O47" s="116" t="s">
        <v>21</v>
      </c>
      <c r="P47" s="116" t="s">
        <v>223</v>
      </c>
      <c r="Q47" s="116" t="s">
        <v>777</v>
      </c>
      <c r="R47" s="116"/>
      <c r="S47" s="110">
        <v>6</v>
      </c>
      <c r="T47" s="110">
        <v>45</v>
      </c>
      <c r="U47" s="113">
        <v>329</v>
      </c>
      <c r="V47" s="113">
        <f>S47*T47*U47*0.00000785*(1+$V$1)*K47</f>
        <v>0.76704705000000006</v>
      </c>
      <c r="W47" s="113">
        <f>((T47+U47)*2*(1+$W$1))/1000</f>
        <v>0.86019999999999996</v>
      </c>
      <c r="X47" s="113">
        <f>1.5/W47</f>
        <v>1.743780516159033</v>
      </c>
      <c r="Y47" s="113"/>
      <c r="Z47" s="110"/>
      <c r="AA47" s="110"/>
      <c r="AB47" s="110"/>
      <c r="AC47" s="113"/>
      <c r="AD47" s="110"/>
      <c r="AE47" s="110"/>
      <c r="AF47" s="110"/>
      <c r="AG47" s="113"/>
      <c r="AH47" s="116"/>
      <c r="AI47" s="356">
        <f>(T47*U47*2)/1000000*(1+$AI$1)*K47</f>
        <v>3.4051499999999998E-2</v>
      </c>
      <c r="AL47" s="119"/>
    </row>
    <row r="48" spans="1:38" s="117" customFormat="1" ht="36" customHeight="1" x14ac:dyDescent="0.25">
      <c r="A48" s="110">
        <v>45</v>
      </c>
      <c r="B48" s="110" t="s">
        <v>166</v>
      </c>
      <c r="C48" s="110"/>
      <c r="D48" s="110"/>
      <c r="E48" s="110" t="s">
        <v>645</v>
      </c>
      <c r="F48" s="110"/>
      <c r="G48" s="110" t="s">
        <v>215</v>
      </c>
      <c r="H48" s="110"/>
      <c r="I48" s="111" t="s">
        <v>225</v>
      </c>
      <c r="J48" s="110">
        <v>1</v>
      </c>
      <c r="K48" s="112">
        <f t="shared" si="12"/>
        <v>1</v>
      </c>
      <c r="L48" s="110"/>
      <c r="M48" s="113">
        <f>42.56*U48/1000</f>
        <v>101.63328</v>
      </c>
      <c r="N48" s="113">
        <f t="shared" si="2"/>
        <v>101.63328</v>
      </c>
      <c r="O48" s="116" t="s">
        <v>286</v>
      </c>
      <c r="P48" s="116" t="s">
        <v>226</v>
      </c>
      <c r="Q48" s="116" t="s">
        <v>271</v>
      </c>
      <c r="R48" s="116"/>
      <c r="S48" s="110" t="s">
        <v>299</v>
      </c>
      <c r="T48" s="110"/>
      <c r="U48" s="110">
        <v>2388</v>
      </c>
      <c r="V48" s="113">
        <f>M48*K48*(1+$V$1)</f>
        <v>111.79660800000001</v>
      </c>
      <c r="W48" s="113"/>
      <c r="X48" s="113">
        <v>3</v>
      </c>
      <c r="Y48" s="113"/>
      <c r="Z48" s="110"/>
      <c r="AA48" s="110"/>
      <c r="AB48" s="110"/>
      <c r="AC48" s="113"/>
      <c r="AD48" s="110"/>
      <c r="AE48" s="110"/>
      <c r="AF48" s="110"/>
      <c r="AG48" s="113"/>
      <c r="AH48" s="116"/>
      <c r="AI48" s="113">
        <f>0.534*U48/1000*K48*(1+$AI$1)</f>
        <v>1.4664708</v>
      </c>
      <c r="AL48" s="119"/>
    </row>
    <row r="49" spans="1:38" s="117" customFormat="1" ht="36" customHeight="1" x14ac:dyDescent="0.25">
      <c r="A49" s="110">
        <v>46</v>
      </c>
      <c r="B49" s="110" t="s">
        <v>166</v>
      </c>
      <c r="C49" s="110"/>
      <c r="D49" s="113"/>
      <c r="E49" s="110" t="s">
        <v>646</v>
      </c>
      <c r="F49" s="110"/>
      <c r="G49" s="110" t="s">
        <v>228</v>
      </c>
      <c r="H49" s="110"/>
      <c r="I49" s="111" t="s">
        <v>227</v>
      </c>
      <c r="J49" s="110">
        <v>1</v>
      </c>
      <c r="K49" s="112">
        <f t="shared" si="12"/>
        <v>1</v>
      </c>
      <c r="L49" s="125"/>
      <c r="M49" s="113">
        <f>S49*T49*U49*0.00000785</f>
        <v>0.59345999999999999</v>
      </c>
      <c r="N49" s="113">
        <f t="shared" si="2"/>
        <v>0.59345999999999999</v>
      </c>
      <c r="O49" s="116" t="s">
        <v>21</v>
      </c>
      <c r="P49" s="116" t="s">
        <v>223</v>
      </c>
      <c r="Q49" s="116" t="s">
        <v>777</v>
      </c>
      <c r="R49" s="116"/>
      <c r="S49" s="110">
        <v>6</v>
      </c>
      <c r="T49" s="110">
        <v>45</v>
      </c>
      <c r="U49" s="113">
        <v>280</v>
      </c>
      <c r="V49" s="113">
        <f t="shared" ref="V49:V50" si="27">S49*T49*U49*0.00000785*(1+$V$1)*K49</f>
        <v>0.652806</v>
      </c>
      <c r="W49" s="113">
        <f t="shared" ref="W49:W50" si="28">((T49+U49)*2*(1+$W$1))/1000</f>
        <v>0.74749999999999983</v>
      </c>
      <c r="X49" s="113">
        <f t="shared" ref="X49:X50" si="29">1.5/W49</f>
        <v>2.0066889632107028</v>
      </c>
      <c r="Y49" s="110"/>
      <c r="Z49" s="110"/>
      <c r="AA49" s="110"/>
      <c r="AB49" s="110"/>
      <c r="AC49" s="113"/>
      <c r="AD49" s="110"/>
      <c r="AE49" s="113"/>
      <c r="AF49" s="110"/>
      <c r="AG49" s="113"/>
      <c r="AH49" s="116"/>
      <c r="AI49" s="356">
        <f t="shared" ref="AI49:AI50" si="30">(T49*U49*2)/1000000*(1+$AI$1)*K49</f>
        <v>2.8979999999999999E-2</v>
      </c>
      <c r="AL49" s="119"/>
    </row>
    <row r="50" spans="1:38" s="117" customFormat="1" ht="36" customHeight="1" x14ac:dyDescent="0.25">
      <c r="A50" s="110">
        <v>47</v>
      </c>
      <c r="B50" s="110" t="s">
        <v>166</v>
      </c>
      <c r="C50" s="110"/>
      <c r="D50" s="110"/>
      <c r="E50" s="110" t="s">
        <v>647</v>
      </c>
      <c r="F50" s="110"/>
      <c r="G50" s="110" t="s">
        <v>230</v>
      </c>
      <c r="H50" s="110"/>
      <c r="I50" s="111" t="s">
        <v>229</v>
      </c>
      <c r="J50" s="110">
        <v>1</v>
      </c>
      <c r="K50" s="112">
        <f t="shared" si="12"/>
        <v>1</v>
      </c>
      <c r="L50" s="110"/>
      <c r="M50" s="113">
        <v>4.0999999999999996</v>
      </c>
      <c r="N50" s="113">
        <f t="shared" si="2"/>
        <v>4.0999999999999996</v>
      </c>
      <c r="O50" s="116" t="s">
        <v>21</v>
      </c>
      <c r="P50" s="116" t="s">
        <v>217</v>
      </c>
      <c r="Q50" s="116" t="s">
        <v>573</v>
      </c>
      <c r="R50" s="116"/>
      <c r="S50" s="110">
        <v>6</v>
      </c>
      <c r="T50" s="110">
        <v>126</v>
      </c>
      <c r="U50" s="113">
        <v>691</v>
      </c>
      <c r="V50" s="113">
        <f t="shared" si="27"/>
        <v>4.5108894600000005</v>
      </c>
      <c r="W50" s="113">
        <f t="shared" si="28"/>
        <v>1.8791</v>
      </c>
      <c r="X50" s="113">
        <f t="shared" si="29"/>
        <v>0.79825448352934913</v>
      </c>
      <c r="Y50" s="113"/>
      <c r="Z50" s="110">
        <v>1</v>
      </c>
      <c r="AA50" s="110" t="s">
        <v>296</v>
      </c>
      <c r="AB50" s="110"/>
      <c r="AC50" s="110"/>
      <c r="AD50" s="110"/>
      <c r="AE50" s="110"/>
      <c r="AF50" s="110"/>
      <c r="AG50" s="113"/>
      <c r="AH50" s="116"/>
      <c r="AI50" s="356">
        <f t="shared" si="30"/>
        <v>0.20025180000000001</v>
      </c>
      <c r="AL50" s="119"/>
    </row>
    <row r="51" spans="1:38" s="117" customFormat="1" ht="36" customHeight="1" x14ac:dyDescent="0.25">
      <c r="A51" s="110">
        <v>48</v>
      </c>
      <c r="B51" s="110" t="s">
        <v>166</v>
      </c>
      <c r="C51" s="110"/>
      <c r="D51" s="113"/>
      <c r="E51" s="110" t="s">
        <v>648</v>
      </c>
      <c r="F51" s="110"/>
      <c r="G51" s="110" t="s">
        <v>232</v>
      </c>
      <c r="H51" s="110"/>
      <c r="I51" s="111" t="s">
        <v>231</v>
      </c>
      <c r="J51" s="110">
        <v>1</v>
      </c>
      <c r="K51" s="112">
        <f t="shared" si="12"/>
        <v>1</v>
      </c>
      <c r="L51" s="110"/>
      <c r="M51" s="113">
        <f>8.64*U51/1000</f>
        <v>14.264640000000002</v>
      </c>
      <c r="N51" s="113">
        <f t="shared" si="2"/>
        <v>14.264640000000002</v>
      </c>
      <c r="O51" s="114" t="s">
        <v>290</v>
      </c>
      <c r="P51" s="116" t="s">
        <v>211</v>
      </c>
      <c r="Q51" s="116" t="s">
        <v>777</v>
      </c>
      <c r="R51" s="116"/>
      <c r="S51" s="312" t="s">
        <v>293</v>
      </c>
      <c r="T51" s="110"/>
      <c r="U51" s="113">
        <v>1651</v>
      </c>
      <c r="V51" s="113">
        <f>8.64*U51/1000*(1+$V$1)*K51</f>
        <v>15.691104000000003</v>
      </c>
      <c r="W51" s="110"/>
      <c r="X51" s="113">
        <v>2</v>
      </c>
      <c r="Y51" s="113"/>
      <c r="Z51" s="113"/>
      <c r="AA51" s="110"/>
      <c r="AB51" s="113"/>
      <c r="AC51" s="113"/>
      <c r="AD51" s="110"/>
      <c r="AE51" s="110"/>
      <c r="AF51" s="113"/>
      <c r="AG51" s="113"/>
      <c r="AH51" s="116"/>
      <c r="AI51" s="113"/>
      <c r="AL51" s="119"/>
    </row>
    <row r="52" spans="1:38" s="117" customFormat="1" ht="36" customHeight="1" x14ac:dyDescent="0.25">
      <c r="A52" s="110">
        <v>49</v>
      </c>
      <c r="B52" s="110" t="s">
        <v>166</v>
      </c>
      <c r="C52" s="110"/>
      <c r="D52" s="110"/>
      <c r="E52" s="110" t="s">
        <v>649</v>
      </c>
      <c r="F52" s="110"/>
      <c r="G52" s="110" t="s">
        <v>234</v>
      </c>
      <c r="H52" s="110"/>
      <c r="I52" s="111" t="s">
        <v>233</v>
      </c>
      <c r="J52" s="110">
        <v>1</v>
      </c>
      <c r="K52" s="112">
        <f t="shared" si="12"/>
        <v>1</v>
      </c>
      <c r="L52" s="110"/>
      <c r="M52" s="113">
        <f>S52*T52*U52*0.00000785</f>
        <v>17.460911999999997</v>
      </c>
      <c r="N52" s="113">
        <f t="shared" ref="N52:N53" si="31">M52*K52</f>
        <v>17.460911999999997</v>
      </c>
      <c r="O52" s="116" t="s">
        <v>21</v>
      </c>
      <c r="P52" s="116" t="s">
        <v>223</v>
      </c>
      <c r="Q52" s="116" t="s">
        <v>777</v>
      </c>
      <c r="R52" s="116"/>
      <c r="S52" s="110">
        <v>6</v>
      </c>
      <c r="T52" s="110">
        <v>80</v>
      </c>
      <c r="U52" s="113">
        <v>4634</v>
      </c>
      <c r="V52" s="113">
        <f t="shared" ref="V52:V58" si="32">S52*T52*U52*0.00000785*(1+$V$1)*K52</f>
        <v>19.207003199999999</v>
      </c>
      <c r="W52" s="113">
        <f t="shared" ref="W52:W58" si="33">((T52+U52)*2*(1+$W$1))/1000</f>
        <v>10.842199999999998</v>
      </c>
      <c r="X52" s="113">
        <f t="shared" ref="X52:X58" si="34">1.5/W52</f>
        <v>0.13834830569441628</v>
      </c>
      <c r="Y52" s="110"/>
      <c r="Z52" s="110"/>
      <c r="AA52" s="110"/>
      <c r="AB52" s="110"/>
      <c r="AC52" s="113"/>
      <c r="AD52" s="110"/>
      <c r="AE52" s="110"/>
      <c r="AF52" s="110"/>
      <c r="AG52" s="113"/>
      <c r="AH52" s="116"/>
      <c r="AI52" s="356">
        <f t="shared" ref="AI52:AI58" si="35">(T52*U52*2)/1000000*(1+$AI$1)*K52</f>
        <v>0.85265599999999997</v>
      </c>
      <c r="AL52" s="119"/>
    </row>
    <row r="53" spans="1:38" s="117" customFormat="1" ht="36" customHeight="1" x14ac:dyDescent="0.25">
      <c r="A53" s="110">
        <v>50</v>
      </c>
      <c r="B53" s="110" t="s">
        <v>166</v>
      </c>
      <c r="C53" s="110"/>
      <c r="D53" s="113"/>
      <c r="E53" s="110" t="s">
        <v>650</v>
      </c>
      <c r="F53" s="110"/>
      <c r="G53" s="110" t="s">
        <v>236</v>
      </c>
      <c r="H53" s="110"/>
      <c r="I53" s="111" t="s">
        <v>235</v>
      </c>
      <c r="J53" s="110">
        <v>1</v>
      </c>
      <c r="K53" s="112">
        <f t="shared" si="12"/>
        <v>1</v>
      </c>
      <c r="L53" s="113"/>
      <c r="M53" s="113">
        <f>S53*T53*U53*0.00000785</f>
        <v>17.27628</v>
      </c>
      <c r="N53" s="113">
        <f t="shared" si="31"/>
        <v>17.27628</v>
      </c>
      <c r="O53" s="116" t="s">
        <v>21</v>
      </c>
      <c r="P53" s="116" t="s">
        <v>223</v>
      </c>
      <c r="Q53" s="116" t="s">
        <v>777</v>
      </c>
      <c r="R53" s="116"/>
      <c r="S53" s="110">
        <v>6</v>
      </c>
      <c r="T53" s="110">
        <v>80</v>
      </c>
      <c r="U53" s="113">
        <v>4585</v>
      </c>
      <c r="V53" s="113">
        <f t="shared" si="32"/>
        <v>19.003908000000003</v>
      </c>
      <c r="W53" s="113">
        <f t="shared" si="33"/>
        <v>10.7295</v>
      </c>
      <c r="X53" s="113">
        <f t="shared" si="34"/>
        <v>0.1398014818957081</v>
      </c>
      <c r="Y53" s="113"/>
      <c r="Z53" s="110"/>
      <c r="AA53" s="110"/>
      <c r="AB53" s="110"/>
      <c r="AC53" s="113"/>
      <c r="AD53" s="110"/>
      <c r="AE53" s="110"/>
      <c r="AF53" s="110"/>
      <c r="AG53" s="113"/>
      <c r="AH53" s="116"/>
      <c r="AI53" s="356">
        <f t="shared" si="35"/>
        <v>0.84363999999999995</v>
      </c>
      <c r="AL53" s="119"/>
    </row>
    <row r="54" spans="1:38" s="117" customFormat="1" ht="36" customHeight="1" x14ac:dyDescent="0.25">
      <c r="A54" s="110">
        <v>51</v>
      </c>
      <c r="B54" s="110" t="s">
        <v>166</v>
      </c>
      <c r="C54" s="110"/>
      <c r="D54" s="110"/>
      <c r="E54" s="110" t="s">
        <v>651</v>
      </c>
      <c r="F54" s="110"/>
      <c r="G54" s="110" t="s">
        <v>238</v>
      </c>
      <c r="H54" s="110"/>
      <c r="I54" s="111" t="s">
        <v>237</v>
      </c>
      <c r="J54" s="110">
        <v>2</v>
      </c>
      <c r="K54" s="112">
        <f t="shared" si="12"/>
        <v>2</v>
      </c>
      <c r="L54" s="110"/>
      <c r="M54" s="113">
        <f>S54*T54*U54*0.00000785</f>
        <v>9.9930499999999992E-2</v>
      </c>
      <c r="N54" s="113">
        <f t="shared" si="2"/>
        <v>0.19986099999999998</v>
      </c>
      <c r="O54" s="116" t="s">
        <v>21</v>
      </c>
      <c r="P54" s="116" t="s">
        <v>223</v>
      </c>
      <c r="Q54" s="116" t="s">
        <v>777</v>
      </c>
      <c r="R54" s="116"/>
      <c r="S54" s="110">
        <v>5</v>
      </c>
      <c r="T54" s="110">
        <v>38</v>
      </c>
      <c r="U54" s="110">
        <v>67</v>
      </c>
      <c r="V54" s="113">
        <f t="shared" si="32"/>
        <v>0.21984709999999999</v>
      </c>
      <c r="W54" s="113">
        <f t="shared" si="33"/>
        <v>0.24149999999999996</v>
      </c>
      <c r="X54" s="113">
        <f t="shared" si="34"/>
        <v>6.2111801242236035</v>
      </c>
      <c r="Y54" s="113"/>
      <c r="Z54" s="110"/>
      <c r="AA54" s="110"/>
      <c r="AB54" s="110"/>
      <c r="AC54" s="113"/>
      <c r="AD54" s="110"/>
      <c r="AE54" s="110"/>
      <c r="AF54" s="110"/>
      <c r="AG54" s="113"/>
      <c r="AH54" s="116"/>
      <c r="AI54" s="356">
        <f t="shared" si="35"/>
        <v>1.1711599999999999E-2</v>
      </c>
      <c r="AL54" s="119"/>
    </row>
    <row r="55" spans="1:38" s="117" customFormat="1" ht="36" customHeight="1" x14ac:dyDescent="0.25">
      <c r="A55" s="110">
        <v>52</v>
      </c>
      <c r="B55" s="110" t="s">
        <v>166</v>
      </c>
      <c r="C55" s="110"/>
      <c r="D55" s="113"/>
      <c r="E55" s="110" t="s">
        <v>652</v>
      </c>
      <c r="F55" s="110"/>
      <c r="G55" s="110" t="s">
        <v>240</v>
      </c>
      <c r="H55" s="110"/>
      <c r="I55" s="111" t="s">
        <v>239</v>
      </c>
      <c r="J55" s="110">
        <v>1</v>
      </c>
      <c r="K55" s="112">
        <f t="shared" si="12"/>
        <v>1</v>
      </c>
      <c r="L55" s="125"/>
      <c r="M55" s="113">
        <v>28.6</v>
      </c>
      <c r="N55" s="113">
        <f t="shared" si="2"/>
        <v>28.6</v>
      </c>
      <c r="O55" s="116" t="s">
        <v>21</v>
      </c>
      <c r="P55" s="116" t="s">
        <v>217</v>
      </c>
      <c r="Q55" s="116" t="s">
        <v>573</v>
      </c>
      <c r="R55" s="116"/>
      <c r="S55" s="110">
        <v>6</v>
      </c>
      <c r="T55" s="126">
        <v>630</v>
      </c>
      <c r="U55" s="110">
        <v>967</v>
      </c>
      <c r="V55" s="113">
        <f t="shared" si="32"/>
        <v>31.563170100000001</v>
      </c>
      <c r="W55" s="113">
        <f t="shared" si="33"/>
        <v>3.6730999999999998</v>
      </c>
      <c r="X55" s="113">
        <f t="shared" si="34"/>
        <v>0.40837439764776351</v>
      </c>
      <c r="Y55" s="113"/>
      <c r="Z55" s="110">
        <v>3</v>
      </c>
      <c r="AA55" s="110" t="s">
        <v>294</v>
      </c>
      <c r="AB55" s="110"/>
      <c r="AC55" s="113"/>
      <c r="AD55" s="110"/>
      <c r="AE55" s="110"/>
      <c r="AF55" s="110"/>
      <c r="AG55" s="113"/>
      <c r="AH55" s="116"/>
      <c r="AI55" s="356">
        <f t="shared" si="35"/>
        <v>1.4011830000000001</v>
      </c>
      <c r="AL55" s="119"/>
    </row>
    <row r="56" spans="1:38" s="117" customFormat="1" ht="36" customHeight="1" x14ac:dyDescent="0.25">
      <c r="A56" s="110">
        <v>53</v>
      </c>
      <c r="B56" s="110" t="s">
        <v>166</v>
      </c>
      <c r="C56" s="110"/>
      <c r="D56" s="110"/>
      <c r="E56" s="110" t="s">
        <v>653</v>
      </c>
      <c r="F56" s="110"/>
      <c r="G56" s="110" t="s">
        <v>242</v>
      </c>
      <c r="H56" s="110"/>
      <c r="I56" s="111" t="s">
        <v>241</v>
      </c>
      <c r="J56" s="110">
        <v>1</v>
      </c>
      <c r="K56" s="112">
        <f t="shared" si="12"/>
        <v>1</v>
      </c>
      <c r="L56" s="110"/>
      <c r="M56" s="113">
        <v>4</v>
      </c>
      <c r="N56" s="113">
        <f t="shared" si="2"/>
        <v>4</v>
      </c>
      <c r="O56" s="116" t="s">
        <v>21</v>
      </c>
      <c r="P56" s="116" t="s">
        <v>217</v>
      </c>
      <c r="Q56" s="116" t="s">
        <v>573</v>
      </c>
      <c r="R56" s="116"/>
      <c r="S56" s="110">
        <v>6</v>
      </c>
      <c r="T56" s="126">
        <v>119</v>
      </c>
      <c r="U56" s="110">
        <v>691</v>
      </c>
      <c r="V56" s="113">
        <f t="shared" si="32"/>
        <v>4.2602844900000001</v>
      </c>
      <c r="W56" s="113">
        <f t="shared" si="33"/>
        <v>1.8629999999999998</v>
      </c>
      <c r="X56" s="113">
        <f t="shared" si="34"/>
        <v>0.80515297906602268</v>
      </c>
      <c r="Y56" s="113"/>
      <c r="Z56" s="110">
        <v>2</v>
      </c>
      <c r="AA56" s="110" t="s">
        <v>294</v>
      </c>
      <c r="AB56" s="110"/>
      <c r="AC56" s="113"/>
      <c r="AD56" s="110"/>
      <c r="AE56" s="110"/>
      <c r="AF56" s="110"/>
      <c r="AG56" s="113"/>
      <c r="AH56" s="116"/>
      <c r="AI56" s="356">
        <f t="shared" si="35"/>
        <v>0.18912669999999998</v>
      </c>
      <c r="AL56" s="119"/>
    </row>
    <row r="57" spans="1:38" s="117" customFormat="1" ht="36" customHeight="1" x14ac:dyDescent="0.25">
      <c r="A57" s="110">
        <v>54</v>
      </c>
      <c r="B57" s="110" t="s">
        <v>166</v>
      </c>
      <c r="C57" s="110"/>
      <c r="D57" s="113"/>
      <c r="E57" s="110" t="s">
        <v>654</v>
      </c>
      <c r="F57" s="110"/>
      <c r="G57" s="110" t="s">
        <v>244</v>
      </c>
      <c r="H57" s="110"/>
      <c r="I57" s="111" t="s">
        <v>243</v>
      </c>
      <c r="J57" s="110">
        <v>1</v>
      </c>
      <c r="K57" s="112">
        <f t="shared" si="12"/>
        <v>1</v>
      </c>
      <c r="L57" s="110"/>
      <c r="M57" s="113">
        <v>23</v>
      </c>
      <c r="N57" s="113">
        <f t="shared" si="2"/>
        <v>23</v>
      </c>
      <c r="O57" s="116" t="s">
        <v>21</v>
      </c>
      <c r="P57" s="116" t="s">
        <v>217</v>
      </c>
      <c r="Q57" s="116" t="s">
        <v>573</v>
      </c>
      <c r="R57" s="116"/>
      <c r="S57" s="110">
        <v>6</v>
      </c>
      <c r="T57" s="126">
        <v>630</v>
      </c>
      <c r="U57" s="110">
        <v>802</v>
      </c>
      <c r="V57" s="113">
        <f t="shared" si="32"/>
        <v>26.177520599999998</v>
      </c>
      <c r="W57" s="113">
        <f t="shared" si="33"/>
        <v>3.2936000000000001</v>
      </c>
      <c r="X57" s="113">
        <f t="shared" si="34"/>
        <v>0.45542871022589265</v>
      </c>
      <c r="Y57" s="113"/>
      <c r="Z57" s="110"/>
      <c r="AA57" s="110"/>
      <c r="AB57" s="110"/>
      <c r="AC57" s="113"/>
      <c r="AD57" s="110"/>
      <c r="AE57" s="110"/>
      <c r="AF57" s="110"/>
      <c r="AG57" s="113"/>
      <c r="AH57" s="116"/>
      <c r="AI57" s="356">
        <f t="shared" si="35"/>
        <v>1.1620980000000001</v>
      </c>
      <c r="AL57" s="119"/>
    </row>
    <row r="58" spans="1:38" s="117" customFormat="1" ht="36" customHeight="1" x14ac:dyDescent="0.25">
      <c r="A58" s="110">
        <v>55</v>
      </c>
      <c r="B58" s="110" t="s">
        <v>166</v>
      </c>
      <c r="C58" s="110"/>
      <c r="D58" s="110"/>
      <c r="E58" s="110" t="s">
        <v>655</v>
      </c>
      <c r="F58" s="110"/>
      <c r="G58" s="110" t="s">
        <v>245</v>
      </c>
      <c r="H58" s="110"/>
      <c r="I58" s="111" t="s">
        <v>216</v>
      </c>
      <c r="J58" s="110">
        <v>1</v>
      </c>
      <c r="K58" s="112">
        <f t="shared" si="12"/>
        <v>1</v>
      </c>
      <c r="L58" s="110"/>
      <c r="M58" s="113">
        <v>9</v>
      </c>
      <c r="N58" s="113">
        <f t="shared" si="2"/>
        <v>9</v>
      </c>
      <c r="O58" s="116" t="s">
        <v>21</v>
      </c>
      <c r="P58" s="116" t="s">
        <v>217</v>
      </c>
      <c r="Q58" s="116" t="s">
        <v>573</v>
      </c>
      <c r="R58" s="116"/>
      <c r="S58" s="110">
        <v>6</v>
      </c>
      <c r="T58" s="126">
        <v>365.13</v>
      </c>
      <c r="U58" s="110">
        <v>526.79999999999995</v>
      </c>
      <c r="V58" s="113">
        <f t="shared" si="32"/>
        <v>9.9656785760399984</v>
      </c>
      <c r="W58" s="113">
        <f t="shared" si="33"/>
        <v>2.0514389999999998</v>
      </c>
      <c r="X58" s="113">
        <f t="shared" si="34"/>
        <v>0.73119405451490405</v>
      </c>
      <c r="Y58" s="113"/>
      <c r="Z58" s="110"/>
      <c r="AA58" s="110"/>
      <c r="AB58" s="110"/>
      <c r="AC58" s="113"/>
      <c r="AD58" s="110"/>
      <c r="AE58" s="110"/>
      <c r="AF58" s="110"/>
      <c r="AG58" s="113"/>
      <c r="AH58" s="116"/>
      <c r="AI58" s="356">
        <f t="shared" si="35"/>
        <v>0.4424061131999999</v>
      </c>
      <c r="AL58" s="119"/>
    </row>
    <row r="59" spans="1:38" s="117" customFormat="1" ht="36" customHeight="1" x14ac:dyDescent="0.25">
      <c r="A59" s="110">
        <v>56</v>
      </c>
      <c r="B59" s="110" t="s">
        <v>166</v>
      </c>
      <c r="C59" s="110"/>
      <c r="D59" s="113"/>
      <c r="E59" s="110" t="s">
        <v>656</v>
      </c>
      <c r="F59" s="110"/>
      <c r="G59" s="110" t="s">
        <v>248</v>
      </c>
      <c r="H59" s="110"/>
      <c r="I59" s="111" t="s">
        <v>246</v>
      </c>
      <c r="J59" s="110">
        <v>1</v>
      </c>
      <c r="K59" s="112">
        <f t="shared" si="12"/>
        <v>1</v>
      </c>
      <c r="L59" s="110"/>
      <c r="M59" s="113"/>
      <c r="N59" s="113">
        <f t="shared" si="2"/>
        <v>0</v>
      </c>
      <c r="O59" s="116" t="s">
        <v>297</v>
      </c>
      <c r="P59" s="116" t="s">
        <v>247</v>
      </c>
      <c r="Q59" s="110"/>
      <c r="R59" s="116"/>
      <c r="S59" s="110"/>
      <c r="T59" s="126"/>
      <c r="U59" s="110"/>
      <c r="V59" s="113"/>
      <c r="W59" s="113"/>
      <c r="X59" s="113"/>
      <c r="Y59" s="113"/>
      <c r="Z59" s="110"/>
      <c r="AA59" s="110"/>
      <c r="AB59" s="110"/>
      <c r="AC59" s="113"/>
      <c r="AD59" s="110"/>
      <c r="AE59" s="110">
        <f>1000*K59</f>
        <v>1000</v>
      </c>
      <c r="AF59" s="110"/>
      <c r="AG59" s="113"/>
      <c r="AH59" s="116"/>
      <c r="AI59" s="113"/>
      <c r="AL59" s="119"/>
    </row>
    <row r="60" spans="1:38" s="117" customFormat="1" ht="36" customHeight="1" x14ac:dyDescent="0.25">
      <c r="A60" s="110">
        <v>57</v>
      </c>
      <c r="B60" s="110" t="s">
        <v>166</v>
      </c>
      <c r="C60" s="110"/>
      <c r="D60" s="110"/>
      <c r="E60" s="110" t="s">
        <v>657</v>
      </c>
      <c r="F60" s="110"/>
      <c r="G60" s="110" t="s">
        <v>250</v>
      </c>
      <c r="H60" s="110"/>
      <c r="I60" s="111" t="s">
        <v>249</v>
      </c>
      <c r="J60" s="110">
        <v>10</v>
      </c>
      <c r="K60" s="112">
        <f t="shared" si="12"/>
        <v>10</v>
      </c>
      <c r="L60" s="110"/>
      <c r="M60" s="113">
        <v>1.8</v>
      </c>
      <c r="N60" s="113">
        <f t="shared" si="2"/>
        <v>18</v>
      </c>
      <c r="O60" s="116" t="s">
        <v>21</v>
      </c>
      <c r="P60" s="116" t="s">
        <v>202</v>
      </c>
      <c r="Q60" s="116" t="s">
        <v>573</v>
      </c>
      <c r="R60" s="116"/>
      <c r="S60" s="110">
        <v>10</v>
      </c>
      <c r="T60" s="126">
        <v>100</v>
      </c>
      <c r="U60" s="110">
        <v>254</v>
      </c>
      <c r="V60" s="113">
        <f t="shared" ref="V60:V63" si="36">S60*T60*U60*0.00000785*(1+$V$1)*K60</f>
        <v>21.932899999999997</v>
      </c>
      <c r="W60" s="113">
        <f t="shared" ref="W60:W63" si="37">((T60+U60)*2*(1+$W$1))/1000</f>
        <v>0.81419999999999992</v>
      </c>
      <c r="X60" s="113">
        <f t="shared" ref="X60:X62" si="38">W60/1.1</f>
        <v>0.74018181818181805</v>
      </c>
      <c r="Y60" s="113"/>
      <c r="Z60" s="110"/>
      <c r="AA60" s="110"/>
      <c r="AB60" s="110"/>
      <c r="AC60" s="113"/>
      <c r="AD60" s="110"/>
      <c r="AE60" s="110"/>
      <c r="AF60" s="110"/>
      <c r="AG60" s="113"/>
      <c r="AH60" s="116"/>
      <c r="AI60" s="356">
        <f t="shared" ref="AI60:AI63" si="39">(T60*U60*2)/1000000*(1+$AI$1)*K60</f>
        <v>0.58419999999999994</v>
      </c>
      <c r="AL60" s="119"/>
    </row>
    <row r="61" spans="1:38" s="117" customFormat="1" ht="36" customHeight="1" x14ac:dyDescent="0.25">
      <c r="A61" s="110">
        <v>58</v>
      </c>
      <c r="B61" s="110" t="s">
        <v>166</v>
      </c>
      <c r="C61" s="110"/>
      <c r="D61" s="110" t="s">
        <v>621</v>
      </c>
      <c r="E61" s="110"/>
      <c r="F61" s="110"/>
      <c r="G61" s="110" t="s">
        <v>517</v>
      </c>
      <c r="H61" s="110"/>
      <c r="I61" s="111" t="s">
        <v>516</v>
      </c>
      <c r="J61" s="110">
        <v>4</v>
      </c>
      <c r="K61" s="112">
        <f>J61*$K$5</f>
        <v>4</v>
      </c>
      <c r="L61" s="110"/>
      <c r="M61" s="113">
        <v>2</v>
      </c>
      <c r="N61" s="113">
        <f t="shared" si="2"/>
        <v>8</v>
      </c>
      <c r="O61" s="116" t="s">
        <v>21</v>
      </c>
      <c r="P61" s="116" t="s">
        <v>202</v>
      </c>
      <c r="Q61" s="116" t="s">
        <v>573</v>
      </c>
      <c r="R61" s="116"/>
      <c r="S61" s="110">
        <v>10</v>
      </c>
      <c r="T61" s="126">
        <v>200</v>
      </c>
      <c r="U61" s="110">
        <v>200</v>
      </c>
      <c r="V61" s="113">
        <f t="shared" si="36"/>
        <v>13.815999999999999</v>
      </c>
      <c r="W61" s="113">
        <f t="shared" si="37"/>
        <v>0.91999999999999993</v>
      </c>
      <c r="X61" s="113">
        <f t="shared" si="38"/>
        <v>0.8363636363636362</v>
      </c>
      <c r="Y61" s="113"/>
      <c r="Z61" s="110"/>
      <c r="AA61" s="110"/>
      <c r="AB61" s="110"/>
      <c r="AC61" s="113"/>
      <c r="AD61" s="110"/>
      <c r="AE61" s="110"/>
      <c r="AF61" s="110"/>
      <c r="AG61" s="113"/>
      <c r="AH61" s="116"/>
      <c r="AI61" s="356">
        <f t="shared" si="39"/>
        <v>0.36799999999999999</v>
      </c>
      <c r="AL61" s="119"/>
    </row>
    <row r="62" spans="1:38" s="117" customFormat="1" ht="36" customHeight="1" x14ac:dyDescent="0.25">
      <c r="A62" s="110">
        <v>59</v>
      </c>
      <c r="B62" s="110" t="s">
        <v>166</v>
      </c>
      <c r="C62" s="110"/>
      <c r="D62" s="110" t="s">
        <v>622</v>
      </c>
      <c r="E62" s="110"/>
      <c r="F62" s="110"/>
      <c r="G62" s="110" t="s">
        <v>519</v>
      </c>
      <c r="H62" s="110"/>
      <c r="I62" s="111" t="s">
        <v>518</v>
      </c>
      <c r="J62" s="110">
        <v>7</v>
      </c>
      <c r="K62" s="112">
        <f t="shared" ref="K62:K70" si="40">J62*$K$5</f>
        <v>7</v>
      </c>
      <c r="L62" s="110"/>
      <c r="M62" s="113">
        <v>5</v>
      </c>
      <c r="N62" s="113">
        <f t="shared" si="2"/>
        <v>35</v>
      </c>
      <c r="O62" s="116" t="s">
        <v>21</v>
      </c>
      <c r="P62" s="116" t="s">
        <v>202</v>
      </c>
      <c r="Q62" s="116" t="s">
        <v>573</v>
      </c>
      <c r="R62" s="116"/>
      <c r="S62" s="110">
        <v>10</v>
      </c>
      <c r="T62" s="126">
        <v>113</v>
      </c>
      <c r="U62" s="110">
        <v>745</v>
      </c>
      <c r="V62" s="113">
        <f t="shared" si="36"/>
        <v>50.885623250000002</v>
      </c>
      <c r="W62" s="113">
        <f t="shared" si="37"/>
        <v>1.9733999999999998</v>
      </c>
      <c r="X62" s="113">
        <f t="shared" si="38"/>
        <v>1.7939999999999996</v>
      </c>
      <c r="Y62" s="113"/>
      <c r="Z62" s="110"/>
      <c r="AA62" s="110"/>
      <c r="AB62" s="110"/>
      <c r="AC62" s="113"/>
      <c r="AD62" s="110"/>
      <c r="AE62" s="110"/>
      <c r="AF62" s="110"/>
      <c r="AG62" s="113"/>
      <c r="AH62" s="116"/>
      <c r="AI62" s="356">
        <f t="shared" si="39"/>
        <v>1.3553784999999998</v>
      </c>
      <c r="AL62" s="119"/>
    </row>
    <row r="63" spans="1:38" s="117" customFormat="1" ht="36" customHeight="1" x14ac:dyDescent="0.25">
      <c r="A63" s="110">
        <v>60</v>
      </c>
      <c r="B63" s="110" t="s">
        <v>166</v>
      </c>
      <c r="C63" s="110"/>
      <c r="D63" s="110" t="s">
        <v>623</v>
      </c>
      <c r="E63" s="110"/>
      <c r="F63" s="110"/>
      <c r="G63" s="110" t="s">
        <v>521</v>
      </c>
      <c r="H63" s="110"/>
      <c r="I63" s="111" t="s">
        <v>520</v>
      </c>
      <c r="J63" s="110">
        <v>2</v>
      </c>
      <c r="K63" s="112">
        <f t="shared" si="40"/>
        <v>2</v>
      </c>
      <c r="L63" s="110"/>
      <c r="M63" s="113">
        <v>17</v>
      </c>
      <c r="N63" s="113">
        <f t="shared" si="2"/>
        <v>34</v>
      </c>
      <c r="O63" s="116" t="s">
        <v>21</v>
      </c>
      <c r="P63" s="116" t="s">
        <v>429</v>
      </c>
      <c r="Q63" s="116" t="s">
        <v>777</v>
      </c>
      <c r="R63" s="116"/>
      <c r="S63" s="110">
        <v>40</v>
      </c>
      <c r="T63" s="126">
        <v>87</v>
      </c>
      <c r="U63" s="110">
        <v>813</v>
      </c>
      <c r="V63" s="113">
        <f t="shared" si="36"/>
        <v>48.860974800000001</v>
      </c>
      <c r="W63" s="113">
        <f t="shared" si="37"/>
        <v>2.0699999999999998</v>
      </c>
      <c r="X63" s="113">
        <f>W63/0.35</f>
        <v>5.9142857142857146</v>
      </c>
      <c r="Y63" s="113"/>
      <c r="Z63" s="110"/>
      <c r="AA63" s="110"/>
      <c r="AB63" s="110"/>
      <c r="AC63" s="113"/>
      <c r="AD63" s="110"/>
      <c r="AE63" s="110"/>
      <c r="AF63" s="110"/>
      <c r="AG63" s="113"/>
      <c r="AH63" s="116"/>
      <c r="AI63" s="356">
        <f t="shared" si="39"/>
        <v>0.3253626</v>
      </c>
      <c r="AL63" s="119"/>
    </row>
    <row r="64" spans="1:38" s="117" customFormat="1" ht="36" customHeight="1" x14ac:dyDescent="0.25">
      <c r="A64" s="110">
        <v>61</v>
      </c>
      <c r="B64" s="110" t="s">
        <v>166</v>
      </c>
      <c r="C64" s="110"/>
      <c r="D64" s="110" t="s">
        <v>624</v>
      </c>
      <c r="E64" s="110"/>
      <c r="F64" s="110"/>
      <c r="G64" s="110" t="s">
        <v>523</v>
      </c>
      <c r="H64" s="110"/>
      <c r="I64" s="111" t="s">
        <v>522</v>
      </c>
      <c r="J64" s="110">
        <v>2</v>
      </c>
      <c r="K64" s="112">
        <f t="shared" si="40"/>
        <v>2</v>
      </c>
      <c r="L64" s="110"/>
      <c r="M64" s="113">
        <v>11</v>
      </c>
      <c r="N64" s="113">
        <f t="shared" si="2"/>
        <v>22</v>
      </c>
      <c r="O64" s="123" t="s">
        <v>252</v>
      </c>
      <c r="P64" s="116" t="s">
        <v>215</v>
      </c>
      <c r="Q64" s="110"/>
      <c r="R64" s="116"/>
      <c r="S64" s="110"/>
      <c r="T64" s="126"/>
      <c r="U64" s="110"/>
      <c r="V64" s="113"/>
      <c r="W64" s="113"/>
      <c r="X64" s="113"/>
      <c r="Y64" s="113"/>
      <c r="Z64" s="110"/>
      <c r="AA64" s="110"/>
      <c r="AB64" s="110"/>
      <c r="AC64" s="113"/>
      <c r="AD64" s="110"/>
      <c r="AE64" s="110"/>
      <c r="AF64" s="110"/>
      <c r="AG64" s="113"/>
      <c r="AH64" s="116"/>
      <c r="AI64" s="113"/>
      <c r="AL64" s="119"/>
    </row>
    <row r="65" spans="1:38" s="117" customFormat="1" ht="36" customHeight="1" x14ac:dyDescent="0.25">
      <c r="A65" s="110">
        <v>62</v>
      </c>
      <c r="B65" s="110" t="s">
        <v>166</v>
      </c>
      <c r="C65" s="110"/>
      <c r="D65" s="110"/>
      <c r="E65" s="110" t="s">
        <v>625</v>
      </c>
      <c r="F65" s="110"/>
      <c r="G65" s="110"/>
      <c r="H65" s="110"/>
      <c r="I65" s="111" t="s">
        <v>528</v>
      </c>
      <c r="J65" s="110">
        <v>1</v>
      </c>
      <c r="K65" s="112">
        <f>J65*$K$64</f>
        <v>2</v>
      </c>
      <c r="L65" s="110"/>
      <c r="M65" s="113">
        <f>21.98*U65/1000</f>
        <v>13.407800000000002</v>
      </c>
      <c r="N65" s="113">
        <f t="shared" si="2"/>
        <v>26.815600000000003</v>
      </c>
      <c r="O65" s="311" t="s">
        <v>329</v>
      </c>
      <c r="P65" s="116" t="s">
        <v>211</v>
      </c>
      <c r="Q65" s="110" t="s">
        <v>540</v>
      </c>
      <c r="R65" s="116"/>
      <c r="S65" s="312" t="s">
        <v>530</v>
      </c>
      <c r="T65" s="126"/>
      <c r="U65" s="110">
        <v>610</v>
      </c>
      <c r="V65" s="113">
        <f>M65*K65*(1+$V$1)</f>
        <v>29.497160000000004</v>
      </c>
      <c r="W65" s="113"/>
      <c r="X65" s="113">
        <v>3</v>
      </c>
      <c r="Y65" s="113"/>
      <c r="Z65" s="110"/>
      <c r="AA65" s="110"/>
      <c r="AB65" s="110"/>
      <c r="AC65" s="113"/>
      <c r="AD65" s="110"/>
      <c r="AE65" s="110"/>
      <c r="AF65" s="110"/>
      <c r="AG65" s="113"/>
      <c r="AH65" s="116"/>
      <c r="AI65" s="113"/>
      <c r="AL65" s="119"/>
    </row>
    <row r="66" spans="1:38" s="117" customFormat="1" ht="36" customHeight="1" x14ac:dyDescent="0.25">
      <c r="A66" s="110">
        <v>63</v>
      </c>
      <c r="B66" s="110" t="s">
        <v>166</v>
      </c>
      <c r="C66" s="110"/>
      <c r="D66" s="110"/>
      <c r="E66" s="110" t="s">
        <v>626</v>
      </c>
      <c r="F66" s="110"/>
      <c r="G66" s="110"/>
      <c r="H66" s="110"/>
      <c r="I66" s="111" t="s">
        <v>529</v>
      </c>
      <c r="J66" s="110">
        <v>2</v>
      </c>
      <c r="K66" s="112">
        <f>J66*$K$64</f>
        <v>4</v>
      </c>
      <c r="L66" s="110"/>
      <c r="M66" s="113">
        <f>S66*T66*U66*0.00000785</f>
        <v>0.27412199999999998</v>
      </c>
      <c r="N66" s="113">
        <f t="shared" si="2"/>
        <v>1.0964879999999999</v>
      </c>
      <c r="O66" s="311" t="s">
        <v>21</v>
      </c>
      <c r="P66" s="116" t="s">
        <v>217</v>
      </c>
      <c r="Q66" s="116" t="s">
        <v>573</v>
      </c>
      <c r="R66" s="116"/>
      <c r="S66" s="110">
        <v>6</v>
      </c>
      <c r="T66" s="126">
        <v>60</v>
      </c>
      <c r="U66" s="110">
        <v>97</v>
      </c>
      <c r="V66" s="113">
        <f t="shared" ref="V66:V67" si="41">S66*T66*U66*0.00000785*(1+$V$1)*K66</f>
        <v>1.2061367999999999</v>
      </c>
      <c r="W66" s="113">
        <f t="shared" ref="W66:W67" si="42">((T66+U66)*2*(1+$W$1))/1000</f>
        <v>0.36109999999999998</v>
      </c>
      <c r="X66" s="113">
        <f>1.5/W66</f>
        <v>4.1539739684297983</v>
      </c>
      <c r="Y66" s="113"/>
      <c r="Z66" s="110"/>
      <c r="AA66" s="110"/>
      <c r="AB66" s="110"/>
      <c r="AC66" s="113"/>
      <c r="AD66" s="110"/>
      <c r="AE66" s="110"/>
      <c r="AF66" s="110"/>
      <c r="AG66" s="113"/>
      <c r="AH66" s="116"/>
      <c r="AI66" s="356">
        <f t="shared" ref="AI66:AI67" si="43">(T66*U66*2)/1000000*(1+$AI$1)*K66</f>
        <v>5.3543999999999994E-2</v>
      </c>
      <c r="AL66" s="119"/>
    </row>
    <row r="67" spans="1:38" s="117" customFormat="1" ht="36" customHeight="1" x14ac:dyDescent="0.25">
      <c r="A67" s="110">
        <v>64</v>
      </c>
      <c r="B67" s="110" t="s">
        <v>166</v>
      </c>
      <c r="C67" s="110"/>
      <c r="D67" s="110" t="s">
        <v>627</v>
      </c>
      <c r="E67" s="110"/>
      <c r="F67" s="110"/>
      <c r="G67" s="110" t="s">
        <v>392</v>
      </c>
      <c r="H67" s="110"/>
      <c r="I67" s="111" t="s">
        <v>524</v>
      </c>
      <c r="J67" s="110">
        <v>2</v>
      </c>
      <c r="K67" s="112">
        <f t="shared" si="40"/>
        <v>2</v>
      </c>
      <c r="L67" s="110"/>
      <c r="M67" s="113">
        <f>S67*T67*U67*0.00000785</f>
        <v>4.0034999999999998</v>
      </c>
      <c r="N67" s="113">
        <f t="shared" si="2"/>
        <v>8.0069999999999997</v>
      </c>
      <c r="O67" s="311" t="s">
        <v>21</v>
      </c>
      <c r="P67" s="116" t="s">
        <v>429</v>
      </c>
      <c r="Q67" s="116" t="s">
        <v>777</v>
      </c>
      <c r="R67" s="116"/>
      <c r="S67" s="110">
        <v>25</v>
      </c>
      <c r="T67" s="126">
        <v>51</v>
      </c>
      <c r="U67" s="110">
        <v>400</v>
      </c>
      <c r="V67" s="113">
        <f t="shared" si="41"/>
        <v>8.8077000000000005</v>
      </c>
      <c r="W67" s="113">
        <f t="shared" si="42"/>
        <v>1.0372999999999999</v>
      </c>
      <c r="X67" s="113">
        <f>W67/1.3</f>
        <v>0.79792307692307685</v>
      </c>
      <c r="Y67" s="113"/>
      <c r="Z67" s="110"/>
      <c r="AA67" s="110"/>
      <c r="AB67" s="110"/>
      <c r="AC67" s="113"/>
      <c r="AD67" s="110"/>
      <c r="AE67" s="110"/>
      <c r="AF67" s="110"/>
      <c r="AG67" s="113"/>
      <c r="AH67" s="116"/>
      <c r="AI67" s="356">
        <f t="shared" si="43"/>
        <v>9.3839999999999993E-2</v>
      </c>
      <c r="AL67" s="119"/>
    </row>
    <row r="68" spans="1:38" s="117" customFormat="1" ht="36" customHeight="1" x14ac:dyDescent="0.25">
      <c r="A68" s="110">
        <v>65</v>
      </c>
      <c r="B68" s="110" t="s">
        <v>166</v>
      </c>
      <c r="C68" s="110"/>
      <c r="D68" s="110" t="s">
        <v>628</v>
      </c>
      <c r="E68" s="110"/>
      <c r="F68" s="110"/>
      <c r="G68" s="110" t="s">
        <v>392</v>
      </c>
      <c r="H68" s="110"/>
      <c r="I68" s="339" t="s">
        <v>531</v>
      </c>
      <c r="J68" s="110">
        <v>2</v>
      </c>
      <c r="K68" s="112">
        <f t="shared" si="40"/>
        <v>2</v>
      </c>
      <c r="L68" s="110"/>
      <c r="M68" s="113">
        <f>22.33*U68/1000</f>
        <v>14.023239999999999</v>
      </c>
      <c r="N68" s="113">
        <f t="shared" si="2"/>
        <v>28.046479999999999</v>
      </c>
      <c r="O68" s="311" t="s">
        <v>286</v>
      </c>
      <c r="P68" s="116" t="s">
        <v>271</v>
      </c>
      <c r="Q68" s="116" t="s">
        <v>271</v>
      </c>
      <c r="R68" s="116"/>
      <c r="S68" s="110" t="s">
        <v>532</v>
      </c>
      <c r="T68" s="126"/>
      <c r="U68" s="110">
        <v>628</v>
      </c>
      <c r="V68" s="113">
        <f>M68*K68*(1+$V$1)</f>
        <v>30.851128000000003</v>
      </c>
      <c r="W68" s="113"/>
      <c r="X68" s="113">
        <v>3</v>
      </c>
      <c r="Y68" s="113"/>
      <c r="Z68" s="110"/>
      <c r="AA68" s="110"/>
      <c r="AB68" s="110"/>
      <c r="AC68" s="113"/>
      <c r="AD68" s="110"/>
      <c r="AE68" s="110"/>
      <c r="AF68" s="110"/>
      <c r="AG68" s="113"/>
      <c r="AH68" s="116"/>
      <c r="AI68" s="113"/>
      <c r="AL68" s="119"/>
    </row>
    <row r="69" spans="1:38" s="117" customFormat="1" ht="36" customHeight="1" x14ac:dyDescent="0.25">
      <c r="A69" s="110">
        <v>66</v>
      </c>
      <c r="B69" s="110" t="s">
        <v>166</v>
      </c>
      <c r="C69" s="110"/>
      <c r="D69" s="110" t="s">
        <v>629</v>
      </c>
      <c r="E69" s="110"/>
      <c r="F69" s="110"/>
      <c r="G69" s="110" t="s">
        <v>392</v>
      </c>
      <c r="H69" s="110"/>
      <c r="I69" s="111" t="s">
        <v>525</v>
      </c>
      <c r="J69" s="110">
        <v>2</v>
      </c>
      <c r="K69" s="112">
        <f t="shared" si="40"/>
        <v>2</v>
      </c>
      <c r="L69" s="110"/>
      <c r="M69" s="113"/>
      <c r="N69" s="113">
        <f t="shared" si="2"/>
        <v>0</v>
      </c>
      <c r="O69" s="114" t="s">
        <v>287</v>
      </c>
      <c r="P69" s="116" t="s">
        <v>262</v>
      </c>
      <c r="Q69" s="110"/>
      <c r="R69" s="116"/>
      <c r="S69" s="110"/>
      <c r="T69" s="126"/>
      <c r="U69" s="110"/>
      <c r="V69" s="113"/>
      <c r="W69" s="113"/>
      <c r="X69" s="113"/>
      <c r="Y69" s="113"/>
      <c r="Z69" s="110"/>
      <c r="AA69" s="110"/>
      <c r="AB69" s="110"/>
      <c r="AC69" s="113"/>
      <c r="AD69" s="110"/>
      <c r="AE69" s="110">
        <f>500*K69</f>
        <v>1000</v>
      </c>
      <c r="AF69" s="110"/>
      <c r="AG69" s="113"/>
      <c r="AH69" s="116"/>
      <c r="AI69" s="113"/>
      <c r="AL69" s="119"/>
    </row>
    <row r="70" spans="1:38" s="117" customFormat="1" ht="36" customHeight="1" x14ac:dyDescent="0.25">
      <c r="A70" s="110">
        <v>67</v>
      </c>
      <c r="B70" s="110" t="s">
        <v>166</v>
      </c>
      <c r="C70" s="110"/>
      <c r="D70" s="110" t="s">
        <v>630</v>
      </c>
      <c r="E70" s="110"/>
      <c r="F70" s="110"/>
      <c r="G70" s="110" t="s">
        <v>526</v>
      </c>
      <c r="H70" s="110"/>
      <c r="I70" s="111" t="s">
        <v>520</v>
      </c>
      <c r="J70" s="110">
        <v>2</v>
      </c>
      <c r="K70" s="112">
        <f t="shared" si="40"/>
        <v>2</v>
      </c>
      <c r="L70" s="110"/>
      <c r="M70" s="113">
        <v>16</v>
      </c>
      <c r="N70" s="113">
        <f t="shared" si="2"/>
        <v>32</v>
      </c>
      <c r="O70" s="311" t="s">
        <v>21</v>
      </c>
      <c r="P70" s="116" t="s">
        <v>429</v>
      </c>
      <c r="Q70" s="116" t="s">
        <v>777</v>
      </c>
      <c r="R70" s="116"/>
      <c r="S70" s="110">
        <v>40</v>
      </c>
      <c r="T70" s="126">
        <v>112</v>
      </c>
      <c r="U70" s="110">
        <v>813</v>
      </c>
      <c r="V70" s="113">
        <f>S70*T70*U70*0.00000785*(1+$V$1)*K70</f>
        <v>62.901484799999999</v>
      </c>
      <c r="W70" s="113">
        <f>((T70+U70)*2*(1+$W$1))/1000</f>
        <v>2.1274999999999999</v>
      </c>
      <c r="X70" s="113">
        <f>W70/0.35</f>
        <v>6.0785714285714292</v>
      </c>
      <c r="Y70" s="113"/>
      <c r="Z70" s="110"/>
      <c r="AA70" s="110"/>
      <c r="AB70" s="110"/>
      <c r="AC70" s="113"/>
      <c r="AD70" s="110"/>
      <c r="AE70" s="110"/>
      <c r="AF70" s="110"/>
      <c r="AG70" s="113"/>
      <c r="AH70" s="116"/>
      <c r="AI70" s="356">
        <f>(T70*U70*2)/1000000*(1+$AI$1)*K70</f>
        <v>0.41885759999999994</v>
      </c>
      <c r="AL70" s="119"/>
    </row>
    <row r="71" spans="1:38" s="117" customFormat="1" ht="36" customHeight="1" x14ac:dyDescent="0.25">
      <c r="A71" s="110">
        <v>68</v>
      </c>
      <c r="B71" s="110" t="s">
        <v>166</v>
      </c>
      <c r="C71" s="110" t="s">
        <v>598</v>
      </c>
      <c r="D71" s="110"/>
      <c r="E71" s="110"/>
      <c r="F71" s="110"/>
      <c r="G71" s="110" t="s">
        <v>483</v>
      </c>
      <c r="H71" s="110"/>
      <c r="I71" s="111" t="s">
        <v>482</v>
      </c>
      <c r="J71" s="110">
        <v>1</v>
      </c>
      <c r="K71" s="112">
        <f>J71*$K$4</f>
        <v>1</v>
      </c>
      <c r="L71" s="110"/>
      <c r="M71" s="113">
        <v>20.45</v>
      </c>
      <c r="N71" s="113">
        <f t="shared" si="2"/>
        <v>20.45</v>
      </c>
      <c r="O71" s="123" t="s">
        <v>252</v>
      </c>
      <c r="P71" s="116" t="s">
        <v>215</v>
      </c>
      <c r="Q71" s="110"/>
      <c r="R71" s="116"/>
      <c r="S71" s="110"/>
      <c r="T71" s="126"/>
      <c r="U71" s="110"/>
      <c r="V71" s="113"/>
      <c r="W71" s="113"/>
      <c r="X71" s="113"/>
      <c r="Y71" s="113"/>
      <c r="Z71" s="110"/>
      <c r="AA71" s="110"/>
      <c r="AB71" s="110"/>
      <c r="AC71" s="113"/>
      <c r="AD71" s="110"/>
      <c r="AE71" s="110"/>
      <c r="AF71" s="110"/>
      <c r="AG71" s="113"/>
      <c r="AH71" s="116"/>
      <c r="AI71" s="113"/>
      <c r="AL71" s="119"/>
    </row>
    <row r="72" spans="1:38" s="117" customFormat="1" ht="36" customHeight="1" x14ac:dyDescent="0.25">
      <c r="A72" s="110">
        <v>69</v>
      </c>
      <c r="B72" s="110" t="s">
        <v>166</v>
      </c>
      <c r="C72" s="110"/>
      <c r="D72" s="110" t="s">
        <v>617</v>
      </c>
      <c r="E72" s="110"/>
      <c r="F72" s="110"/>
      <c r="G72" s="110"/>
      <c r="H72" s="110"/>
      <c r="I72" s="111" t="s">
        <v>497</v>
      </c>
      <c r="J72" s="110">
        <v>4</v>
      </c>
      <c r="K72" s="112">
        <f>J72*$K$71</f>
        <v>4</v>
      </c>
      <c r="L72" s="110"/>
      <c r="M72" s="113">
        <f>7.07*U72/1000</f>
        <v>1.30088</v>
      </c>
      <c r="N72" s="113">
        <f t="shared" si="2"/>
        <v>5.2035200000000001</v>
      </c>
      <c r="O72" s="311" t="s">
        <v>329</v>
      </c>
      <c r="P72" s="116" t="s">
        <v>305</v>
      </c>
      <c r="Q72" s="110" t="s">
        <v>540</v>
      </c>
      <c r="R72" s="116"/>
      <c r="S72" s="110" t="s">
        <v>500</v>
      </c>
      <c r="T72" s="126"/>
      <c r="U72" s="110">
        <v>184</v>
      </c>
      <c r="V72" s="113">
        <f>M72*K72*(1+$V$1)</f>
        <v>5.723872000000001</v>
      </c>
      <c r="W72" s="113"/>
      <c r="X72" s="113">
        <v>2</v>
      </c>
      <c r="Y72" s="113"/>
      <c r="Z72" s="110"/>
      <c r="AA72" s="110"/>
      <c r="AB72" s="110"/>
      <c r="AC72" s="113"/>
      <c r="AD72" s="110"/>
      <c r="AE72" s="110"/>
      <c r="AF72" s="110"/>
      <c r="AG72" s="113" t="s">
        <v>541</v>
      </c>
      <c r="AH72" s="116"/>
      <c r="AI72" s="113"/>
      <c r="AL72" s="119"/>
    </row>
    <row r="73" spans="1:38" s="117" customFormat="1" ht="36" customHeight="1" x14ac:dyDescent="0.25">
      <c r="A73" s="110">
        <v>70</v>
      </c>
      <c r="B73" s="110" t="s">
        <v>166</v>
      </c>
      <c r="C73" s="110"/>
      <c r="D73" s="110" t="s">
        <v>618</v>
      </c>
      <c r="E73" s="110"/>
      <c r="F73" s="110"/>
      <c r="G73" s="110"/>
      <c r="H73" s="110"/>
      <c r="I73" s="111" t="s">
        <v>498</v>
      </c>
      <c r="J73" s="110">
        <v>2</v>
      </c>
      <c r="K73" s="112">
        <f t="shared" ref="K73:K74" si="44">J73*$K$71</f>
        <v>2</v>
      </c>
      <c r="L73" s="110"/>
      <c r="M73" s="113">
        <f t="shared" ref="M73:M74" si="45">7.07*U73/1000</f>
        <v>3.9450599999999998</v>
      </c>
      <c r="N73" s="113">
        <f t="shared" si="2"/>
        <v>7.8901199999999996</v>
      </c>
      <c r="O73" s="311" t="s">
        <v>329</v>
      </c>
      <c r="P73" s="116" t="s">
        <v>305</v>
      </c>
      <c r="Q73" s="110" t="s">
        <v>540</v>
      </c>
      <c r="R73" s="116"/>
      <c r="S73" s="110" t="s">
        <v>500</v>
      </c>
      <c r="T73" s="126"/>
      <c r="U73" s="110">
        <v>558</v>
      </c>
      <c r="V73" s="113">
        <f t="shared" ref="V73:V74" si="46">M73*K73*(1+$V$1)</f>
        <v>8.679132000000001</v>
      </c>
      <c r="W73" s="113"/>
      <c r="X73" s="113">
        <v>2</v>
      </c>
      <c r="Y73" s="113"/>
      <c r="Z73" s="110"/>
      <c r="AA73" s="110"/>
      <c r="AB73" s="110">
        <v>2</v>
      </c>
      <c r="AC73" s="303">
        <f t="shared" ref="AC73:AC74" si="47">AB73*($AC$1/60)*K73</f>
        <v>36.666666666666664</v>
      </c>
      <c r="AD73" s="110"/>
      <c r="AE73" s="110"/>
      <c r="AF73" s="110"/>
      <c r="AG73" s="113" t="s">
        <v>541</v>
      </c>
      <c r="AH73" s="116"/>
      <c r="AI73" s="113"/>
      <c r="AL73" s="119"/>
    </row>
    <row r="74" spans="1:38" s="117" customFormat="1" ht="36" customHeight="1" x14ac:dyDescent="0.25">
      <c r="A74" s="110">
        <v>71</v>
      </c>
      <c r="B74" s="110" t="s">
        <v>166</v>
      </c>
      <c r="C74" s="110"/>
      <c r="D74" s="110" t="s">
        <v>619</v>
      </c>
      <c r="E74" s="110"/>
      <c r="F74" s="110"/>
      <c r="G74" s="110"/>
      <c r="H74" s="110"/>
      <c r="I74" s="111" t="s">
        <v>499</v>
      </c>
      <c r="J74" s="110">
        <v>2</v>
      </c>
      <c r="K74" s="112">
        <f t="shared" si="44"/>
        <v>2</v>
      </c>
      <c r="L74" s="110"/>
      <c r="M74" s="113">
        <f t="shared" si="45"/>
        <v>3.6764000000000001</v>
      </c>
      <c r="N74" s="113">
        <f t="shared" si="2"/>
        <v>7.3528000000000002</v>
      </c>
      <c r="O74" s="311" t="s">
        <v>329</v>
      </c>
      <c r="P74" s="116" t="s">
        <v>305</v>
      </c>
      <c r="Q74" s="110" t="s">
        <v>540</v>
      </c>
      <c r="R74" s="116"/>
      <c r="S74" s="110" t="s">
        <v>500</v>
      </c>
      <c r="T74" s="126"/>
      <c r="U74" s="110">
        <v>520</v>
      </c>
      <c r="V74" s="113">
        <f t="shared" si="46"/>
        <v>8.0880800000000015</v>
      </c>
      <c r="W74" s="113"/>
      <c r="X74" s="113">
        <v>2</v>
      </c>
      <c r="Y74" s="113"/>
      <c r="Z74" s="110"/>
      <c r="AA74" s="110"/>
      <c r="AB74" s="110">
        <v>2</v>
      </c>
      <c r="AC74" s="303">
        <f t="shared" si="47"/>
        <v>36.666666666666664</v>
      </c>
      <c r="AD74" s="110"/>
      <c r="AE74" s="110"/>
      <c r="AF74" s="110"/>
      <c r="AG74" s="113" t="s">
        <v>541</v>
      </c>
      <c r="AH74" s="116"/>
      <c r="AI74" s="113"/>
      <c r="AL74" s="119"/>
    </row>
    <row r="75" spans="1:38" s="117" customFormat="1" ht="36" customHeight="1" x14ac:dyDescent="0.25">
      <c r="A75" s="110">
        <v>72</v>
      </c>
      <c r="B75" s="110" t="s">
        <v>166</v>
      </c>
      <c r="C75" s="110" t="s">
        <v>599</v>
      </c>
      <c r="D75" s="110"/>
      <c r="E75" s="110"/>
      <c r="F75" s="110"/>
      <c r="G75" s="110" t="s">
        <v>485</v>
      </c>
      <c r="H75" s="110"/>
      <c r="I75" s="111" t="s">
        <v>484</v>
      </c>
      <c r="J75" s="110">
        <v>2</v>
      </c>
      <c r="K75" s="112">
        <f>J75*$K$4</f>
        <v>2</v>
      </c>
      <c r="L75" s="110"/>
      <c r="M75" s="113">
        <v>6.7</v>
      </c>
      <c r="N75" s="113">
        <f t="shared" si="2"/>
        <v>13.4</v>
      </c>
      <c r="O75" s="311" t="s">
        <v>21</v>
      </c>
      <c r="P75" s="116" t="s">
        <v>202</v>
      </c>
      <c r="Q75" s="116" t="s">
        <v>573</v>
      </c>
      <c r="R75" s="116"/>
      <c r="S75" s="110">
        <v>10</v>
      </c>
      <c r="T75" s="126">
        <v>121</v>
      </c>
      <c r="U75" s="110">
        <v>708</v>
      </c>
      <c r="V75" s="113">
        <f>S75*T75*U75*0.00000785*(1+$V$1)*K75</f>
        <v>14.794863600000001</v>
      </c>
      <c r="W75" s="113">
        <f>((T75+U75)*2*(1+$W$1))/1000</f>
        <v>1.9066999999999998</v>
      </c>
      <c r="X75" s="113">
        <f>W75/1.1</f>
        <v>1.733363636363636</v>
      </c>
      <c r="Y75" s="113"/>
      <c r="Z75" s="110"/>
      <c r="AA75" s="110"/>
      <c r="AB75" s="110"/>
      <c r="AC75" s="113"/>
      <c r="AD75" s="110"/>
      <c r="AE75" s="110"/>
      <c r="AF75" s="110"/>
      <c r="AG75" s="113"/>
      <c r="AH75" s="116"/>
      <c r="AI75" s="356">
        <f>(T75*U75*2)/1000000*(1+$AI$1)*K75</f>
        <v>0.39407279999999995</v>
      </c>
      <c r="AL75" s="119"/>
    </row>
    <row r="76" spans="1:38" s="117" customFormat="1" ht="36" customHeight="1" x14ac:dyDescent="0.25">
      <c r="A76" s="110">
        <v>73</v>
      </c>
      <c r="B76" s="110" t="s">
        <v>166</v>
      </c>
      <c r="C76" s="110" t="s">
        <v>600</v>
      </c>
      <c r="D76" s="110"/>
      <c r="E76" s="110"/>
      <c r="F76" s="110"/>
      <c r="G76" s="110" t="s">
        <v>487</v>
      </c>
      <c r="H76" s="110"/>
      <c r="I76" s="111" t="s">
        <v>486</v>
      </c>
      <c r="J76" s="110">
        <v>1</v>
      </c>
      <c r="K76" s="112">
        <f>J76*$K$4</f>
        <v>1</v>
      </c>
      <c r="L76" s="110"/>
      <c r="M76" s="113">
        <v>10</v>
      </c>
      <c r="N76" s="113">
        <f t="shared" si="2"/>
        <v>10</v>
      </c>
      <c r="O76" s="123" t="s">
        <v>252</v>
      </c>
      <c r="P76" s="116" t="s">
        <v>215</v>
      </c>
      <c r="Q76" s="110"/>
      <c r="R76" s="116"/>
      <c r="S76" s="110"/>
      <c r="T76" s="126"/>
      <c r="U76" s="110"/>
      <c r="V76" s="113"/>
      <c r="W76" s="113"/>
      <c r="X76" s="113"/>
      <c r="Y76" s="113"/>
      <c r="Z76" s="110"/>
      <c r="AA76" s="110"/>
      <c r="AB76" s="110"/>
      <c r="AC76" s="113"/>
      <c r="AD76" s="110"/>
      <c r="AE76" s="110"/>
      <c r="AF76" s="110"/>
      <c r="AG76" s="113"/>
      <c r="AH76" s="116"/>
      <c r="AI76" s="113"/>
      <c r="AL76" s="119"/>
    </row>
    <row r="77" spans="1:38" s="117" customFormat="1" ht="36" customHeight="1" x14ac:dyDescent="0.25">
      <c r="A77" s="110">
        <v>74</v>
      </c>
      <c r="B77" s="110" t="s">
        <v>166</v>
      </c>
      <c r="C77" s="110"/>
      <c r="D77" s="110" t="s">
        <v>615</v>
      </c>
      <c r="E77" s="110"/>
      <c r="F77" s="110"/>
      <c r="G77" s="110"/>
      <c r="H77" s="110"/>
      <c r="I77" s="111" t="s">
        <v>501</v>
      </c>
      <c r="J77" s="110">
        <v>1</v>
      </c>
      <c r="K77" s="112">
        <f>J77*$K$76</f>
        <v>1</v>
      </c>
      <c r="L77" s="110"/>
      <c r="M77" s="113">
        <f>S77*T77*U77*0.00000785</f>
        <v>0.41523359999999998</v>
      </c>
      <c r="N77" s="113">
        <f t="shared" si="2"/>
        <v>0.41523359999999998</v>
      </c>
      <c r="O77" s="311" t="s">
        <v>21</v>
      </c>
      <c r="P77" s="116" t="s">
        <v>217</v>
      </c>
      <c r="Q77" s="116" t="s">
        <v>573</v>
      </c>
      <c r="R77" s="116"/>
      <c r="S77" s="110">
        <v>6</v>
      </c>
      <c r="T77" s="126">
        <v>76</v>
      </c>
      <c r="U77" s="110">
        <v>116</v>
      </c>
      <c r="V77" s="113">
        <f>S77*T77*U77*0.00000785*(1+$V$1)*K77</f>
        <v>0.45675695999999999</v>
      </c>
      <c r="W77" s="113">
        <f>((T77+U77)*2*(1+$W$1))/1000</f>
        <v>0.44159999999999999</v>
      </c>
      <c r="X77" s="113">
        <f>1.5/W77</f>
        <v>3.3967391304347827</v>
      </c>
      <c r="Y77" s="113"/>
      <c r="Z77" s="110"/>
      <c r="AA77" s="110"/>
      <c r="AB77" s="110"/>
      <c r="AC77" s="113"/>
      <c r="AD77" s="110"/>
      <c r="AE77" s="110"/>
      <c r="AF77" s="110"/>
      <c r="AG77" s="113"/>
      <c r="AH77" s="116"/>
      <c r="AI77" s="356">
        <f>(T77*U77*2)/1000000*(1+$AI$1)*K77</f>
        <v>2.0276799999999998E-2</v>
      </c>
      <c r="AL77" s="119"/>
    </row>
    <row r="78" spans="1:38" s="117" customFormat="1" ht="36" customHeight="1" x14ac:dyDescent="0.25">
      <c r="A78" s="110">
        <v>75</v>
      </c>
      <c r="B78" s="110" t="s">
        <v>166</v>
      </c>
      <c r="C78" s="110"/>
      <c r="D78" s="110" t="s">
        <v>616</v>
      </c>
      <c r="E78" s="110"/>
      <c r="F78" s="110"/>
      <c r="G78" s="110"/>
      <c r="H78" s="110"/>
      <c r="I78" s="111" t="s">
        <v>502</v>
      </c>
      <c r="J78" s="110">
        <v>1</v>
      </c>
      <c r="K78" s="112">
        <f>J78*$K$76</f>
        <v>1</v>
      </c>
      <c r="L78" s="110"/>
      <c r="M78" s="113">
        <f>13.35*U78/1000</f>
        <v>11.5344</v>
      </c>
      <c r="N78" s="113">
        <f t="shared" si="2"/>
        <v>11.5344</v>
      </c>
      <c r="O78" s="311" t="s">
        <v>394</v>
      </c>
      <c r="P78" s="116" t="s">
        <v>425</v>
      </c>
      <c r="Q78" s="110" t="s">
        <v>540</v>
      </c>
      <c r="R78" s="116"/>
      <c r="S78" s="312" t="s">
        <v>503</v>
      </c>
      <c r="T78" s="126"/>
      <c r="U78" s="110">
        <v>864</v>
      </c>
      <c r="V78" s="113">
        <f>M78*K78*(1+$V$1)</f>
        <v>12.687840000000001</v>
      </c>
      <c r="W78" s="113"/>
      <c r="X78" s="113">
        <v>3</v>
      </c>
      <c r="Y78" s="113"/>
      <c r="Z78" s="110"/>
      <c r="AA78" s="110"/>
      <c r="AB78" s="110">
        <v>10</v>
      </c>
      <c r="AC78" s="303">
        <f>AB78*($AC$1/60)*K78</f>
        <v>91.666666666666657</v>
      </c>
      <c r="AD78" s="110"/>
      <c r="AE78" s="110"/>
      <c r="AF78" s="110"/>
      <c r="AG78" s="113"/>
      <c r="AH78" s="116"/>
      <c r="AI78" s="113"/>
      <c r="AL78" s="119"/>
    </row>
    <row r="79" spans="1:38" s="117" customFormat="1" ht="36" customHeight="1" x14ac:dyDescent="0.25">
      <c r="A79" s="110">
        <v>76</v>
      </c>
      <c r="B79" s="110" t="s">
        <v>166</v>
      </c>
      <c r="C79" s="110" t="s">
        <v>601</v>
      </c>
      <c r="D79" s="110"/>
      <c r="E79" s="110"/>
      <c r="F79" s="110"/>
      <c r="G79" s="110" t="s">
        <v>489</v>
      </c>
      <c r="H79" s="110"/>
      <c r="I79" s="111" t="s">
        <v>488</v>
      </c>
      <c r="J79" s="110">
        <v>1</v>
      </c>
      <c r="K79" s="112">
        <f>J79*$K$4</f>
        <v>1</v>
      </c>
      <c r="L79" s="110"/>
      <c r="M79" s="113">
        <v>10</v>
      </c>
      <c r="N79" s="113">
        <f t="shared" si="2"/>
        <v>10</v>
      </c>
      <c r="O79" s="123" t="s">
        <v>252</v>
      </c>
      <c r="P79" s="116" t="s">
        <v>215</v>
      </c>
      <c r="Q79" s="110"/>
      <c r="R79" s="116"/>
      <c r="S79" s="110"/>
      <c r="T79" s="126"/>
      <c r="U79" s="110"/>
      <c r="V79" s="113"/>
      <c r="W79" s="113"/>
      <c r="X79" s="113"/>
      <c r="Y79" s="113"/>
      <c r="Z79" s="110"/>
      <c r="AA79" s="110"/>
      <c r="AB79" s="110"/>
      <c r="AC79" s="113"/>
      <c r="AD79" s="110"/>
      <c r="AE79" s="110"/>
      <c r="AF79" s="110"/>
      <c r="AG79" s="113"/>
      <c r="AH79" s="116"/>
      <c r="AI79" s="113"/>
      <c r="AL79" s="119"/>
    </row>
    <row r="80" spans="1:38" s="117" customFormat="1" ht="36" customHeight="1" x14ac:dyDescent="0.25">
      <c r="A80" s="110">
        <v>77</v>
      </c>
      <c r="B80" s="110" t="s">
        <v>166</v>
      </c>
      <c r="C80" s="110"/>
      <c r="D80" s="110" t="s">
        <v>613</v>
      </c>
      <c r="E80" s="110"/>
      <c r="F80" s="110"/>
      <c r="G80" s="110"/>
      <c r="H80" s="110"/>
      <c r="I80" s="111" t="s">
        <v>501</v>
      </c>
      <c r="J80" s="110">
        <v>1</v>
      </c>
      <c r="K80" s="112">
        <f>J80*$K$79</f>
        <v>1</v>
      </c>
      <c r="L80" s="110"/>
      <c r="M80" s="113">
        <f>S80*T80*U80*0.00000785</f>
        <v>0.41523359999999998</v>
      </c>
      <c r="N80" s="113">
        <f t="shared" ref="N80:N81" si="48">M80*K80</f>
        <v>0.41523359999999998</v>
      </c>
      <c r="O80" s="311" t="s">
        <v>21</v>
      </c>
      <c r="P80" s="116" t="s">
        <v>217</v>
      </c>
      <c r="Q80" s="116" t="s">
        <v>573</v>
      </c>
      <c r="R80" s="116"/>
      <c r="S80" s="110">
        <v>6</v>
      </c>
      <c r="T80" s="126">
        <v>76</v>
      </c>
      <c r="U80" s="110">
        <v>116</v>
      </c>
      <c r="V80" s="113">
        <f>S80*T80*U80*0.00000785*(1+$V$1)*K80</f>
        <v>0.45675695999999999</v>
      </c>
      <c r="W80" s="113">
        <f>((T80+U80)*2*(1+$W$1))/1000</f>
        <v>0.44159999999999999</v>
      </c>
      <c r="X80" s="113">
        <f>1.5/W80</f>
        <v>3.3967391304347827</v>
      </c>
      <c r="Y80" s="113"/>
      <c r="Z80" s="110"/>
      <c r="AA80" s="110"/>
      <c r="AB80" s="110"/>
      <c r="AC80" s="113"/>
      <c r="AD80" s="110"/>
      <c r="AE80" s="110"/>
      <c r="AF80" s="110"/>
      <c r="AG80" s="113"/>
      <c r="AH80" s="116"/>
      <c r="AI80" s="356">
        <f>(T80*U80*2)/1000000*(1+$AI$1)*K80</f>
        <v>2.0276799999999998E-2</v>
      </c>
      <c r="AL80" s="119"/>
    </row>
    <row r="81" spans="1:38" s="117" customFormat="1" ht="36" customHeight="1" x14ac:dyDescent="0.25">
      <c r="A81" s="110">
        <v>78</v>
      </c>
      <c r="B81" s="110" t="s">
        <v>166</v>
      </c>
      <c r="C81" s="110"/>
      <c r="D81" s="110" t="s">
        <v>614</v>
      </c>
      <c r="E81" s="110"/>
      <c r="F81" s="110"/>
      <c r="G81" s="110"/>
      <c r="H81" s="110"/>
      <c r="I81" s="111" t="s">
        <v>502</v>
      </c>
      <c r="J81" s="110">
        <v>1</v>
      </c>
      <c r="K81" s="112">
        <f>J81*$K$79</f>
        <v>1</v>
      </c>
      <c r="L81" s="110"/>
      <c r="M81" s="113">
        <f>13.35*U81/1000</f>
        <v>11.5344</v>
      </c>
      <c r="N81" s="113">
        <f t="shared" si="48"/>
        <v>11.5344</v>
      </c>
      <c r="O81" s="311" t="s">
        <v>394</v>
      </c>
      <c r="P81" s="116" t="s">
        <v>425</v>
      </c>
      <c r="Q81" s="110" t="s">
        <v>540</v>
      </c>
      <c r="R81" s="116"/>
      <c r="S81" s="312" t="s">
        <v>503</v>
      </c>
      <c r="T81" s="126"/>
      <c r="U81" s="110">
        <v>864</v>
      </c>
      <c r="V81" s="113">
        <f>M81*K81*(1+$V$1)</f>
        <v>12.687840000000001</v>
      </c>
      <c r="W81" s="113"/>
      <c r="X81" s="113">
        <v>3</v>
      </c>
      <c r="Y81" s="113"/>
      <c r="Z81" s="110"/>
      <c r="AA81" s="110"/>
      <c r="AB81" s="110">
        <v>10</v>
      </c>
      <c r="AC81" s="303">
        <f>AB81*($AC$1/60)*K81</f>
        <v>91.666666666666657</v>
      </c>
      <c r="AD81" s="110"/>
      <c r="AE81" s="110"/>
      <c r="AF81" s="110"/>
      <c r="AG81" s="113"/>
      <c r="AH81" s="116"/>
      <c r="AI81" s="113"/>
      <c r="AL81" s="119"/>
    </row>
    <row r="82" spans="1:38" s="117" customFormat="1" ht="36" customHeight="1" x14ac:dyDescent="0.25">
      <c r="A82" s="110">
        <v>79</v>
      </c>
      <c r="B82" s="110" t="s">
        <v>166</v>
      </c>
      <c r="C82" s="110" t="s">
        <v>602</v>
      </c>
      <c r="D82" s="110"/>
      <c r="E82" s="110"/>
      <c r="F82" s="110"/>
      <c r="G82" s="110" t="s">
        <v>392</v>
      </c>
      <c r="H82" s="110"/>
      <c r="I82" s="111" t="s">
        <v>490</v>
      </c>
      <c r="J82" s="110">
        <v>3</v>
      </c>
      <c r="K82" s="112">
        <f t="shared" ref="K82:K87" si="49">J82*$K$4</f>
        <v>3</v>
      </c>
      <c r="L82" s="110"/>
      <c r="M82" s="113">
        <f t="shared" ref="M82:M83" si="50">25.3*U82/1000</f>
        <v>11.7392</v>
      </c>
      <c r="N82" s="113">
        <f t="shared" si="2"/>
        <v>35.217600000000004</v>
      </c>
      <c r="O82" s="114" t="s">
        <v>290</v>
      </c>
      <c r="P82" s="116" t="s">
        <v>202</v>
      </c>
      <c r="Q82" s="116" t="s">
        <v>573</v>
      </c>
      <c r="R82" s="116"/>
      <c r="S82" s="110" t="s">
        <v>537</v>
      </c>
      <c r="T82" s="126"/>
      <c r="U82" s="110">
        <v>464</v>
      </c>
      <c r="V82" s="113">
        <f t="shared" ref="V82:V83" si="51">25.3*U82/1000*(1+$V$1)*K82</f>
        <v>38.739360000000005</v>
      </c>
      <c r="W82" s="113"/>
      <c r="X82" s="113">
        <v>3</v>
      </c>
      <c r="Y82" s="113"/>
      <c r="Z82" s="110"/>
      <c r="AA82" s="110"/>
      <c r="AB82" s="110"/>
      <c r="AC82" s="113"/>
      <c r="AD82" s="110"/>
      <c r="AE82" s="110"/>
      <c r="AF82" s="110"/>
      <c r="AG82" s="113"/>
      <c r="AH82" s="116"/>
      <c r="AI82" s="113"/>
      <c r="AL82" s="119"/>
    </row>
    <row r="83" spans="1:38" s="117" customFormat="1" ht="36" customHeight="1" x14ac:dyDescent="0.25">
      <c r="A83" s="110">
        <v>80</v>
      </c>
      <c r="B83" s="110" t="s">
        <v>166</v>
      </c>
      <c r="C83" s="110" t="s">
        <v>603</v>
      </c>
      <c r="D83" s="110"/>
      <c r="E83" s="110"/>
      <c r="F83" s="110"/>
      <c r="G83" s="110" t="s">
        <v>392</v>
      </c>
      <c r="H83" s="110"/>
      <c r="I83" s="111" t="s">
        <v>491</v>
      </c>
      <c r="J83" s="110">
        <v>3</v>
      </c>
      <c r="K83" s="112">
        <f t="shared" si="49"/>
        <v>3</v>
      </c>
      <c r="L83" s="110"/>
      <c r="M83" s="113">
        <f t="shared" si="50"/>
        <v>109.34660000000001</v>
      </c>
      <c r="N83" s="113">
        <f t="shared" si="2"/>
        <v>328.03980000000001</v>
      </c>
      <c r="O83" s="114" t="s">
        <v>290</v>
      </c>
      <c r="P83" s="116" t="s">
        <v>202</v>
      </c>
      <c r="Q83" s="116" t="s">
        <v>573</v>
      </c>
      <c r="R83" s="116"/>
      <c r="S83" s="110" t="s">
        <v>537</v>
      </c>
      <c r="T83" s="126"/>
      <c r="U83" s="110">
        <v>4322</v>
      </c>
      <c r="V83" s="113">
        <f t="shared" si="51"/>
        <v>360.84378000000004</v>
      </c>
      <c r="W83" s="113"/>
      <c r="X83" s="113">
        <v>3</v>
      </c>
      <c r="Y83" s="113"/>
      <c r="Z83" s="110"/>
      <c r="AA83" s="110"/>
      <c r="AB83" s="110"/>
      <c r="AC83" s="113"/>
      <c r="AD83" s="110"/>
      <c r="AE83" s="110"/>
      <c r="AF83" s="110"/>
      <c r="AG83" s="113"/>
      <c r="AH83" s="116"/>
      <c r="AI83" s="113"/>
      <c r="AL83" s="119"/>
    </row>
    <row r="84" spans="1:38" s="117" customFormat="1" ht="36" customHeight="1" x14ac:dyDescent="0.25">
      <c r="A84" s="110">
        <v>81</v>
      </c>
      <c r="B84" s="110" t="s">
        <v>166</v>
      </c>
      <c r="C84" s="110" t="s">
        <v>604</v>
      </c>
      <c r="D84" s="110"/>
      <c r="E84" s="110"/>
      <c r="F84" s="110"/>
      <c r="G84" s="110" t="s">
        <v>392</v>
      </c>
      <c r="H84" s="110"/>
      <c r="I84" s="111" t="s">
        <v>492</v>
      </c>
      <c r="J84" s="110">
        <v>4</v>
      </c>
      <c r="K84" s="112">
        <f t="shared" si="49"/>
        <v>4</v>
      </c>
      <c r="L84" s="110"/>
      <c r="M84" s="113">
        <f>S84*T84*U84*0.00000785</f>
        <v>1.4648099999999999</v>
      </c>
      <c r="N84" s="113">
        <f t="shared" si="2"/>
        <v>5.8592399999999998</v>
      </c>
      <c r="O84" s="311" t="s">
        <v>21</v>
      </c>
      <c r="P84" s="116" t="s">
        <v>202</v>
      </c>
      <c r="Q84" s="116" t="s">
        <v>573</v>
      </c>
      <c r="R84" s="116"/>
      <c r="S84" s="110">
        <v>10</v>
      </c>
      <c r="T84" s="126">
        <v>30</v>
      </c>
      <c r="U84" s="110">
        <v>622</v>
      </c>
      <c r="V84" s="113">
        <f>S84*T84*U84*0.00000785*(1+$V$1)*K84</f>
        <v>6.4451640000000001</v>
      </c>
      <c r="W84" s="113">
        <f>((T84+U84)*2*(1+$W$1))/1000</f>
        <v>1.4995999999999998</v>
      </c>
      <c r="X84" s="113">
        <f>W84/1.1</f>
        <v>1.363272727272727</v>
      </c>
      <c r="Y84" s="113"/>
      <c r="Z84" s="110"/>
      <c r="AA84" s="110"/>
      <c r="AB84" s="110"/>
      <c r="AC84" s="113"/>
      <c r="AD84" s="110"/>
      <c r="AE84" s="110"/>
      <c r="AF84" s="110"/>
      <c r="AG84" s="113"/>
      <c r="AH84" s="116"/>
      <c r="AI84" s="356">
        <f>(T84*U84*2)/1000000*(1+$AI$1)*K84</f>
        <v>0.17167199999999999</v>
      </c>
      <c r="AL84" s="119"/>
    </row>
    <row r="85" spans="1:38" s="117" customFormat="1" ht="36" customHeight="1" x14ac:dyDescent="0.25">
      <c r="A85" s="110">
        <v>82</v>
      </c>
      <c r="B85" s="110" t="s">
        <v>166</v>
      </c>
      <c r="C85" s="110" t="s">
        <v>605</v>
      </c>
      <c r="D85" s="110"/>
      <c r="E85" s="110"/>
      <c r="F85" s="110"/>
      <c r="G85" s="110" t="s">
        <v>392</v>
      </c>
      <c r="H85" s="110"/>
      <c r="I85" s="111" t="s">
        <v>493</v>
      </c>
      <c r="J85" s="110">
        <v>5</v>
      </c>
      <c r="K85" s="112">
        <f t="shared" si="49"/>
        <v>5</v>
      </c>
      <c r="L85" s="110"/>
      <c r="M85" s="113">
        <v>0.1</v>
      </c>
      <c r="N85" s="113">
        <f t="shared" si="2"/>
        <v>0.5</v>
      </c>
      <c r="O85" s="311" t="s">
        <v>297</v>
      </c>
      <c r="P85" s="116" t="s">
        <v>392</v>
      </c>
      <c r="Q85" s="110"/>
      <c r="R85" s="116"/>
      <c r="S85" s="110"/>
      <c r="T85" s="126"/>
      <c r="U85" s="110"/>
      <c r="V85" s="113"/>
      <c r="W85" s="113"/>
      <c r="X85" s="113"/>
      <c r="Y85" s="113"/>
      <c r="Z85" s="110"/>
      <c r="AA85" s="110"/>
      <c r="AB85" s="110"/>
      <c r="AC85" s="113"/>
      <c r="AD85" s="110"/>
      <c r="AE85" s="110">
        <f>1000*K85</f>
        <v>5000</v>
      </c>
      <c r="AF85" s="110"/>
      <c r="AG85" s="113"/>
      <c r="AH85" s="116"/>
      <c r="AI85" s="113"/>
      <c r="AL85" s="119"/>
    </row>
    <row r="86" spans="1:38" s="117" customFormat="1" ht="36" customHeight="1" x14ac:dyDescent="0.25">
      <c r="A86" s="110">
        <v>83</v>
      </c>
      <c r="B86" s="110" t="s">
        <v>166</v>
      </c>
      <c r="C86" s="110" t="s">
        <v>606</v>
      </c>
      <c r="D86" s="110"/>
      <c r="E86" s="110"/>
      <c r="F86" s="110"/>
      <c r="G86" s="110" t="s">
        <v>392</v>
      </c>
      <c r="H86" s="110"/>
      <c r="I86" s="111" t="s">
        <v>494</v>
      </c>
      <c r="J86" s="110">
        <v>3</v>
      </c>
      <c r="K86" s="112">
        <f t="shared" si="49"/>
        <v>3</v>
      </c>
      <c r="L86" s="110"/>
      <c r="M86" s="113">
        <f>25.3*U86/1000</f>
        <v>76.532499999999999</v>
      </c>
      <c r="N86" s="113">
        <f t="shared" si="2"/>
        <v>229.5975</v>
      </c>
      <c r="O86" s="114" t="s">
        <v>290</v>
      </c>
      <c r="P86" s="116" t="s">
        <v>202</v>
      </c>
      <c r="Q86" s="116" t="s">
        <v>573</v>
      </c>
      <c r="R86" s="116"/>
      <c r="S86" s="110" t="s">
        <v>537</v>
      </c>
      <c r="T86" s="126"/>
      <c r="U86" s="110">
        <v>3025</v>
      </c>
      <c r="V86" s="113">
        <f>25.3*U86/1000*(1+$V$1)*K86</f>
        <v>252.55725000000001</v>
      </c>
      <c r="W86" s="113"/>
      <c r="X86" s="113">
        <v>3</v>
      </c>
      <c r="Y86" s="113"/>
      <c r="Z86" s="110"/>
      <c r="AA86" s="110"/>
      <c r="AB86" s="110"/>
      <c r="AC86" s="113"/>
      <c r="AD86" s="110"/>
      <c r="AE86" s="110"/>
      <c r="AF86" s="110"/>
      <c r="AG86" s="113"/>
      <c r="AH86" s="116"/>
      <c r="AI86" s="113"/>
      <c r="AL86" s="119"/>
    </row>
    <row r="87" spans="1:38" s="117" customFormat="1" ht="36" customHeight="1" x14ac:dyDescent="0.25">
      <c r="A87" s="110">
        <v>84</v>
      </c>
      <c r="B87" s="110" t="s">
        <v>166</v>
      </c>
      <c r="C87" s="110" t="s">
        <v>607</v>
      </c>
      <c r="D87" s="110"/>
      <c r="E87" s="110"/>
      <c r="F87" s="110"/>
      <c r="G87" s="110" t="s">
        <v>496</v>
      </c>
      <c r="H87" s="110"/>
      <c r="I87" s="111" t="s">
        <v>495</v>
      </c>
      <c r="J87" s="110">
        <v>1</v>
      </c>
      <c r="K87" s="112">
        <f t="shared" si="49"/>
        <v>1</v>
      </c>
      <c r="L87" s="110"/>
      <c r="M87" s="113">
        <v>11</v>
      </c>
      <c r="N87" s="113">
        <f t="shared" si="2"/>
        <v>11</v>
      </c>
      <c r="O87" s="123" t="s">
        <v>252</v>
      </c>
      <c r="P87" s="116" t="s">
        <v>215</v>
      </c>
      <c r="Q87" s="110"/>
      <c r="R87" s="116"/>
      <c r="S87" s="110"/>
      <c r="T87" s="126"/>
      <c r="U87" s="110"/>
      <c r="V87" s="113"/>
      <c r="W87" s="113"/>
      <c r="X87" s="113"/>
      <c r="Y87" s="113"/>
      <c r="Z87" s="110"/>
      <c r="AA87" s="110"/>
      <c r="AB87" s="110"/>
      <c r="AC87" s="113"/>
      <c r="AD87" s="110"/>
      <c r="AE87" s="110"/>
      <c r="AF87" s="110"/>
      <c r="AG87" s="113"/>
      <c r="AH87" s="116"/>
      <c r="AI87" s="113"/>
      <c r="AL87" s="119"/>
    </row>
    <row r="88" spans="1:38" s="117" customFormat="1" ht="36" customHeight="1" x14ac:dyDescent="0.25">
      <c r="A88" s="110">
        <v>85</v>
      </c>
      <c r="B88" s="110" t="s">
        <v>166</v>
      </c>
      <c r="C88" s="110"/>
      <c r="D88" s="110" t="s">
        <v>608</v>
      </c>
      <c r="E88" s="110"/>
      <c r="F88" s="110"/>
      <c r="G88" s="110" t="s">
        <v>508</v>
      </c>
      <c r="H88" s="110"/>
      <c r="I88" s="111" t="s">
        <v>504</v>
      </c>
      <c r="J88" s="110">
        <v>2</v>
      </c>
      <c r="K88" s="112">
        <f>J88*$K$87</f>
        <v>2</v>
      </c>
      <c r="L88" s="110"/>
      <c r="M88" s="113">
        <v>1</v>
      </c>
      <c r="N88" s="113">
        <f t="shared" si="2"/>
        <v>2</v>
      </c>
      <c r="O88" s="311" t="s">
        <v>21</v>
      </c>
      <c r="P88" s="116" t="s">
        <v>202</v>
      </c>
      <c r="Q88" s="116" t="s">
        <v>573</v>
      </c>
      <c r="R88" s="116"/>
      <c r="S88" s="110">
        <v>10</v>
      </c>
      <c r="T88" s="126">
        <v>83</v>
      </c>
      <c r="U88" s="110">
        <v>119</v>
      </c>
      <c r="V88" s="113">
        <f t="shared" ref="V88:V90" si="52">S88*T88*U88*0.00000785*(1+$V$1)*K88</f>
        <v>1.7057579</v>
      </c>
      <c r="W88" s="113">
        <f t="shared" ref="W88:W90" si="53">((T88+U88)*2*(1+$W$1))/1000</f>
        <v>0.46459999999999996</v>
      </c>
      <c r="X88" s="113">
        <f t="shared" ref="X88:X90" si="54">W88/1.1</f>
        <v>0.42236363636363627</v>
      </c>
      <c r="Y88" s="113"/>
      <c r="Z88" s="110"/>
      <c r="AA88" s="110"/>
      <c r="AB88" s="110"/>
      <c r="AC88" s="113"/>
      <c r="AD88" s="110"/>
      <c r="AE88" s="110"/>
      <c r="AF88" s="110"/>
      <c r="AG88" s="113"/>
      <c r="AH88" s="116"/>
      <c r="AI88" s="356">
        <f t="shared" ref="AI88:AI90" si="55">(T88*U88*2)/1000000*(1+$AI$1)*K88</f>
        <v>4.5434200000000001E-2</v>
      </c>
      <c r="AL88" s="119"/>
    </row>
    <row r="89" spans="1:38" s="117" customFormat="1" ht="36" customHeight="1" x14ac:dyDescent="0.25">
      <c r="A89" s="110">
        <v>86</v>
      </c>
      <c r="B89" s="110" t="s">
        <v>166</v>
      </c>
      <c r="C89" s="110"/>
      <c r="D89" s="110" t="s">
        <v>609</v>
      </c>
      <c r="E89" s="110"/>
      <c r="F89" s="110"/>
      <c r="G89" s="110" t="s">
        <v>510</v>
      </c>
      <c r="H89" s="110"/>
      <c r="I89" s="111" t="s">
        <v>505</v>
      </c>
      <c r="J89" s="110">
        <v>2</v>
      </c>
      <c r="K89" s="112">
        <f t="shared" ref="K89:K92" si="56">J89*$K$87</f>
        <v>2</v>
      </c>
      <c r="L89" s="110"/>
      <c r="M89" s="113">
        <v>1</v>
      </c>
      <c r="N89" s="113">
        <f t="shared" si="2"/>
        <v>2</v>
      </c>
      <c r="O89" s="311" t="s">
        <v>21</v>
      </c>
      <c r="P89" s="116" t="s">
        <v>202</v>
      </c>
      <c r="Q89" s="116" t="s">
        <v>573</v>
      </c>
      <c r="R89" s="116"/>
      <c r="S89" s="110">
        <v>10</v>
      </c>
      <c r="T89" s="126">
        <v>75</v>
      </c>
      <c r="U89" s="110">
        <v>119</v>
      </c>
      <c r="V89" s="113">
        <f t="shared" si="52"/>
        <v>1.5413475000000001</v>
      </c>
      <c r="W89" s="113">
        <f t="shared" si="53"/>
        <v>0.44619999999999999</v>
      </c>
      <c r="X89" s="113">
        <f t="shared" si="54"/>
        <v>0.40563636363636357</v>
      </c>
      <c r="Y89" s="113"/>
      <c r="Z89" s="110"/>
      <c r="AA89" s="110"/>
      <c r="AB89" s="110"/>
      <c r="AC89" s="113"/>
      <c r="AD89" s="110"/>
      <c r="AE89" s="110"/>
      <c r="AF89" s="110"/>
      <c r="AG89" s="113"/>
      <c r="AH89" s="116"/>
      <c r="AI89" s="356">
        <f t="shared" si="55"/>
        <v>4.1055000000000001E-2</v>
      </c>
      <c r="AL89" s="119"/>
    </row>
    <row r="90" spans="1:38" s="117" customFormat="1" ht="36" customHeight="1" x14ac:dyDescent="0.25">
      <c r="A90" s="110">
        <v>87</v>
      </c>
      <c r="B90" s="110" t="s">
        <v>166</v>
      </c>
      <c r="C90" s="110"/>
      <c r="D90" s="110" t="s">
        <v>610</v>
      </c>
      <c r="E90" s="110"/>
      <c r="F90" s="110"/>
      <c r="G90" s="110" t="s">
        <v>509</v>
      </c>
      <c r="H90" s="110"/>
      <c r="I90" s="111" t="s">
        <v>506</v>
      </c>
      <c r="J90" s="110">
        <v>2</v>
      </c>
      <c r="K90" s="112">
        <f t="shared" si="56"/>
        <v>2</v>
      </c>
      <c r="L90" s="110"/>
      <c r="M90" s="113">
        <f>S90*T90*U90*0.00000785</f>
        <v>0.25905</v>
      </c>
      <c r="N90" s="113">
        <f t="shared" si="2"/>
        <v>0.5181</v>
      </c>
      <c r="O90" s="311" t="s">
        <v>21</v>
      </c>
      <c r="P90" s="116" t="s">
        <v>202</v>
      </c>
      <c r="Q90" s="116" t="s">
        <v>573</v>
      </c>
      <c r="R90" s="116"/>
      <c r="S90" s="110">
        <v>10</v>
      </c>
      <c r="T90" s="126">
        <v>44</v>
      </c>
      <c r="U90" s="110">
        <v>75</v>
      </c>
      <c r="V90" s="113">
        <f t="shared" si="52"/>
        <v>0.56991000000000003</v>
      </c>
      <c r="W90" s="113">
        <f t="shared" si="53"/>
        <v>0.2737</v>
      </c>
      <c r="X90" s="113">
        <f t="shared" si="54"/>
        <v>0.2488181818181818</v>
      </c>
      <c r="Y90" s="113"/>
      <c r="Z90" s="110"/>
      <c r="AA90" s="110"/>
      <c r="AB90" s="110"/>
      <c r="AC90" s="113"/>
      <c r="AD90" s="110"/>
      <c r="AE90" s="110"/>
      <c r="AF90" s="110"/>
      <c r="AG90" s="113"/>
      <c r="AH90" s="116"/>
      <c r="AI90" s="356">
        <f t="shared" si="55"/>
        <v>1.5179999999999999E-2</v>
      </c>
      <c r="AL90" s="119"/>
    </row>
    <row r="91" spans="1:38" s="117" customFormat="1" ht="36" customHeight="1" x14ac:dyDescent="0.25">
      <c r="A91" s="110">
        <v>88</v>
      </c>
      <c r="B91" s="110" t="s">
        <v>166</v>
      </c>
      <c r="C91" s="110"/>
      <c r="D91" s="110" t="s">
        <v>611</v>
      </c>
      <c r="E91" s="110"/>
      <c r="F91" s="110"/>
      <c r="G91" s="110" t="s">
        <v>511</v>
      </c>
      <c r="H91" s="110"/>
      <c r="I91" s="111" t="s">
        <v>515</v>
      </c>
      <c r="J91" s="110">
        <v>2</v>
      </c>
      <c r="K91" s="112">
        <f t="shared" si="56"/>
        <v>2</v>
      </c>
      <c r="L91" s="110"/>
      <c r="M91" s="113">
        <v>0.02</v>
      </c>
      <c r="N91" s="113">
        <f t="shared" si="2"/>
        <v>0.04</v>
      </c>
      <c r="O91" s="311" t="s">
        <v>44</v>
      </c>
      <c r="P91" s="116" t="s">
        <v>513</v>
      </c>
      <c r="Q91" s="116" t="s">
        <v>777</v>
      </c>
      <c r="R91" s="116"/>
      <c r="S91" s="110" t="s">
        <v>326</v>
      </c>
      <c r="T91" s="126"/>
      <c r="U91" s="110">
        <v>25</v>
      </c>
      <c r="V91" s="113">
        <f>5.33*U91/1000*(1+$V$1)*K91</f>
        <v>0.29315000000000002</v>
      </c>
      <c r="W91" s="113"/>
      <c r="X91" s="113">
        <v>2</v>
      </c>
      <c r="Y91" s="113"/>
      <c r="Z91" s="110"/>
      <c r="AA91" s="110"/>
      <c r="AB91" s="110"/>
      <c r="AC91" s="113"/>
      <c r="AD91" s="110"/>
      <c r="AE91" s="110"/>
      <c r="AF91" s="110"/>
      <c r="AG91" s="113"/>
      <c r="AH91" s="116"/>
      <c r="AI91" s="356">
        <f>(3.14*12*U91/1000000*K91)*(+$AI$1)</f>
        <v>2.8259999999999998E-4</v>
      </c>
      <c r="AL91" s="119"/>
    </row>
    <row r="92" spans="1:38" s="117" customFormat="1" ht="36" customHeight="1" x14ac:dyDescent="0.25">
      <c r="A92" s="110">
        <v>89</v>
      </c>
      <c r="B92" s="110" t="s">
        <v>166</v>
      </c>
      <c r="C92" s="110"/>
      <c r="D92" s="110" t="s">
        <v>612</v>
      </c>
      <c r="E92" s="110"/>
      <c r="F92" s="110"/>
      <c r="G92" s="110" t="s">
        <v>512</v>
      </c>
      <c r="H92" s="110"/>
      <c r="I92" s="111" t="s">
        <v>507</v>
      </c>
      <c r="J92" s="110">
        <v>1</v>
      </c>
      <c r="K92" s="112">
        <f t="shared" si="56"/>
        <v>1</v>
      </c>
      <c r="L92" s="110"/>
      <c r="M92" s="113">
        <v>8</v>
      </c>
      <c r="N92" s="113">
        <f t="shared" si="2"/>
        <v>8</v>
      </c>
      <c r="O92" s="311" t="s">
        <v>21</v>
      </c>
      <c r="P92" s="116" t="s">
        <v>514</v>
      </c>
      <c r="Q92" s="116" t="s">
        <v>573</v>
      </c>
      <c r="R92" s="116"/>
      <c r="S92" s="110">
        <v>6</v>
      </c>
      <c r="T92" s="126">
        <v>232</v>
      </c>
      <c r="U92" s="110">
        <v>749</v>
      </c>
      <c r="V92" s="113">
        <f>S92*T92*U92*0.00000785*(1+$V$1)*K92</f>
        <v>9.0029200800000009</v>
      </c>
      <c r="W92" s="113">
        <f>((T92+U92)*2*(1+$W$1))/1000</f>
        <v>2.2562999999999995</v>
      </c>
      <c r="X92" s="113">
        <f>1.5/W92</f>
        <v>0.66480521207286281</v>
      </c>
      <c r="Y92" s="113"/>
      <c r="Z92" s="110">
        <v>2</v>
      </c>
      <c r="AA92" s="110" t="s">
        <v>294</v>
      </c>
      <c r="AB92" s="110"/>
      <c r="AC92" s="113"/>
      <c r="AD92" s="110"/>
      <c r="AE92" s="110"/>
      <c r="AF92" s="110"/>
      <c r="AG92" s="113"/>
      <c r="AH92" s="116"/>
      <c r="AI92" s="356">
        <f>(T92*U92*2)/1000000*(1+$AI$1)*K92</f>
        <v>0.39966639999999998</v>
      </c>
      <c r="AL92" s="119"/>
    </row>
    <row r="93" spans="1:38" s="109" customFormat="1" ht="36" customHeight="1" x14ac:dyDescent="0.25">
      <c r="A93" s="124">
        <v>1</v>
      </c>
      <c r="B93" s="124" t="str">
        <f>G93</f>
        <v>AY30017</v>
      </c>
      <c r="C93" s="102">
        <v>2</v>
      </c>
      <c r="D93" s="102"/>
      <c r="E93" s="102"/>
      <c r="F93" s="102"/>
      <c r="G93" s="102" t="s">
        <v>168</v>
      </c>
      <c r="H93" s="102" t="s">
        <v>22</v>
      </c>
      <c r="I93" s="103" t="s">
        <v>169</v>
      </c>
      <c r="J93" s="102">
        <f>VLOOKUP(G93,'Customer Data '!$B$1:$D$14,3,0)</f>
        <v>2</v>
      </c>
      <c r="K93" s="104">
        <f>J93</f>
        <v>2</v>
      </c>
      <c r="L93" s="105"/>
      <c r="M93" s="105">
        <v>65</v>
      </c>
      <c r="N93" s="105">
        <f>M93*K93</f>
        <v>130</v>
      </c>
      <c r="O93" s="123" t="s">
        <v>251</v>
      </c>
      <c r="P93" s="108"/>
      <c r="Q93" s="128"/>
      <c r="R93" s="106"/>
      <c r="S93" s="102"/>
      <c r="T93" s="102"/>
      <c r="U93" s="105"/>
      <c r="V93" s="105">
        <f>SUM(V94:V96)</f>
        <v>149.49658856000002</v>
      </c>
      <c r="W93" s="107"/>
      <c r="X93" s="105">
        <f>SUMPRODUCT(X94:X96,$K$94:$K$96)</f>
        <v>25.102121212121212</v>
      </c>
      <c r="Y93" s="105">
        <f>SUM(Y94:Y96)</f>
        <v>0</v>
      </c>
      <c r="Z93" s="105">
        <f>SUMPRODUCT(Z94:Z96,$K$94:$K$96)</f>
        <v>0</v>
      </c>
      <c r="AA93" s="105"/>
      <c r="AB93" s="105">
        <f>SUMPRODUCT(AB94:AB96,$K$94:$K$96)</f>
        <v>0</v>
      </c>
      <c r="AC93" s="105">
        <f>SUM(AC94:AC96)</f>
        <v>0</v>
      </c>
      <c r="AD93" s="105" t="s">
        <v>301</v>
      </c>
      <c r="AE93" s="105"/>
      <c r="AF93" s="105">
        <f>((2000)+(650*4))*(1+$AF$1)/1000*K93</f>
        <v>11.04</v>
      </c>
      <c r="AG93" s="105"/>
      <c r="AH93" s="108"/>
      <c r="AI93" s="105">
        <f>SUM(AI94:AI96)</f>
        <v>2.3088964000000005</v>
      </c>
    </row>
    <row r="94" spans="1:38" s="306" customFormat="1" ht="36" customHeight="1" x14ac:dyDescent="0.25">
      <c r="A94" s="300">
        <v>2</v>
      </c>
      <c r="B94" s="300" t="s">
        <v>168</v>
      </c>
      <c r="C94" s="300"/>
      <c r="D94" s="300">
        <v>2.1</v>
      </c>
      <c r="E94" s="300"/>
      <c r="F94" s="300"/>
      <c r="G94" s="300"/>
      <c r="H94" s="300"/>
      <c r="I94" s="301" t="s">
        <v>302</v>
      </c>
      <c r="J94" s="300">
        <v>3</v>
      </c>
      <c r="K94" s="302">
        <f>J94*$K$93</f>
        <v>6</v>
      </c>
      <c r="L94" s="302"/>
      <c r="M94" s="303">
        <f>25.3*U94/1000</f>
        <v>18.722000000000001</v>
      </c>
      <c r="N94" s="303">
        <f t="shared" ref="N94:N96" si="57">M94*K94</f>
        <v>112.33200000000001</v>
      </c>
      <c r="O94" s="114" t="s">
        <v>290</v>
      </c>
      <c r="P94" s="305" t="s">
        <v>202</v>
      </c>
      <c r="Q94" s="116" t="s">
        <v>573</v>
      </c>
      <c r="R94" s="145"/>
      <c r="S94" s="110" t="s">
        <v>537</v>
      </c>
      <c r="T94" s="300"/>
      <c r="U94" s="303">
        <v>740</v>
      </c>
      <c r="V94" s="113">
        <f>25.3*U94/1000*(1+$V$1)*K94</f>
        <v>123.56520000000003</v>
      </c>
      <c r="W94" s="303"/>
      <c r="X94" s="303">
        <v>3</v>
      </c>
      <c r="Y94" s="303"/>
      <c r="Z94" s="303"/>
      <c r="AA94" s="303"/>
      <c r="AB94" s="303"/>
      <c r="AC94" s="303"/>
      <c r="AD94" s="303"/>
      <c r="AE94" s="303"/>
      <c r="AF94" s="303"/>
      <c r="AG94" s="145" t="s">
        <v>570</v>
      </c>
      <c r="AH94" s="305"/>
      <c r="AI94" s="303">
        <f>0.3516*(U94/1000)*K94*(1+$AI$1)</f>
        <v>1.7952696000000001</v>
      </c>
    </row>
    <row r="95" spans="1:38" s="306" customFormat="1" ht="36" customHeight="1" x14ac:dyDescent="0.25">
      <c r="A95" s="300">
        <v>3</v>
      </c>
      <c r="B95" s="300" t="s">
        <v>168</v>
      </c>
      <c r="C95" s="300"/>
      <c r="D95" s="300">
        <v>2.2000000000000002</v>
      </c>
      <c r="E95" s="300"/>
      <c r="F95" s="300"/>
      <c r="G95" s="300" t="s">
        <v>303</v>
      </c>
      <c r="H95" s="300"/>
      <c r="I95" s="301" t="s">
        <v>304</v>
      </c>
      <c r="J95" s="300">
        <v>2</v>
      </c>
      <c r="K95" s="302">
        <f t="shared" ref="K95:K96" si="58">J95*$K$93</f>
        <v>4</v>
      </c>
      <c r="L95" s="302"/>
      <c r="M95" s="303">
        <v>3</v>
      </c>
      <c r="N95" s="303">
        <f t="shared" si="57"/>
        <v>12</v>
      </c>
      <c r="O95" s="304" t="s">
        <v>21</v>
      </c>
      <c r="P95" s="305" t="s">
        <v>305</v>
      </c>
      <c r="Q95" s="116" t="s">
        <v>777</v>
      </c>
      <c r="R95" s="145"/>
      <c r="S95" s="300">
        <v>16</v>
      </c>
      <c r="T95" s="300">
        <v>51</v>
      </c>
      <c r="U95" s="303">
        <v>629</v>
      </c>
      <c r="V95" s="113">
        <f t="shared" ref="V95:V96" si="59">S95*T95*U95*0.00000785*(1+$V$1)*K95</f>
        <v>17.728138559999998</v>
      </c>
      <c r="W95" s="113">
        <f t="shared" ref="W95:W96" si="60">((T95+U95)*2*(1+$W$1))/1000</f>
        <v>1.5639999999999998</v>
      </c>
      <c r="X95" s="113">
        <f>W95/1.5</f>
        <v>1.0426666666666666</v>
      </c>
      <c r="Y95" s="303"/>
      <c r="Z95" s="303"/>
      <c r="AA95" s="303"/>
      <c r="AB95" s="303"/>
      <c r="AC95" s="303"/>
      <c r="AD95" s="303"/>
      <c r="AE95" s="303"/>
      <c r="AF95" s="303"/>
      <c r="AG95" s="303"/>
      <c r="AH95" s="305"/>
      <c r="AI95" s="356">
        <f t="shared" ref="AI95:AI96" si="61">(T95*U95*2)/1000000*(1+$AI$1)*K95</f>
        <v>0.29512680000000002</v>
      </c>
    </row>
    <row r="96" spans="1:38" s="306" customFormat="1" ht="36" customHeight="1" x14ac:dyDescent="0.25">
      <c r="A96" s="300">
        <v>4</v>
      </c>
      <c r="B96" s="300" t="s">
        <v>168</v>
      </c>
      <c r="C96" s="300"/>
      <c r="D96" s="300">
        <v>2.2999999999999998</v>
      </c>
      <c r="E96" s="300"/>
      <c r="F96" s="300"/>
      <c r="G96" s="300" t="s">
        <v>306</v>
      </c>
      <c r="H96" s="300"/>
      <c r="I96" s="301" t="s">
        <v>307</v>
      </c>
      <c r="J96" s="300">
        <v>1</v>
      </c>
      <c r="K96" s="302">
        <f t="shared" si="58"/>
        <v>2</v>
      </c>
      <c r="L96" s="302"/>
      <c r="M96" s="303">
        <v>3</v>
      </c>
      <c r="N96" s="303">
        <f t="shared" si="57"/>
        <v>6</v>
      </c>
      <c r="O96" s="304" t="s">
        <v>21</v>
      </c>
      <c r="P96" s="305" t="s">
        <v>305</v>
      </c>
      <c r="Q96" s="116" t="s">
        <v>777</v>
      </c>
      <c r="R96" s="145"/>
      <c r="S96" s="300">
        <v>10</v>
      </c>
      <c r="T96" s="300">
        <v>76</v>
      </c>
      <c r="U96" s="303">
        <v>625</v>
      </c>
      <c r="V96" s="113">
        <f t="shared" si="59"/>
        <v>8.2032500000000006</v>
      </c>
      <c r="W96" s="113">
        <f t="shared" si="60"/>
        <v>1.6122999999999998</v>
      </c>
      <c r="X96" s="113">
        <f>W96/1.1</f>
        <v>1.4657272727272725</v>
      </c>
      <c r="Y96" s="303"/>
      <c r="Z96" s="303"/>
      <c r="AA96" s="303"/>
      <c r="AB96" s="303"/>
      <c r="AC96" s="303"/>
      <c r="AD96" s="303"/>
      <c r="AE96" s="303"/>
      <c r="AF96" s="303"/>
      <c r="AG96" s="303"/>
      <c r="AH96" s="305"/>
      <c r="AI96" s="356">
        <f t="shared" si="61"/>
        <v>0.21849999999999997</v>
      </c>
    </row>
    <row r="97" spans="1:35" s="109" customFormat="1" ht="36" customHeight="1" x14ac:dyDescent="0.25">
      <c r="A97" s="124">
        <v>1</v>
      </c>
      <c r="B97" s="124" t="s">
        <v>170</v>
      </c>
      <c r="C97" s="102">
        <v>3</v>
      </c>
      <c r="D97" s="102"/>
      <c r="E97" s="102"/>
      <c r="F97" s="102"/>
      <c r="G97" s="102" t="s">
        <v>170</v>
      </c>
      <c r="H97" s="102" t="s">
        <v>22</v>
      </c>
      <c r="I97" s="103" t="s">
        <v>171</v>
      </c>
      <c r="J97" s="102">
        <f>VLOOKUP(G97,'Customer Data '!$B$1:$D$14,3,0)</f>
        <v>1</v>
      </c>
      <c r="K97" s="104">
        <f>J97</f>
        <v>1</v>
      </c>
      <c r="L97" s="105"/>
      <c r="M97" s="105">
        <v>27</v>
      </c>
      <c r="N97" s="105">
        <f>M97*K97</f>
        <v>27</v>
      </c>
      <c r="O97" s="123" t="s">
        <v>251</v>
      </c>
      <c r="P97" s="108"/>
      <c r="Q97" s="128"/>
      <c r="R97" s="106"/>
      <c r="S97" s="102"/>
      <c r="T97" s="102"/>
      <c r="U97" s="105"/>
      <c r="V97" s="105">
        <f>SUM(V98:V99)</f>
        <v>29.666871520000001</v>
      </c>
      <c r="W97" s="107"/>
      <c r="X97" s="105">
        <f>SUMPRODUCT(X98:X99,$K$98:$K$99)</f>
        <v>1.1326886082457661</v>
      </c>
      <c r="Y97" s="105">
        <f>SUM(Y98:Y99)</f>
        <v>0</v>
      </c>
      <c r="Z97" s="105">
        <f>SUMPRODUCT(Z98:Z99,$K$98:$K$99)</f>
        <v>4</v>
      </c>
      <c r="AA97" s="105"/>
      <c r="AB97" s="105">
        <f>SUMPRODUCT(AB98:AB99,$K$98:$K$99)</f>
        <v>0</v>
      </c>
      <c r="AC97" s="105">
        <f>SUM(AC98:AC99)</f>
        <v>0</v>
      </c>
      <c r="AD97" s="105" t="s">
        <v>301</v>
      </c>
      <c r="AE97" s="105"/>
      <c r="AF97" s="105">
        <f>((50*4)+(42*4))*(1+$AF$1)/1000*K97</f>
        <v>0.44159999999999999</v>
      </c>
      <c r="AG97" s="105"/>
      <c r="AH97" s="108"/>
      <c r="AI97" s="105">
        <f>SUM(AI98:AI99)</f>
        <v>1.2501493599999998</v>
      </c>
    </row>
    <row r="98" spans="1:35" s="306" customFormat="1" ht="36" customHeight="1" x14ac:dyDescent="0.25">
      <c r="A98" s="300">
        <v>2</v>
      </c>
      <c r="B98" s="300" t="s">
        <v>170</v>
      </c>
      <c r="C98" s="300"/>
      <c r="D98" s="300">
        <v>3.1</v>
      </c>
      <c r="E98" s="300"/>
      <c r="F98" s="300"/>
      <c r="G98" s="300" t="s">
        <v>308</v>
      </c>
      <c r="H98" s="300"/>
      <c r="I98" s="301" t="s">
        <v>309</v>
      </c>
      <c r="J98" s="300">
        <v>1</v>
      </c>
      <c r="K98" s="302">
        <f>J98*$K$97</f>
        <v>1</v>
      </c>
      <c r="L98" s="302"/>
      <c r="M98" s="303">
        <v>26</v>
      </c>
      <c r="N98" s="303">
        <f t="shared" ref="N98:N99" si="62">M98*K98</f>
        <v>26</v>
      </c>
      <c r="O98" s="304" t="s">
        <v>21</v>
      </c>
      <c r="P98" s="305" t="s">
        <v>310</v>
      </c>
      <c r="Q98" s="116" t="s">
        <v>573</v>
      </c>
      <c r="R98" s="145"/>
      <c r="S98" s="300">
        <v>6</v>
      </c>
      <c r="T98" s="300">
        <v>622</v>
      </c>
      <c r="U98" s="303">
        <v>854</v>
      </c>
      <c r="V98" s="113">
        <f>N98*(1+V1)</f>
        <v>28.6</v>
      </c>
      <c r="W98" s="113">
        <f t="shared" ref="W98:W99" si="63">((T98+U98)*2*(1+$W$1))/1000</f>
        <v>3.3947999999999996</v>
      </c>
      <c r="X98" s="113">
        <f>1.5/W98</f>
        <v>0.44185224460940264</v>
      </c>
      <c r="Y98" s="303"/>
      <c r="Z98" s="303">
        <v>4</v>
      </c>
      <c r="AA98" s="303" t="s">
        <v>311</v>
      </c>
      <c r="AB98" s="303"/>
      <c r="AC98" s="303"/>
      <c r="AD98" s="303"/>
      <c r="AE98" s="303"/>
      <c r="AF98" s="303"/>
      <c r="AG98" s="303"/>
      <c r="AH98" s="305"/>
      <c r="AI98" s="356">
        <f>(T98*U98*2)/1000000*(1+$AI$1)*K98</f>
        <v>1.2217323999999998</v>
      </c>
    </row>
    <row r="99" spans="1:35" s="306" customFormat="1" ht="36" customHeight="1" x14ac:dyDescent="0.25">
      <c r="A99" s="300">
        <v>3</v>
      </c>
      <c r="B99" s="300" t="s">
        <v>170</v>
      </c>
      <c r="C99" s="300"/>
      <c r="D99" s="300">
        <v>3.2</v>
      </c>
      <c r="E99" s="300"/>
      <c r="F99" s="300"/>
      <c r="G99" s="300" t="s">
        <v>312</v>
      </c>
      <c r="H99" s="300"/>
      <c r="I99" s="301" t="s">
        <v>313</v>
      </c>
      <c r="J99" s="300">
        <v>2</v>
      </c>
      <c r="K99" s="302">
        <f>J99*$K$97</f>
        <v>2</v>
      </c>
      <c r="L99" s="302"/>
      <c r="M99" s="303">
        <v>0.4</v>
      </c>
      <c r="N99" s="303">
        <f t="shared" si="62"/>
        <v>0.8</v>
      </c>
      <c r="O99" s="304" t="s">
        <v>21</v>
      </c>
      <c r="P99" s="305" t="s">
        <v>202</v>
      </c>
      <c r="Q99" s="116" t="s">
        <v>573</v>
      </c>
      <c r="R99" s="145"/>
      <c r="S99" s="300">
        <v>10</v>
      </c>
      <c r="T99" s="300">
        <v>57.2</v>
      </c>
      <c r="U99" s="303">
        <v>108</v>
      </c>
      <c r="V99" s="113">
        <f t="shared" ref="V99" si="64">S99*T99*U99*0.00000785*(1+$V$1)*K99</f>
        <v>1.0668715200000001</v>
      </c>
      <c r="W99" s="113">
        <f t="shared" si="63"/>
        <v>0.37995999999999991</v>
      </c>
      <c r="X99" s="113">
        <f>W99/1.1</f>
        <v>0.34541818181818168</v>
      </c>
      <c r="Y99" s="303"/>
      <c r="Z99" s="303"/>
      <c r="AA99" s="303"/>
      <c r="AB99" s="303"/>
      <c r="AC99" s="303"/>
      <c r="AD99" s="303"/>
      <c r="AE99" s="303"/>
      <c r="AF99" s="303"/>
      <c r="AG99" s="303"/>
      <c r="AH99" s="305"/>
      <c r="AI99" s="356">
        <f t="shared" ref="AI99" si="65">(T99*U99*2)/1000000*(1+$AI$1)*K99</f>
        <v>2.8416959999999998E-2</v>
      </c>
    </row>
    <row r="100" spans="1:35" s="109" customFormat="1" ht="36" customHeight="1" x14ac:dyDescent="0.25">
      <c r="A100" s="124">
        <v>1</v>
      </c>
      <c r="B100" s="124" t="s">
        <v>172</v>
      </c>
      <c r="C100" s="102">
        <v>4</v>
      </c>
      <c r="D100" s="102"/>
      <c r="E100" s="102"/>
      <c r="F100" s="102"/>
      <c r="G100" s="102" t="s">
        <v>172</v>
      </c>
      <c r="H100" s="102" t="s">
        <v>22</v>
      </c>
      <c r="I100" s="103" t="s">
        <v>171</v>
      </c>
      <c r="J100" s="102">
        <f>VLOOKUP(G100,'Customer Data '!$B$1:$D$14,3,0)</f>
        <v>23</v>
      </c>
      <c r="K100" s="104">
        <f>J100</f>
        <v>23</v>
      </c>
      <c r="L100" s="105"/>
      <c r="M100" s="105">
        <v>19.8</v>
      </c>
      <c r="N100" s="105">
        <f>M100*K100</f>
        <v>455.40000000000003</v>
      </c>
      <c r="O100" s="123" t="s">
        <v>251</v>
      </c>
      <c r="P100" s="108"/>
      <c r="Q100" s="128"/>
      <c r="R100" s="106"/>
      <c r="S100" s="102"/>
      <c r="T100" s="102"/>
      <c r="U100" s="105"/>
      <c r="V100" s="105">
        <f>SUM(V101:V104)</f>
        <v>490.53806438999999</v>
      </c>
      <c r="W100" s="107"/>
      <c r="X100" s="105">
        <f>SUMPRODUCT(X101:X104,$K$7:$K$10)</f>
        <v>3.1993509881422919</v>
      </c>
      <c r="Y100" s="105">
        <f>SUM(Y101:Y104)</f>
        <v>0</v>
      </c>
      <c r="Z100" s="105">
        <f>SUMPRODUCT(Z101:Z104,$K$101:$K$104)</f>
        <v>92</v>
      </c>
      <c r="AA100" s="105"/>
      <c r="AB100" s="105">
        <f>SUMPRODUCT(AB101:AB104,$K$7:$K$10)</f>
        <v>0</v>
      </c>
      <c r="AC100" s="105">
        <f>SUM(AC101:AC104)</f>
        <v>0</v>
      </c>
      <c r="AD100" s="105" t="s">
        <v>301</v>
      </c>
      <c r="AE100" s="105"/>
      <c r="AF100" s="105">
        <f>((50*4)+(42*4)+(724+355))/1000*(1+$AF$1)*K100</f>
        <v>39.937199999999997</v>
      </c>
      <c r="AG100" s="105"/>
      <c r="AH100" s="108"/>
      <c r="AI100" s="105">
        <f>SUM(AI101:AI104)</f>
        <v>20.683275780000002</v>
      </c>
    </row>
    <row r="101" spans="1:35" s="306" customFormat="1" ht="36" customHeight="1" x14ac:dyDescent="0.25">
      <c r="A101" s="300">
        <v>2</v>
      </c>
      <c r="B101" s="300" t="s">
        <v>172</v>
      </c>
      <c r="C101" s="300"/>
      <c r="D101" s="300">
        <v>4.0999999999999996</v>
      </c>
      <c r="E101" s="300"/>
      <c r="F101" s="300"/>
      <c r="G101" s="300" t="s">
        <v>314</v>
      </c>
      <c r="H101" s="300"/>
      <c r="I101" s="301" t="s">
        <v>315</v>
      </c>
      <c r="J101" s="300">
        <v>1</v>
      </c>
      <c r="K101" s="302">
        <f>J101*$K$100</f>
        <v>23</v>
      </c>
      <c r="L101" s="302"/>
      <c r="M101" s="303">
        <v>17</v>
      </c>
      <c r="N101" s="303">
        <f t="shared" ref="N101:N104" si="66">M101*K101</f>
        <v>391</v>
      </c>
      <c r="O101" s="304" t="s">
        <v>21</v>
      </c>
      <c r="P101" s="305" t="s">
        <v>316</v>
      </c>
      <c r="Q101" s="116" t="s">
        <v>573</v>
      </c>
      <c r="R101" s="145"/>
      <c r="S101" s="300">
        <v>6</v>
      </c>
      <c r="T101" s="300">
        <v>597</v>
      </c>
      <c r="U101" s="303">
        <v>603</v>
      </c>
      <c r="V101" s="113">
        <f t="shared" ref="V101:V104" si="67">S101*T101*U101*0.00000785*(1+$V$1)*K101</f>
        <v>428.97607533000001</v>
      </c>
      <c r="W101" s="113">
        <f t="shared" ref="W101:W104" si="68">((T101+U101)*2*(1+$W$1))/1000</f>
        <v>2.76</v>
      </c>
      <c r="X101" s="113">
        <f>1.5/W101</f>
        <v>0.5434782608695653</v>
      </c>
      <c r="Y101" s="303"/>
      <c r="Z101" s="303">
        <v>4</v>
      </c>
      <c r="AA101" s="303" t="s">
        <v>317</v>
      </c>
      <c r="AB101" s="303"/>
      <c r="AC101" s="303"/>
      <c r="AD101" s="303"/>
      <c r="AE101" s="303"/>
      <c r="AF101" s="303"/>
      <c r="AG101" s="303"/>
      <c r="AH101" s="305"/>
      <c r="AI101" s="356">
        <f t="shared" ref="AI101:AI104" si="69">(T101*U101*2)/1000000*(1+$AI$1)*K101</f>
        <v>19.0435239</v>
      </c>
    </row>
    <row r="102" spans="1:35" s="306" customFormat="1" ht="36" customHeight="1" x14ac:dyDescent="0.25">
      <c r="A102" s="300">
        <v>3</v>
      </c>
      <c r="B102" s="300" t="s">
        <v>172</v>
      </c>
      <c r="C102" s="300"/>
      <c r="D102" s="300">
        <v>4.3</v>
      </c>
      <c r="E102" s="300"/>
      <c r="F102" s="300"/>
      <c r="G102" s="300" t="s">
        <v>312</v>
      </c>
      <c r="H102" s="300"/>
      <c r="I102" s="301" t="s">
        <v>313</v>
      </c>
      <c r="J102" s="300">
        <v>2</v>
      </c>
      <c r="K102" s="302">
        <f t="shared" ref="K102:K104" si="70">J102*$K$100</f>
        <v>46</v>
      </c>
      <c r="L102" s="302"/>
      <c r="M102" s="303">
        <v>0.4</v>
      </c>
      <c r="N102" s="303">
        <f t="shared" si="66"/>
        <v>18.400000000000002</v>
      </c>
      <c r="O102" s="304" t="s">
        <v>21</v>
      </c>
      <c r="P102" s="305" t="s">
        <v>202</v>
      </c>
      <c r="Q102" s="116" t="s">
        <v>573</v>
      </c>
      <c r="R102" s="145"/>
      <c r="S102" s="300">
        <v>10</v>
      </c>
      <c r="T102" s="300">
        <v>57.2</v>
      </c>
      <c r="U102" s="303">
        <v>108</v>
      </c>
      <c r="V102" s="113">
        <f t="shared" si="67"/>
        <v>24.538044960000001</v>
      </c>
      <c r="W102" s="113">
        <f t="shared" si="68"/>
        <v>0.37995999999999991</v>
      </c>
      <c r="X102" s="113">
        <f t="shared" ref="X102:X104" si="71">W102/1.1</f>
        <v>0.34541818181818168</v>
      </c>
      <c r="Y102" s="303"/>
      <c r="Z102" s="303"/>
      <c r="AA102" s="303"/>
      <c r="AB102" s="303"/>
      <c r="AC102" s="303"/>
      <c r="AD102" s="303"/>
      <c r="AE102" s="303"/>
      <c r="AF102" s="303"/>
      <c r="AG102" s="303"/>
      <c r="AH102" s="305"/>
      <c r="AI102" s="356">
        <f t="shared" si="69"/>
        <v>0.65359007999999996</v>
      </c>
    </row>
    <row r="103" spans="1:35" s="306" customFormat="1" ht="36" customHeight="1" x14ac:dyDescent="0.25">
      <c r="A103" s="300">
        <v>4</v>
      </c>
      <c r="B103" s="300" t="s">
        <v>172</v>
      </c>
      <c r="C103" s="300"/>
      <c r="D103" s="300">
        <v>4.3</v>
      </c>
      <c r="E103" s="300"/>
      <c r="F103" s="300"/>
      <c r="G103" s="300"/>
      <c r="H103" s="300"/>
      <c r="I103" s="301" t="s">
        <v>318</v>
      </c>
      <c r="J103" s="300">
        <v>1</v>
      </c>
      <c r="K103" s="302">
        <f t="shared" si="70"/>
        <v>23</v>
      </c>
      <c r="L103" s="302"/>
      <c r="M103" s="303">
        <f>S103*T103*U103*0.00000785</f>
        <v>0.73884199999999989</v>
      </c>
      <c r="N103" s="303">
        <f t="shared" si="66"/>
        <v>16.993365999999998</v>
      </c>
      <c r="O103" s="304" t="s">
        <v>21</v>
      </c>
      <c r="P103" s="305" t="s">
        <v>283</v>
      </c>
      <c r="Q103" s="116" t="s">
        <v>573</v>
      </c>
      <c r="R103" s="145"/>
      <c r="S103" s="300">
        <v>10</v>
      </c>
      <c r="T103" s="300">
        <v>13</v>
      </c>
      <c r="U103" s="303">
        <v>724</v>
      </c>
      <c r="V103" s="113">
        <f t="shared" si="67"/>
        <v>18.692702600000001</v>
      </c>
      <c r="W103" s="113">
        <f t="shared" si="68"/>
        <v>1.6950999999999998</v>
      </c>
      <c r="X103" s="113">
        <f t="shared" si="71"/>
        <v>1.5409999999999997</v>
      </c>
      <c r="Y103" s="303"/>
      <c r="Z103" s="303"/>
      <c r="AA103" s="303"/>
      <c r="AB103" s="303"/>
      <c r="AC103" s="303"/>
      <c r="AD103" s="303"/>
      <c r="AE103" s="303"/>
      <c r="AF103" s="303"/>
      <c r="AG103" s="303"/>
      <c r="AH103" s="305"/>
      <c r="AI103" s="356">
        <f t="shared" si="69"/>
        <v>0.49789479999999997</v>
      </c>
    </row>
    <row r="104" spans="1:35" s="306" customFormat="1" ht="36" customHeight="1" x14ac:dyDescent="0.25">
      <c r="A104" s="300">
        <v>5</v>
      </c>
      <c r="B104" s="300" t="s">
        <v>172</v>
      </c>
      <c r="C104" s="300"/>
      <c r="D104" s="300">
        <v>4.4000000000000004</v>
      </c>
      <c r="E104" s="300"/>
      <c r="F104" s="300"/>
      <c r="G104" s="300"/>
      <c r="H104" s="300"/>
      <c r="I104" s="301" t="s">
        <v>319</v>
      </c>
      <c r="J104" s="300">
        <v>2</v>
      </c>
      <c r="K104" s="302">
        <f t="shared" si="70"/>
        <v>46</v>
      </c>
      <c r="L104" s="302"/>
      <c r="M104" s="303">
        <f>S104*T104*U104*0.00000785</f>
        <v>0.36227749999999997</v>
      </c>
      <c r="N104" s="303">
        <f t="shared" si="66"/>
        <v>16.664764999999999</v>
      </c>
      <c r="O104" s="304" t="s">
        <v>21</v>
      </c>
      <c r="P104" s="305" t="s">
        <v>283</v>
      </c>
      <c r="Q104" s="116" t="s">
        <v>573</v>
      </c>
      <c r="R104" s="145"/>
      <c r="S104" s="300">
        <v>10</v>
      </c>
      <c r="T104" s="300">
        <v>13</v>
      </c>
      <c r="U104" s="303">
        <v>355</v>
      </c>
      <c r="V104" s="113">
        <f t="shared" si="67"/>
        <v>18.331241499999997</v>
      </c>
      <c r="W104" s="113">
        <f t="shared" si="68"/>
        <v>0.84639999999999993</v>
      </c>
      <c r="X104" s="113">
        <f t="shared" si="71"/>
        <v>0.76945454545454528</v>
      </c>
      <c r="Y104" s="303"/>
      <c r="Z104" s="303"/>
      <c r="AA104" s="303"/>
      <c r="AB104" s="303"/>
      <c r="AC104" s="303"/>
      <c r="AD104" s="303"/>
      <c r="AE104" s="303"/>
      <c r="AF104" s="303"/>
      <c r="AG104" s="303"/>
      <c r="AH104" s="305"/>
      <c r="AI104" s="356">
        <f t="shared" si="69"/>
        <v>0.48826699999999995</v>
      </c>
    </row>
    <row r="105" spans="1:35" s="109" customFormat="1" ht="36" customHeight="1" x14ac:dyDescent="0.25">
      <c r="A105" s="124">
        <v>1</v>
      </c>
      <c r="B105" s="124" t="s">
        <v>173</v>
      </c>
      <c r="C105" s="102">
        <v>5</v>
      </c>
      <c r="D105" s="102"/>
      <c r="E105" s="102"/>
      <c r="F105" s="102"/>
      <c r="G105" s="102" t="s">
        <v>173</v>
      </c>
      <c r="H105" s="102" t="s">
        <v>22</v>
      </c>
      <c r="I105" s="103" t="s">
        <v>174</v>
      </c>
      <c r="J105" s="102">
        <f>VLOOKUP(G105,'Customer Data '!$B$1:$D$14,3,0)</f>
        <v>1</v>
      </c>
      <c r="K105" s="104">
        <f>J105</f>
        <v>1</v>
      </c>
      <c r="L105" s="105"/>
      <c r="M105" s="105">
        <v>21</v>
      </c>
      <c r="N105" s="105">
        <f>M105*K105</f>
        <v>21</v>
      </c>
      <c r="O105" s="123" t="s">
        <v>251</v>
      </c>
      <c r="P105" s="108"/>
      <c r="Q105" s="128"/>
      <c r="R105" s="106"/>
      <c r="S105" s="102"/>
      <c r="T105" s="102"/>
      <c r="U105" s="105"/>
      <c r="V105" s="105">
        <f>SUM(V106:V108)</f>
        <v>25.182289000000004</v>
      </c>
      <c r="W105" s="107"/>
      <c r="X105" s="105">
        <f>SUMPRODUCT(X106:X108,$K$106:$K$108)</f>
        <v>4.1709090909090909</v>
      </c>
      <c r="Y105" s="105">
        <f>SUM(Y106:Y108)</f>
        <v>0</v>
      </c>
      <c r="Z105" s="105">
        <f>SUMPRODUCT(Z106:Z108,$K$106:$K$108)</f>
        <v>0</v>
      </c>
      <c r="AA105" s="105"/>
      <c r="AB105" s="105">
        <f>SUMPRODUCT(AB106:AB108,$K$106:$K$108)</f>
        <v>0</v>
      </c>
      <c r="AC105" s="105">
        <f>SUM(AC106:AC108)</f>
        <v>0</v>
      </c>
      <c r="AD105" s="105" t="s">
        <v>301</v>
      </c>
      <c r="AE105" s="105"/>
      <c r="AF105" s="105">
        <f>((3.14*102*2)+(3.14*12*2))/1000*(1+$AF$1)*K105</f>
        <v>0.85910400000000009</v>
      </c>
      <c r="AG105" s="105"/>
      <c r="AH105" s="108"/>
      <c r="AI105" s="105">
        <f>SUM(AI106:AI108)</f>
        <v>0.4461355199999999</v>
      </c>
    </row>
    <row r="106" spans="1:35" s="306" customFormat="1" ht="36" customHeight="1" x14ac:dyDescent="0.25">
      <c r="A106" s="300">
        <v>2</v>
      </c>
      <c r="B106" s="300" t="s">
        <v>173</v>
      </c>
      <c r="C106" s="300"/>
      <c r="D106" s="300">
        <v>5.0999999999999996</v>
      </c>
      <c r="E106" s="300"/>
      <c r="F106" s="300"/>
      <c r="G106" s="300"/>
      <c r="H106" s="300"/>
      <c r="I106" s="301" t="s">
        <v>320</v>
      </c>
      <c r="J106" s="300">
        <v>1</v>
      </c>
      <c r="K106" s="302">
        <f>J106*K105</f>
        <v>1</v>
      </c>
      <c r="L106" s="302"/>
      <c r="M106" s="303">
        <f>18.64*U106/1000</f>
        <v>17.9876</v>
      </c>
      <c r="N106" s="303">
        <f t="shared" ref="N106:N108" si="72">M106*K106</f>
        <v>17.9876</v>
      </c>
      <c r="O106" s="304" t="s">
        <v>286</v>
      </c>
      <c r="P106" s="305" t="s">
        <v>207</v>
      </c>
      <c r="Q106" s="116" t="s">
        <v>271</v>
      </c>
      <c r="R106" s="145"/>
      <c r="S106" s="300" t="s">
        <v>321</v>
      </c>
      <c r="T106" s="300"/>
      <c r="U106" s="307">
        <v>965</v>
      </c>
      <c r="V106" s="113">
        <f>M106*K106*(1+$V$1)</f>
        <v>19.786360000000002</v>
      </c>
      <c r="W106" s="303"/>
      <c r="X106" s="303">
        <v>2</v>
      </c>
      <c r="Y106" s="303"/>
      <c r="Z106" s="303"/>
      <c r="AA106" s="303"/>
      <c r="AB106" s="303"/>
      <c r="AC106" s="303"/>
      <c r="AD106" s="303"/>
      <c r="AE106" s="303"/>
      <c r="AF106" s="303"/>
      <c r="AG106" s="303"/>
      <c r="AH106" s="305"/>
      <c r="AI106" s="303">
        <f>(3.14*101.6*U106/1000000*K106)*(1+$AI$1)</f>
        <v>0.35403688399999994</v>
      </c>
    </row>
    <row r="107" spans="1:35" s="306" customFormat="1" ht="36" customHeight="1" x14ac:dyDescent="0.25">
      <c r="A107" s="300">
        <v>3</v>
      </c>
      <c r="B107" s="300" t="s">
        <v>173</v>
      </c>
      <c r="C107" s="300"/>
      <c r="D107" s="300">
        <v>5.2</v>
      </c>
      <c r="E107" s="300"/>
      <c r="F107" s="300"/>
      <c r="G107" s="300" t="s">
        <v>322</v>
      </c>
      <c r="H107" s="300"/>
      <c r="I107" s="301" t="s">
        <v>323</v>
      </c>
      <c r="J107" s="300">
        <v>2</v>
      </c>
      <c r="K107" s="302">
        <f>J107*K105</f>
        <v>2</v>
      </c>
      <c r="L107" s="302"/>
      <c r="M107" s="303">
        <v>1.2</v>
      </c>
      <c r="N107" s="303">
        <f t="shared" si="72"/>
        <v>2.4</v>
      </c>
      <c r="O107" s="304" t="s">
        <v>21</v>
      </c>
      <c r="P107" s="305" t="s">
        <v>202</v>
      </c>
      <c r="Q107" s="116" t="s">
        <v>573</v>
      </c>
      <c r="R107" s="145"/>
      <c r="S107" s="300">
        <v>10</v>
      </c>
      <c r="T107" s="300">
        <v>140</v>
      </c>
      <c r="U107" s="307">
        <v>140</v>
      </c>
      <c r="V107" s="113">
        <f>S107*T107*U107*0.00000785*(1+$V$1)*K107</f>
        <v>3.3849200000000002</v>
      </c>
      <c r="W107" s="113">
        <f>((T107+U107)*2*(1+$W$1))/1000</f>
        <v>0.64400000000000002</v>
      </c>
      <c r="X107" s="113">
        <f>W107/1.1</f>
        <v>0.58545454545454545</v>
      </c>
      <c r="Y107" s="303"/>
      <c r="Z107" s="303"/>
      <c r="AA107" s="303"/>
      <c r="AB107" s="303"/>
      <c r="AC107" s="303"/>
      <c r="AD107" s="303"/>
      <c r="AE107" s="303"/>
      <c r="AF107" s="303"/>
      <c r="AG107" s="303"/>
      <c r="AH107" s="305"/>
      <c r="AI107" s="356">
        <f>(T107*U107*2)/1000000*(1+$AI$1)*K107</f>
        <v>9.015999999999999E-2</v>
      </c>
    </row>
    <row r="108" spans="1:35" s="306" customFormat="1" ht="36" customHeight="1" x14ac:dyDescent="0.25">
      <c r="A108" s="300">
        <v>4</v>
      </c>
      <c r="B108" s="300" t="s">
        <v>173</v>
      </c>
      <c r="C108" s="300"/>
      <c r="D108" s="300">
        <v>5.3</v>
      </c>
      <c r="E108" s="300"/>
      <c r="F108" s="300"/>
      <c r="G108" s="300" t="s">
        <v>324</v>
      </c>
      <c r="H108" s="300"/>
      <c r="I108" s="301" t="s">
        <v>325</v>
      </c>
      <c r="J108" s="300">
        <v>1</v>
      </c>
      <c r="K108" s="302">
        <f>J108*K105</f>
        <v>1</v>
      </c>
      <c r="L108" s="302"/>
      <c r="M108" s="303">
        <v>0.3</v>
      </c>
      <c r="N108" s="303">
        <f t="shared" si="72"/>
        <v>0.3</v>
      </c>
      <c r="O108" s="304" t="s">
        <v>44</v>
      </c>
      <c r="P108" s="305" t="s">
        <v>211</v>
      </c>
      <c r="Q108" s="116" t="s">
        <v>777</v>
      </c>
      <c r="R108" s="145"/>
      <c r="S108" s="300" t="s">
        <v>326</v>
      </c>
      <c r="T108" s="300"/>
      <c r="U108" s="303">
        <f>70+203+70</f>
        <v>343</v>
      </c>
      <c r="V108" s="113">
        <f>5.33*U108/1000*(1+$V$1)*K108</f>
        <v>2.011009</v>
      </c>
      <c r="W108" s="303"/>
      <c r="X108" s="303">
        <v>1</v>
      </c>
      <c r="Y108" s="303"/>
      <c r="Z108" s="303"/>
      <c r="AA108" s="303"/>
      <c r="AB108" s="303"/>
      <c r="AC108" s="303"/>
      <c r="AD108" s="303"/>
      <c r="AE108" s="303"/>
      <c r="AF108" s="303"/>
      <c r="AG108" s="303"/>
      <c r="AH108" s="305"/>
      <c r="AI108" s="356">
        <f>(3.14*12*U108/1000000*K108)*(+$AI$1)</f>
        <v>1.9386359999999999E-3</v>
      </c>
    </row>
    <row r="109" spans="1:35" s="109" customFormat="1" ht="36" customHeight="1" x14ac:dyDescent="0.25">
      <c r="A109" s="124">
        <v>1</v>
      </c>
      <c r="B109" s="124" t="s">
        <v>175</v>
      </c>
      <c r="C109" s="102">
        <v>6</v>
      </c>
      <c r="D109" s="102"/>
      <c r="E109" s="102"/>
      <c r="F109" s="102"/>
      <c r="G109" s="102" t="s">
        <v>175</v>
      </c>
      <c r="H109" s="102" t="s">
        <v>22</v>
      </c>
      <c r="I109" s="103" t="s">
        <v>327</v>
      </c>
      <c r="J109" s="102">
        <f>VLOOKUP(G109,'Customer Data '!$B$1:$D$14,3,0)</f>
        <v>4</v>
      </c>
      <c r="K109" s="104">
        <f>J109</f>
        <v>4</v>
      </c>
      <c r="L109" s="105"/>
      <c r="M109" s="105">
        <v>19</v>
      </c>
      <c r="N109" s="105">
        <f>M109*K109</f>
        <v>76</v>
      </c>
      <c r="O109" s="123" t="s">
        <v>251</v>
      </c>
      <c r="P109" s="108"/>
      <c r="Q109" s="128"/>
      <c r="R109" s="106"/>
      <c r="S109" s="102"/>
      <c r="T109" s="102"/>
      <c r="U109" s="105"/>
      <c r="V109" s="105">
        <f>SUM(V110:V113)</f>
        <v>97.840600000000009</v>
      </c>
      <c r="W109" s="107"/>
      <c r="X109" s="105">
        <f>SUMPRODUCT(X110:X113,$K$110:$K$113)</f>
        <v>16</v>
      </c>
      <c r="Y109" s="105">
        <f>SUM(Y110:Y113)</f>
        <v>0</v>
      </c>
      <c r="Z109" s="105">
        <f>SUMPRODUCT(Z110:Z113,$K$110:$K$113)</f>
        <v>0</v>
      </c>
      <c r="AA109" s="105"/>
      <c r="AB109" s="105">
        <f>SUMPRODUCT(AB110:AB113,$K$110:$K$113)</f>
        <v>40</v>
      </c>
      <c r="AC109" s="105">
        <f>SUM(AC110:AC113)</f>
        <v>366.66666666666663</v>
      </c>
      <c r="AD109" s="105" t="s">
        <v>301</v>
      </c>
      <c r="AE109" s="105"/>
      <c r="AF109" s="105">
        <f>(((45+45)*2)*4)/1000*(1+$AF$1)*K109</f>
        <v>3.456</v>
      </c>
      <c r="AG109" s="105"/>
      <c r="AH109" s="108"/>
      <c r="AI109" s="105">
        <f>SUM(AI110:AI113)</f>
        <v>3.4219951999999996</v>
      </c>
    </row>
    <row r="110" spans="1:35" s="306" customFormat="1" ht="36" customHeight="1" x14ac:dyDescent="0.25">
      <c r="A110" s="300">
        <v>2</v>
      </c>
      <c r="B110" s="300" t="s">
        <v>175</v>
      </c>
      <c r="C110" s="300"/>
      <c r="D110" s="300">
        <v>6.1</v>
      </c>
      <c r="E110" s="300"/>
      <c r="F110" s="300"/>
      <c r="G110" s="300"/>
      <c r="H110" s="300"/>
      <c r="I110" s="301" t="s">
        <v>328</v>
      </c>
      <c r="J110" s="300">
        <v>1</v>
      </c>
      <c r="K110" s="302">
        <f>J110*$K$109</f>
        <v>4</v>
      </c>
      <c r="L110" s="302"/>
      <c r="M110" s="303">
        <f>5.5*(U110/1000)</f>
        <v>5.3075000000000001</v>
      </c>
      <c r="N110" s="303">
        <f t="shared" ref="N110:N113" si="73">M110*K110</f>
        <v>21.23</v>
      </c>
      <c r="O110" s="304" t="s">
        <v>329</v>
      </c>
      <c r="P110" s="305" t="s">
        <v>330</v>
      </c>
      <c r="Q110" s="110" t="s">
        <v>540</v>
      </c>
      <c r="R110" s="145"/>
      <c r="S110" s="300" t="s">
        <v>331</v>
      </c>
      <c r="T110" s="300"/>
      <c r="U110" s="307">
        <v>965</v>
      </c>
      <c r="V110" s="113">
        <f t="shared" ref="V110:V113" si="74">M110*K110*(1+$V$1)</f>
        <v>23.353000000000002</v>
      </c>
      <c r="W110" s="303"/>
      <c r="X110" s="303">
        <v>1</v>
      </c>
      <c r="Y110" s="303"/>
      <c r="Z110" s="303"/>
      <c r="AA110" s="303"/>
      <c r="AB110" s="303">
        <v>2</v>
      </c>
      <c r="AC110" s="303">
        <f t="shared" ref="AC110:AC113" si="75">AB110*($AC$1/60)*K110</f>
        <v>73.333333333333329</v>
      </c>
      <c r="AD110" s="303"/>
      <c r="AE110" s="303"/>
      <c r="AF110" s="303"/>
      <c r="AG110" s="303"/>
      <c r="AH110" s="305"/>
      <c r="AI110" s="303">
        <f>0.184*(U110/1000)*K110*(1+$AI$1)</f>
        <v>0.81677599999999995</v>
      </c>
    </row>
    <row r="111" spans="1:35" s="306" customFormat="1" ht="36" customHeight="1" x14ac:dyDescent="0.25">
      <c r="A111" s="300">
        <v>3</v>
      </c>
      <c r="B111" s="300" t="s">
        <v>175</v>
      </c>
      <c r="C111" s="300"/>
      <c r="D111" s="300">
        <v>6.2</v>
      </c>
      <c r="E111" s="300"/>
      <c r="F111" s="300"/>
      <c r="G111" s="300"/>
      <c r="H111" s="300"/>
      <c r="I111" s="301" t="s">
        <v>332</v>
      </c>
      <c r="J111" s="300">
        <v>1</v>
      </c>
      <c r="K111" s="302">
        <f t="shared" ref="K111:K113" si="76">J111*$K$109</f>
        <v>4</v>
      </c>
      <c r="L111" s="302"/>
      <c r="M111" s="303">
        <f t="shared" ref="M111:M113" si="77">5.5*(U111/1000)</f>
        <v>6.1215000000000002</v>
      </c>
      <c r="N111" s="303">
        <f t="shared" si="73"/>
        <v>24.486000000000001</v>
      </c>
      <c r="O111" s="304" t="s">
        <v>329</v>
      </c>
      <c r="P111" s="305" t="s">
        <v>330</v>
      </c>
      <c r="Q111" s="110" t="s">
        <v>540</v>
      </c>
      <c r="R111" s="145"/>
      <c r="S111" s="300" t="s">
        <v>331</v>
      </c>
      <c r="T111" s="300"/>
      <c r="U111" s="307">
        <v>1113</v>
      </c>
      <c r="V111" s="113">
        <f t="shared" si="74"/>
        <v>26.934600000000003</v>
      </c>
      <c r="W111" s="303"/>
      <c r="X111" s="303">
        <v>1</v>
      </c>
      <c r="Y111" s="303"/>
      <c r="Z111" s="303"/>
      <c r="AA111" s="303"/>
      <c r="AB111" s="303">
        <v>3</v>
      </c>
      <c r="AC111" s="303">
        <f t="shared" si="75"/>
        <v>110</v>
      </c>
      <c r="AD111" s="303"/>
      <c r="AE111" s="303"/>
      <c r="AF111" s="303"/>
      <c r="AG111" s="303"/>
      <c r="AH111" s="305"/>
      <c r="AI111" s="303">
        <f t="shared" ref="AI111:AI113" si="78">0.184*(U111/1000)*K111*(1+$AI$1)</f>
        <v>0.94204319999999997</v>
      </c>
    </row>
    <row r="112" spans="1:35" s="306" customFormat="1" ht="36" customHeight="1" x14ac:dyDescent="0.25">
      <c r="A112" s="300">
        <v>4</v>
      </c>
      <c r="B112" s="300" t="s">
        <v>175</v>
      </c>
      <c r="C112" s="300"/>
      <c r="D112" s="300">
        <v>6.3</v>
      </c>
      <c r="E112" s="300"/>
      <c r="F112" s="300"/>
      <c r="G112" s="300"/>
      <c r="H112" s="300"/>
      <c r="I112" s="301" t="s">
        <v>333</v>
      </c>
      <c r="J112" s="300">
        <v>1</v>
      </c>
      <c r="K112" s="302">
        <f t="shared" si="76"/>
        <v>4</v>
      </c>
      <c r="L112" s="302"/>
      <c r="M112" s="303">
        <f t="shared" si="77"/>
        <v>5.093</v>
      </c>
      <c r="N112" s="303">
        <f t="shared" si="73"/>
        <v>20.372</v>
      </c>
      <c r="O112" s="304" t="s">
        <v>329</v>
      </c>
      <c r="P112" s="305" t="s">
        <v>330</v>
      </c>
      <c r="Q112" s="110" t="s">
        <v>540</v>
      </c>
      <c r="R112" s="145"/>
      <c r="S112" s="300" t="s">
        <v>331</v>
      </c>
      <c r="T112" s="300"/>
      <c r="U112" s="307">
        <v>926</v>
      </c>
      <c r="V112" s="113">
        <f t="shared" si="74"/>
        <v>22.409200000000002</v>
      </c>
      <c r="W112" s="303"/>
      <c r="X112" s="303">
        <v>1</v>
      </c>
      <c r="Y112" s="303"/>
      <c r="Z112" s="303"/>
      <c r="AA112" s="303"/>
      <c r="AB112" s="303">
        <v>2</v>
      </c>
      <c r="AC112" s="303">
        <f t="shared" si="75"/>
        <v>73.333333333333329</v>
      </c>
      <c r="AD112" s="303"/>
      <c r="AE112" s="303"/>
      <c r="AF112" s="303"/>
      <c r="AG112" s="303"/>
      <c r="AH112" s="305"/>
      <c r="AI112" s="303">
        <f t="shared" si="78"/>
        <v>0.78376639999999997</v>
      </c>
    </row>
    <row r="113" spans="1:35" s="306" customFormat="1" ht="36" customHeight="1" x14ac:dyDescent="0.25">
      <c r="A113" s="300">
        <v>5</v>
      </c>
      <c r="B113" s="300" t="s">
        <v>175</v>
      </c>
      <c r="C113" s="300"/>
      <c r="D113" s="300">
        <v>6.4</v>
      </c>
      <c r="E113" s="300"/>
      <c r="F113" s="300"/>
      <c r="G113" s="300"/>
      <c r="H113" s="300"/>
      <c r="I113" s="301" t="s">
        <v>334</v>
      </c>
      <c r="J113" s="300">
        <v>1</v>
      </c>
      <c r="K113" s="302">
        <f t="shared" si="76"/>
        <v>4</v>
      </c>
      <c r="L113" s="302"/>
      <c r="M113" s="303">
        <f t="shared" si="77"/>
        <v>5.7144999999999992</v>
      </c>
      <c r="N113" s="303">
        <f t="shared" si="73"/>
        <v>22.857999999999997</v>
      </c>
      <c r="O113" s="304" t="s">
        <v>329</v>
      </c>
      <c r="P113" s="305" t="s">
        <v>330</v>
      </c>
      <c r="Q113" s="110" t="s">
        <v>540</v>
      </c>
      <c r="R113" s="145"/>
      <c r="S113" s="300" t="s">
        <v>331</v>
      </c>
      <c r="T113" s="300"/>
      <c r="U113" s="307">
        <v>1039</v>
      </c>
      <c r="V113" s="113">
        <f t="shared" si="74"/>
        <v>25.143799999999999</v>
      </c>
      <c r="W113" s="303"/>
      <c r="X113" s="303">
        <v>1</v>
      </c>
      <c r="Y113" s="303"/>
      <c r="Z113" s="303"/>
      <c r="AA113" s="303"/>
      <c r="AB113" s="303">
        <v>3</v>
      </c>
      <c r="AC113" s="303">
        <f t="shared" si="75"/>
        <v>110</v>
      </c>
      <c r="AD113" s="303"/>
      <c r="AE113" s="303"/>
      <c r="AF113" s="303"/>
      <c r="AG113" s="303"/>
      <c r="AH113" s="305"/>
      <c r="AI113" s="303">
        <f t="shared" si="78"/>
        <v>0.8794095999999999</v>
      </c>
    </row>
    <row r="114" spans="1:35" s="109" customFormat="1" ht="36" customHeight="1" x14ac:dyDescent="0.25">
      <c r="A114" s="124">
        <v>1</v>
      </c>
      <c r="B114" s="124" t="s">
        <v>177</v>
      </c>
      <c r="C114" s="102">
        <v>7</v>
      </c>
      <c r="D114" s="102"/>
      <c r="E114" s="102"/>
      <c r="F114" s="102"/>
      <c r="G114" s="102" t="s">
        <v>177</v>
      </c>
      <c r="H114" s="102" t="s">
        <v>22</v>
      </c>
      <c r="I114" s="103" t="s">
        <v>335</v>
      </c>
      <c r="J114" s="102">
        <f>VLOOKUP(G114,'Customer Data '!$B$1:$D$14,3,0)</f>
        <v>1</v>
      </c>
      <c r="K114" s="104">
        <f>J114</f>
        <v>1</v>
      </c>
      <c r="L114" s="105"/>
      <c r="M114" s="105">
        <v>80</v>
      </c>
      <c r="N114" s="105">
        <f>M114*K114</f>
        <v>80</v>
      </c>
      <c r="O114" s="123" t="s">
        <v>251</v>
      </c>
      <c r="P114" s="108"/>
      <c r="Q114" s="128"/>
      <c r="R114" s="106"/>
      <c r="S114" s="102"/>
      <c r="T114" s="102"/>
      <c r="U114" s="105"/>
      <c r="V114" s="105">
        <f>SUM(V115:V118)</f>
        <v>137.44273372499998</v>
      </c>
      <c r="W114" s="107"/>
      <c r="X114" s="105">
        <f>SUMPRODUCT(X115:X118,$K$115:$K$118)</f>
        <v>9.3070164801864781</v>
      </c>
      <c r="Y114" s="105">
        <f>SUM(Y115:Y118)</f>
        <v>0</v>
      </c>
      <c r="Z114" s="105">
        <f>SUMPRODUCT(Z115:Z118,$K$115:$K$118)</f>
        <v>0</v>
      </c>
      <c r="AA114" s="105"/>
      <c r="AB114" s="105">
        <v>60</v>
      </c>
      <c r="AC114" s="105">
        <f>SUM(AC115:AC118)</f>
        <v>366.66666666666663</v>
      </c>
      <c r="AD114" s="105" t="s">
        <v>301</v>
      </c>
      <c r="AE114" s="105"/>
      <c r="AF114" s="105">
        <f>SUM(AF115:AF118)</f>
        <v>12.571200000000001</v>
      </c>
      <c r="AG114" s="105"/>
      <c r="AH114" s="108"/>
      <c r="AI114" s="105">
        <f>SUM(AI115:AI118)</f>
        <v>1.6332920999999998</v>
      </c>
    </row>
    <row r="115" spans="1:35" s="306" customFormat="1" ht="36" customHeight="1" x14ac:dyDescent="0.25">
      <c r="A115" s="300">
        <v>2</v>
      </c>
      <c r="B115" s="300" t="s">
        <v>177</v>
      </c>
      <c r="C115" s="300"/>
      <c r="D115" s="300">
        <v>7.1</v>
      </c>
      <c r="E115" s="300"/>
      <c r="F115" s="300"/>
      <c r="G115" s="300" t="s">
        <v>336</v>
      </c>
      <c r="H115" s="300"/>
      <c r="I115" s="301" t="s">
        <v>337</v>
      </c>
      <c r="J115" s="300">
        <v>1</v>
      </c>
      <c r="K115" s="302">
        <f>J115*$K$114</f>
        <v>1</v>
      </c>
      <c r="L115" s="302"/>
      <c r="M115" s="303">
        <v>36.5</v>
      </c>
      <c r="N115" s="303">
        <f>M115*K115</f>
        <v>36.5</v>
      </c>
      <c r="O115" s="304" t="s">
        <v>21</v>
      </c>
      <c r="P115" s="305" t="s">
        <v>223</v>
      </c>
      <c r="Q115" s="116" t="s">
        <v>777</v>
      </c>
      <c r="R115" s="145"/>
      <c r="S115" s="300">
        <v>25</v>
      </c>
      <c r="T115" s="300">
        <v>279</v>
      </c>
      <c r="U115" s="307">
        <v>1275</v>
      </c>
      <c r="V115" s="113">
        <f t="shared" ref="V115:V118" si="79">S115*T115*U115*0.00000785*(1+$V$1)*K115</f>
        <v>76.792134375000003</v>
      </c>
      <c r="W115" s="113">
        <f>((((T115+U115)*2)+(3.14*51*7)+(3.14*4*33))*(1+$W$1))/1000</f>
        <v>5.3399789999999987</v>
      </c>
      <c r="X115" s="113">
        <f t="shared" ref="X115:X116" si="80">W115/1.3</f>
        <v>4.1076761538461524</v>
      </c>
      <c r="Y115" s="303"/>
      <c r="Z115" s="303"/>
      <c r="AA115" s="303"/>
      <c r="AB115" s="303">
        <v>10</v>
      </c>
      <c r="AC115" s="303">
        <f>AB115*($AC$1/60)*K115</f>
        <v>91.666666666666657</v>
      </c>
      <c r="AD115" s="303"/>
      <c r="AE115" s="303"/>
      <c r="AF115" s="303"/>
      <c r="AG115" s="303"/>
      <c r="AH115" s="305"/>
      <c r="AI115" s="356">
        <f t="shared" ref="AI115:AI118" si="81">(T115*U115*2)/1000000*(1+$AI$1)*K115</f>
        <v>0.81816749999999994</v>
      </c>
    </row>
    <row r="116" spans="1:35" s="306" customFormat="1" ht="36" customHeight="1" x14ac:dyDescent="0.25">
      <c r="A116" s="300">
        <v>3</v>
      </c>
      <c r="B116" s="300" t="s">
        <v>177</v>
      </c>
      <c r="C116" s="300"/>
      <c r="D116" s="300">
        <v>7.2</v>
      </c>
      <c r="E116" s="300"/>
      <c r="F116" s="300"/>
      <c r="G116" s="300" t="s">
        <v>338</v>
      </c>
      <c r="H116" s="300"/>
      <c r="I116" s="301" t="s">
        <v>339</v>
      </c>
      <c r="J116" s="300">
        <v>1</v>
      </c>
      <c r="K116" s="302">
        <f t="shared" ref="K116:K118" si="82">J116*$K$114</f>
        <v>1</v>
      </c>
      <c r="L116" s="302"/>
      <c r="M116" s="303">
        <v>14</v>
      </c>
      <c r="N116" s="303">
        <f t="shared" ref="N116:N118" si="83">M116*K116</f>
        <v>14</v>
      </c>
      <c r="O116" s="304" t="s">
        <v>21</v>
      </c>
      <c r="P116" s="305" t="s">
        <v>223</v>
      </c>
      <c r="Q116" s="116" t="s">
        <v>777</v>
      </c>
      <c r="R116" s="145"/>
      <c r="S116" s="300">
        <v>25</v>
      </c>
      <c r="T116" s="300">
        <v>203</v>
      </c>
      <c r="U116" s="307">
        <v>406</v>
      </c>
      <c r="V116" s="113">
        <f t="shared" si="79"/>
        <v>17.791985749999998</v>
      </c>
      <c r="W116" s="113">
        <f t="shared" ref="W116:W118" si="84">((T116+U116)*2*(1+$W$1))/1000</f>
        <v>1.4006999999999998</v>
      </c>
      <c r="X116" s="113">
        <f t="shared" si="80"/>
        <v>1.0774615384615382</v>
      </c>
      <c r="Y116" s="303"/>
      <c r="Z116" s="303"/>
      <c r="AA116" s="303"/>
      <c r="AB116" s="303"/>
      <c r="AC116" s="303"/>
      <c r="AD116" s="303"/>
      <c r="AE116" s="303"/>
      <c r="AF116" s="303">
        <f>(140+127+127+25)/1000*2*2*(1+$AF$1)*K116</f>
        <v>2.0111999999999997</v>
      </c>
      <c r="AG116" s="303"/>
      <c r="AH116" s="305"/>
      <c r="AI116" s="356">
        <f t="shared" si="81"/>
        <v>0.18956139999999999</v>
      </c>
    </row>
    <row r="117" spans="1:35" s="306" customFormat="1" ht="36" customHeight="1" x14ac:dyDescent="0.25">
      <c r="A117" s="300">
        <v>4</v>
      </c>
      <c r="B117" s="300" t="s">
        <v>177</v>
      </c>
      <c r="C117" s="300"/>
      <c r="D117" s="300">
        <v>7.3</v>
      </c>
      <c r="E117" s="300"/>
      <c r="F117" s="300"/>
      <c r="G117" s="300" t="s">
        <v>340</v>
      </c>
      <c r="H117" s="300"/>
      <c r="I117" s="301" t="s">
        <v>341</v>
      </c>
      <c r="J117" s="300">
        <v>2</v>
      </c>
      <c r="K117" s="302">
        <f t="shared" si="82"/>
        <v>2</v>
      </c>
      <c r="L117" s="302"/>
      <c r="M117" s="303">
        <v>14</v>
      </c>
      <c r="N117" s="303">
        <f t="shared" si="83"/>
        <v>28</v>
      </c>
      <c r="O117" s="304" t="s">
        <v>21</v>
      </c>
      <c r="P117" s="305" t="s">
        <v>223</v>
      </c>
      <c r="Q117" s="116" t="s">
        <v>777</v>
      </c>
      <c r="R117" s="145"/>
      <c r="S117" s="300">
        <v>20</v>
      </c>
      <c r="T117" s="300">
        <v>152</v>
      </c>
      <c r="U117" s="307">
        <v>738</v>
      </c>
      <c r="V117" s="113">
        <f t="shared" si="79"/>
        <v>38.745590400000005</v>
      </c>
      <c r="W117" s="113">
        <f t="shared" si="84"/>
        <v>2.0469999999999997</v>
      </c>
      <c r="X117" s="113">
        <f>W117/1.5</f>
        <v>1.3646666666666665</v>
      </c>
      <c r="Y117" s="303"/>
      <c r="Z117" s="303"/>
      <c r="AA117" s="303"/>
      <c r="AB117" s="303">
        <v>15</v>
      </c>
      <c r="AC117" s="303">
        <f>AB117*($AC$1/60)*K117</f>
        <v>275</v>
      </c>
      <c r="AD117" s="303"/>
      <c r="AE117" s="303"/>
      <c r="AF117" s="303">
        <f>(650*2)/1000*3*(1+$AF$1)*K117</f>
        <v>9.3600000000000012</v>
      </c>
      <c r="AG117" s="303"/>
      <c r="AH117" s="305"/>
      <c r="AI117" s="356">
        <f t="shared" si="81"/>
        <v>0.51600959999999996</v>
      </c>
    </row>
    <row r="118" spans="1:35" s="306" customFormat="1" ht="36" customHeight="1" x14ac:dyDescent="0.25">
      <c r="A118" s="300">
        <v>5</v>
      </c>
      <c r="B118" s="300" t="s">
        <v>177</v>
      </c>
      <c r="C118" s="300"/>
      <c r="D118" s="300">
        <v>7.4</v>
      </c>
      <c r="E118" s="300"/>
      <c r="F118" s="300"/>
      <c r="G118" s="300" t="s">
        <v>342</v>
      </c>
      <c r="H118" s="300"/>
      <c r="I118" s="301" t="s">
        <v>343</v>
      </c>
      <c r="J118" s="300">
        <v>2</v>
      </c>
      <c r="K118" s="302">
        <f t="shared" si="82"/>
        <v>2</v>
      </c>
      <c r="L118" s="302"/>
      <c r="M118" s="303">
        <v>1</v>
      </c>
      <c r="N118" s="303">
        <f t="shared" si="83"/>
        <v>2</v>
      </c>
      <c r="O118" s="304" t="s">
        <v>21</v>
      </c>
      <c r="P118" s="305" t="s">
        <v>202</v>
      </c>
      <c r="Q118" s="116" t="s">
        <v>573</v>
      </c>
      <c r="R118" s="145"/>
      <c r="S118" s="300">
        <v>10</v>
      </c>
      <c r="T118" s="300">
        <v>104</v>
      </c>
      <c r="U118" s="307">
        <v>229</v>
      </c>
      <c r="V118" s="113">
        <f t="shared" si="79"/>
        <v>4.1130231999999998</v>
      </c>
      <c r="W118" s="113">
        <f t="shared" si="84"/>
        <v>0.76590000000000003</v>
      </c>
      <c r="X118" s="113">
        <f>W118/1.1</f>
        <v>0.69627272727272727</v>
      </c>
      <c r="Y118" s="303"/>
      <c r="Z118" s="303"/>
      <c r="AA118" s="303"/>
      <c r="AB118" s="303"/>
      <c r="AC118" s="303"/>
      <c r="AD118" s="303"/>
      <c r="AE118" s="303"/>
      <c r="AF118" s="303">
        <f>(110+140)*2/1000*(1+$AF$1)*K118</f>
        <v>1.2</v>
      </c>
      <c r="AG118" s="303"/>
      <c r="AH118" s="305"/>
      <c r="AI118" s="356">
        <f t="shared" si="81"/>
        <v>0.10955359999999999</v>
      </c>
    </row>
    <row r="119" spans="1:35" s="109" customFormat="1" ht="36" customHeight="1" x14ac:dyDescent="0.25">
      <c r="A119" s="124">
        <v>1</v>
      </c>
      <c r="B119" s="124" t="s">
        <v>181</v>
      </c>
      <c r="C119" s="102">
        <v>8</v>
      </c>
      <c r="D119" s="102"/>
      <c r="E119" s="102"/>
      <c r="F119" s="102"/>
      <c r="G119" s="102" t="s">
        <v>181</v>
      </c>
      <c r="H119" s="102" t="s">
        <v>22</v>
      </c>
      <c r="I119" s="103" t="s">
        <v>344</v>
      </c>
      <c r="J119" s="102">
        <f>VLOOKUP(G119,'Customer Data '!$B$1:$D$14,3,0)</f>
        <v>1</v>
      </c>
      <c r="K119" s="104">
        <f>J119</f>
        <v>1</v>
      </c>
      <c r="L119" s="105"/>
      <c r="M119" s="105">
        <v>113.7</v>
      </c>
      <c r="N119" s="105">
        <f>M119*K119</f>
        <v>113.7</v>
      </c>
      <c r="O119" s="123" t="s">
        <v>251</v>
      </c>
      <c r="P119" s="108"/>
      <c r="Q119" s="128"/>
      <c r="R119" s="106"/>
      <c r="S119" s="102"/>
      <c r="T119" s="102"/>
      <c r="U119" s="105"/>
      <c r="V119" s="105">
        <f>SUM(V120:V127)</f>
        <v>137.03074000000001</v>
      </c>
      <c r="W119" s="107"/>
      <c r="X119" s="105">
        <f>SUMPRODUCT(X120:X127,$K$120:$K$127)</f>
        <v>54</v>
      </c>
      <c r="Y119" s="105">
        <f>SUM(Y120:Y127)</f>
        <v>0</v>
      </c>
      <c r="Z119" s="105">
        <f>SUMPRODUCT(Z120:Z127,$K$120:$K$127)</f>
        <v>0</v>
      </c>
      <c r="AA119" s="105"/>
      <c r="AB119" s="105">
        <f>SUMPRODUCT(AB120:AB127,$K$120:$K$127)</f>
        <v>14</v>
      </c>
      <c r="AC119" s="105">
        <f>SUM(AC120:AC127)</f>
        <v>128.33333333333331</v>
      </c>
      <c r="AD119" s="105" t="s">
        <v>301</v>
      </c>
      <c r="AE119" s="105"/>
      <c r="AF119" s="105">
        <f>200*25/1000*(1+$AF$1)*K119</f>
        <v>6</v>
      </c>
      <c r="AG119" s="105"/>
      <c r="AH119" s="108"/>
      <c r="AI119" s="105">
        <f>SUM(AI120:AI127)</f>
        <v>4.1539149999999987</v>
      </c>
    </row>
    <row r="120" spans="1:35" s="306" customFormat="1" ht="36" customHeight="1" x14ac:dyDescent="0.25">
      <c r="A120" s="300">
        <v>2</v>
      </c>
      <c r="B120" s="300" t="s">
        <v>181</v>
      </c>
      <c r="C120" s="300"/>
      <c r="D120" s="300">
        <v>8.1</v>
      </c>
      <c r="E120" s="300"/>
      <c r="F120" s="300"/>
      <c r="G120" s="300"/>
      <c r="H120" s="300"/>
      <c r="I120" s="301" t="s">
        <v>345</v>
      </c>
      <c r="J120" s="300">
        <v>1</v>
      </c>
      <c r="K120" s="302">
        <f>J120*$K$119</f>
        <v>1</v>
      </c>
      <c r="L120" s="302"/>
      <c r="M120" s="303">
        <f>7.07*U120/1000</f>
        <v>86.162089999999992</v>
      </c>
      <c r="N120" s="303">
        <f t="shared" ref="N120:N127" si="85">M120*K120</f>
        <v>86.162089999999992</v>
      </c>
      <c r="O120" s="304" t="s">
        <v>329</v>
      </c>
      <c r="P120" s="305" t="s">
        <v>305</v>
      </c>
      <c r="Q120" s="110" t="s">
        <v>540</v>
      </c>
      <c r="R120" s="145"/>
      <c r="S120" s="110" t="s">
        <v>500</v>
      </c>
      <c r="T120" s="300"/>
      <c r="U120" s="480">
        <v>12187</v>
      </c>
      <c r="V120" s="113">
        <f t="shared" ref="V120:V127" si="86">M120*K120*(1+$V$1)</f>
        <v>94.778299000000004</v>
      </c>
      <c r="W120" s="303"/>
      <c r="X120" s="303">
        <v>2</v>
      </c>
      <c r="Y120" s="303"/>
      <c r="Z120" s="303"/>
      <c r="AA120" s="303"/>
      <c r="AB120" s="303">
        <v>2</v>
      </c>
      <c r="AC120" s="303">
        <f t="shared" ref="AC120:AC122" si="87">AB120*($AC$1/60)*K120</f>
        <v>18.333333333333332</v>
      </c>
      <c r="AD120" s="303"/>
      <c r="AE120" s="303"/>
      <c r="AF120" s="303"/>
      <c r="AG120" s="113" t="s">
        <v>541</v>
      </c>
      <c r="AH120" s="305"/>
      <c r="AI120" s="303">
        <f>0.205*(U120/1000)*K120*(1+$AI$1)</f>
        <v>2.873085249999999</v>
      </c>
    </row>
    <row r="121" spans="1:35" s="306" customFormat="1" ht="36" customHeight="1" x14ac:dyDescent="0.25">
      <c r="A121" s="300">
        <v>3</v>
      </c>
      <c r="B121" s="300" t="s">
        <v>181</v>
      </c>
      <c r="C121" s="300"/>
      <c r="D121" s="300">
        <v>8.1999999999999993</v>
      </c>
      <c r="E121" s="300"/>
      <c r="F121" s="300"/>
      <c r="G121" s="300"/>
      <c r="H121" s="300"/>
      <c r="I121" s="301" t="s">
        <v>346</v>
      </c>
      <c r="J121" s="300">
        <v>2</v>
      </c>
      <c r="K121" s="302">
        <f t="shared" ref="K121:K127" si="88">J121*$K$119</f>
        <v>2</v>
      </c>
      <c r="L121" s="302"/>
      <c r="M121" s="303">
        <f t="shared" ref="M121:M127" si="89">7.07*U121/1000</f>
        <v>1.5483300000000002</v>
      </c>
      <c r="N121" s="303">
        <f t="shared" si="85"/>
        <v>3.0966600000000004</v>
      </c>
      <c r="O121" s="304" t="s">
        <v>329</v>
      </c>
      <c r="P121" s="305" t="s">
        <v>305</v>
      </c>
      <c r="Q121" s="110" t="s">
        <v>540</v>
      </c>
      <c r="R121" s="145"/>
      <c r="S121" s="110" t="s">
        <v>500</v>
      </c>
      <c r="T121" s="300"/>
      <c r="U121" s="307">
        <v>219</v>
      </c>
      <c r="V121" s="113">
        <f t="shared" si="86"/>
        <v>3.4063260000000009</v>
      </c>
      <c r="W121" s="303"/>
      <c r="X121" s="303">
        <v>2</v>
      </c>
      <c r="Y121" s="303"/>
      <c r="Z121" s="303"/>
      <c r="AA121" s="303"/>
      <c r="AB121" s="303">
        <v>2</v>
      </c>
      <c r="AC121" s="303">
        <f t="shared" si="87"/>
        <v>36.666666666666664</v>
      </c>
      <c r="AD121" s="303"/>
      <c r="AE121" s="303"/>
      <c r="AF121" s="303"/>
      <c r="AG121" s="113" t="s">
        <v>541</v>
      </c>
      <c r="AH121" s="305"/>
      <c r="AI121" s="303">
        <f t="shared" ref="AI121:AI127" si="90">0.205*(U121/1000)*K121*(1+$AI$1)</f>
        <v>0.10325849999999999</v>
      </c>
    </row>
    <row r="122" spans="1:35" s="306" customFormat="1" ht="36" customHeight="1" x14ac:dyDescent="0.25">
      <c r="A122" s="300">
        <v>4</v>
      </c>
      <c r="B122" s="300" t="s">
        <v>181</v>
      </c>
      <c r="C122" s="300"/>
      <c r="D122" s="300">
        <v>8.3000000000000007</v>
      </c>
      <c r="E122" s="300"/>
      <c r="F122" s="300"/>
      <c r="G122" s="300"/>
      <c r="H122" s="300"/>
      <c r="I122" s="301" t="s">
        <v>347</v>
      </c>
      <c r="J122" s="300">
        <v>2</v>
      </c>
      <c r="K122" s="302">
        <f t="shared" si="88"/>
        <v>2</v>
      </c>
      <c r="L122" s="302"/>
      <c r="M122" s="303">
        <f t="shared" si="89"/>
        <v>0.61509000000000003</v>
      </c>
      <c r="N122" s="303">
        <f t="shared" si="85"/>
        <v>1.2301800000000001</v>
      </c>
      <c r="O122" s="304" t="s">
        <v>329</v>
      </c>
      <c r="P122" s="305" t="s">
        <v>305</v>
      </c>
      <c r="Q122" s="110" t="s">
        <v>540</v>
      </c>
      <c r="R122" s="145"/>
      <c r="S122" s="110" t="s">
        <v>500</v>
      </c>
      <c r="T122" s="300"/>
      <c r="U122" s="307">
        <v>87</v>
      </c>
      <c r="V122" s="113">
        <f t="shared" si="86"/>
        <v>1.3531980000000001</v>
      </c>
      <c r="W122" s="303"/>
      <c r="X122" s="303">
        <v>2</v>
      </c>
      <c r="Y122" s="303"/>
      <c r="Z122" s="303"/>
      <c r="AA122" s="303"/>
      <c r="AB122" s="303">
        <v>2</v>
      </c>
      <c r="AC122" s="303">
        <f t="shared" si="87"/>
        <v>36.666666666666664</v>
      </c>
      <c r="AD122" s="303"/>
      <c r="AE122" s="303"/>
      <c r="AF122" s="303"/>
      <c r="AG122" s="113" t="s">
        <v>541</v>
      </c>
      <c r="AH122" s="305"/>
      <c r="AI122" s="303">
        <f t="shared" si="90"/>
        <v>4.1020499999999988E-2</v>
      </c>
    </row>
    <row r="123" spans="1:35" s="306" customFormat="1" ht="36" customHeight="1" x14ac:dyDescent="0.25">
      <c r="A123" s="300">
        <v>5</v>
      </c>
      <c r="B123" s="300" t="s">
        <v>181</v>
      </c>
      <c r="C123" s="300"/>
      <c r="D123" s="300">
        <v>8.4</v>
      </c>
      <c r="E123" s="300"/>
      <c r="F123" s="300"/>
      <c r="G123" s="300"/>
      <c r="H123" s="300"/>
      <c r="I123" s="301" t="s">
        <v>348</v>
      </c>
      <c r="J123" s="300">
        <v>17</v>
      </c>
      <c r="K123" s="302">
        <f t="shared" si="88"/>
        <v>17</v>
      </c>
      <c r="L123" s="302"/>
      <c r="M123" s="303">
        <f t="shared" si="89"/>
        <v>1.3503700000000001</v>
      </c>
      <c r="N123" s="303">
        <f t="shared" si="85"/>
        <v>22.956290000000003</v>
      </c>
      <c r="O123" s="304" t="s">
        <v>329</v>
      </c>
      <c r="P123" s="305" t="s">
        <v>305</v>
      </c>
      <c r="Q123" s="110" t="s">
        <v>540</v>
      </c>
      <c r="R123" s="145"/>
      <c r="S123" s="110" t="s">
        <v>500</v>
      </c>
      <c r="T123" s="300"/>
      <c r="U123" s="307">
        <v>191</v>
      </c>
      <c r="V123" s="113">
        <f t="shared" si="86"/>
        <v>25.251919000000004</v>
      </c>
      <c r="W123" s="303"/>
      <c r="X123" s="303">
        <v>2</v>
      </c>
      <c r="Y123" s="303"/>
      <c r="Z123" s="303"/>
      <c r="AA123" s="303"/>
      <c r="AB123" s="303"/>
      <c r="AC123" s="303"/>
      <c r="AD123" s="303"/>
      <c r="AE123" s="303"/>
      <c r="AF123" s="303"/>
      <c r="AG123" s="113" t="s">
        <v>541</v>
      </c>
      <c r="AH123" s="305"/>
      <c r="AI123" s="303">
        <f t="shared" si="90"/>
        <v>0.76548024999999986</v>
      </c>
    </row>
    <row r="124" spans="1:35" s="306" customFormat="1" ht="36" customHeight="1" x14ac:dyDescent="0.25">
      <c r="A124" s="300">
        <v>6</v>
      </c>
      <c r="B124" s="300" t="s">
        <v>181</v>
      </c>
      <c r="C124" s="300"/>
      <c r="D124" s="300">
        <v>8.5</v>
      </c>
      <c r="E124" s="300"/>
      <c r="F124" s="300"/>
      <c r="G124" s="300"/>
      <c r="H124" s="300"/>
      <c r="I124" s="301" t="s">
        <v>349</v>
      </c>
      <c r="J124" s="300">
        <v>2</v>
      </c>
      <c r="K124" s="302">
        <f t="shared" si="88"/>
        <v>2</v>
      </c>
      <c r="L124" s="302"/>
      <c r="M124" s="303">
        <f t="shared" si="89"/>
        <v>2.8067899999999999</v>
      </c>
      <c r="N124" s="303">
        <f t="shared" si="85"/>
        <v>5.6135799999999998</v>
      </c>
      <c r="O124" s="304" t="s">
        <v>329</v>
      </c>
      <c r="P124" s="305" t="s">
        <v>305</v>
      </c>
      <c r="Q124" s="110" t="s">
        <v>540</v>
      </c>
      <c r="R124" s="145"/>
      <c r="S124" s="110" t="s">
        <v>500</v>
      </c>
      <c r="T124" s="300"/>
      <c r="U124" s="307">
        <v>397</v>
      </c>
      <c r="V124" s="113">
        <f t="shared" si="86"/>
        <v>6.174938</v>
      </c>
      <c r="W124" s="303"/>
      <c r="X124" s="303">
        <v>2</v>
      </c>
      <c r="Y124" s="303"/>
      <c r="Z124" s="303"/>
      <c r="AA124" s="303"/>
      <c r="AB124" s="303"/>
      <c r="AC124" s="303"/>
      <c r="AD124" s="303"/>
      <c r="AE124" s="303"/>
      <c r="AF124" s="303"/>
      <c r="AG124" s="113" t="s">
        <v>541</v>
      </c>
      <c r="AH124" s="305"/>
      <c r="AI124" s="303">
        <f t="shared" si="90"/>
        <v>0.18718549999999998</v>
      </c>
    </row>
    <row r="125" spans="1:35" s="306" customFormat="1" ht="36" customHeight="1" x14ac:dyDescent="0.25">
      <c r="A125" s="300">
        <v>7</v>
      </c>
      <c r="B125" s="300" t="s">
        <v>181</v>
      </c>
      <c r="C125" s="300"/>
      <c r="D125" s="300">
        <v>8.6</v>
      </c>
      <c r="E125" s="300"/>
      <c r="F125" s="300"/>
      <c r="G125" s="300"/>
      <c r="H125" s="300"/>
      <c r="I125" s="301" t="s">
        <v>350</v>
      </c>
      <c r="J125" s="300">
        <v>1</v>
      </c>
      <c r="K125" s="302">
        <f t="shared" si="88"/>
        <v>1</v>
      </c>
      <c r="L125" s="302"/>
      <c r="M125" s="303">
        <f t="shared" si="89"/>
        <v>2.8987000000000003</v>
      </c>
      <c r="N125" s="303">
        <f t="shared" si="85"/>
        <v>2.8987000000000003</v>
      </c>
      <c r="O125" s="304" t="s">
        <v>329</v>
      </c>
      <c r="P125" s="305" t="s">
        <v>305</v>
      </c>
      <c r="Q125" s="110" t="s">
        <v>540</v>
      </c>
      <c r="R125" s="145"/>
      <c r="S125" s="110" t="s">
        <v>500</v>
      </c>
      <c r="T125" s="300"/>
      <c r="U125" s="307">
        <v>410</v>
      </c>
      <c r="V125" s="113">
        <f t="shared" si="86"/>
        <v>3.1885700000000003</v>
      </c>
      <c r="W125" s="303"/>
      <c r="X125" s="303">
        <v>2</v>
      </c>
      <c r="Y125" s="303"/>
      <c r="Z125" s="303"/>
      <c r="AA125" s="303"/>
      <c r="AB125" s="303">
        <v>2</v>
      </c>
      <c r="AC125" s="303">
        <f>AB125*($AC$1/60)*K125</f>
        <v>18.333333333333332</v>
      </c>
      <c r="AD125" s="303"/>
      <c r="AE125" s="303"/>
      <c r="AF125" s="303"/>
      <c r="AG125" s="113" t="s">
        <v>541</v>
      </c>
      <c r="AH125" s="305"/>
      <c r="AI125" s="303">
        <f t="shared" si="90"/>
        <v>9.665749999999998E-2</v>
      </c>
    </row>
    <row r="126" spans="1:35" s="306" customFormat="1" ht="36" customHeight="1" x14ac:dyDescent="0.25">
      <c r="A126" s="300">
        <v>8</v>
      </c>
      <c r="B126" s="300" t="s">
        <v>181</v>
      </c>
      <c r="C126" s="300"/>
      <c r="D126" s="300">
        <v>8.6999999999999993</v>
      </c>
      <c r="E126" s="300"/>
      <c r="F126" s="300"/>
      <c r="G126" s="300"/>
      <c r="H126" s="300"/>
      <c r="I126" s="301" t="s">
        <v>351</v>
      </c>
      <c r="J126" s="300">
        <v>1</v>
      </c>
      <c r="K126" s="302">
        <f t="shared" si="88"/>
        <v>1</v>
      </c>
      <c r="L126" s="302"/>
      <c r="M126" s="303">
        <f t="shared" si="89"/>
        <v>0.36057</v>
      </c>
      <c r="N126" s="303">
        <f t="shared" si="85"/>
        <v>0.36057</v>
      </c>
      <c r="O126" s="304" t="s">
        <v>329</v>
      </c>
      <c r="P126" s="305" t="s">
        <v>305</v>
      </c>
      <c r="Q126" s="110" t="s">
        <v>540</v>
      </c>
      <c r="R126" s="145"/>
      <c r="S126" s="110" t="s">
        <v>500</v>
      </c>
      <c r="T126" s="300"/>
      <c r="U126" s="307">
        <v>51</v>
      </c>
      <c r="V126" s="113">
        <f t="shared" si="86"/>
        <v>0.39662700000000001</v>
      </c>
      <c r="W126" s="303"/>
      <c r="X126" s="303">
        <v>2</v>
      </c>
      <c r="Y126" s="303"/>
      <c r="Z126" s="303"/>
      <c r="AA126" s="303"/>
      <c r="AB126" s="303"/>
      <c r="AC126" s="303"/>
      <c r="AD126" s="303"/>
      <c r="AE126" s="303"/>
      <c r="AF126" s="303"/>
      <c r="AG126" s="113" t="s">
        <v>541</v>
      </c>
      <c r="AH126" s="305"/>
      <c r="AI126" s="303">
        <f t="shared" si="90"/>
        <v>1.2023249999999997E-2</v>
      </c>
    </row>
    <row r="127" spans="1:35" s="306" customFormat="1" ht="36" customHeight="1" x14ac:dyDescent="0.25">
      <c r="A127" s="300">
        <v>9</v>
      </c>
      <c r="B127" s="300" t="s">
        <v>181</v>
      </c>
      <c r="C127" s="300"/>
      <c r="D127" s="300">
        <v>8.8000000000000007</v>
      </c>
      <c r="E127" s="300"/>
      <c r="F127" s="300"/>
      <c r="G127" s="300"/>
      <c r="H127" s="300"/>
      <c r="I127" s="301" t="s">
        <v>352</v>
      </c>
      <c r="J127" s="300">
        <v>1</v>
      </c>
      <c r="K127" s="302">
        <f t="shared" si="88"/>
        <v>1</v>
      </c>
      <c r="L127" s="302"/>
      <c r="M127" s="303">
        <f t="shared" si="89"/>
        <v>2.2553299999999998</v>
      </c>
      <c r="N127" s="303">
        <f t="shared" si="85"/>
        <v>2.2553299999999998</v>
      </c>
      <c r="O127" s="304" t="s">
        <v>329</v>
      </c>
      <c r="P127" s="305" t="s">
        <v>305</v>
      </c>
      <c r="Q127" s="110" t="s">
        <v>540</v>
      </c>
      <c r="R127" s="145"/>
      <c r="S127" s="110" t="s">
        <v>500</v>
      </c>
      <c r="T127" s="300"/>
      <c r="U127" s="307">
        <v>319</v>
      </c>
      <c r="V127" s="113">
        <f t="shared" si="86"/>
        <v>2.4808629999999998</v>
      </c>
      <c r="W127" s="303"/>
      <c r="X127" s="303">
        <v>2</v>
      </c>
      <c r="Y127" s="303"/>
      <c r="Z127" s="303"/>
      <c r="AA127" s="303"/>
      <c r="AB127" s="303">
        <v>2</v>
      </c>
      <c r="AC127" s="303">
        <f>AB127*($AC$1/60)*K127</f>
        <v>18.333333333333332</v>
      </c>
      <c r="AD127" s="303"/>
      <c r="AE127" s="303"/>
      <c r="AF127" s="303"/>
      <c r="AG127" s="113" t="s">
        <v>541</v>
      </c>
      <c r="AH127" s="305"/>
      <c r="AI127" s="303">
        <f t="shared" si="90"/>
        <v>7.5204249999999986E-2</v>
      </c>
    </row>
    <row r="128" spans="1:35" s="109" customFormat="1" ht="36" customHeight="1" x14ac:dyDescent="0.25">
      <c r="A128" s="124">
        <v>1</v>
      </c>
      <c r="B128" s="124" t="s">
        <v>183</v>
      </c>
      <c r="C128" s="102">
        <v>9</v>
      </c>
      <c r="D128" s="102"/>
      <c r="E128" s="102"/>
      <c r="F128" s="102"/>
      <c r="G128" s="102" t="s">
        <v>183</v>
      </c>
      <c r="H128" s="102" t="s">
        <v>22</v>
      </c>
      <c r="I128" s="103" t="s">
        <v>353</v>
      </c>
      <c r="J128" s="102">
        <f>VLOOKUP(G128,'Customer Data '!$B$1:$D$14,3,0)</f>
        <v>1</v>
      </c>
      <c r="K128" s="104">
        <f>J128</f>
        <v>1</v>
      </c>
      <c r="L128" s="105"/>
      <c r="M128" s="105">
        <v>363</v>
      </c>
      <c r="N128" s="105">
        <f>M128*K128</f>
        <v>363</v>
      </c>
      <c r="O128" s="123" t="s">
        <v>251</v>
      </c>
      <c r="P128" s="108"/>
      <c r="Q128" s="128"/>
      <c r="R128" s="106"/>
      <c r="S128" s="102"/>
      <c r="T128" s="102"/>
      <c r="U128" s="105"/>
      <c r="V128" s="105">
        <f>SUM(V129:V144)</f>
        <v>676.85076646000027</v>
      </c>
      <c r="W128" s="107"/>
      <c r="X128" s="105">
        <f>SUMPRODUCT($K$129:$K$144,X129:X144)</f>
        <v>37.58327692307693</v>
      </c>
      <c r="Y128" s="105">
        <f>SUM(Y129:Y144)</f>
        <v>0</v>
      </c>
      <c r="Z128" s="105">
        <f>SUMPRODUCT($K$129:$K$144,Z129:Z144)</f>
        <v>0</v>
      </c>
      <c r="AA128" s="105"/>
      <c r="AB128" s="105">
        <f>SUMPRODUCT($K$129:$K$144,AB129:AB144)</f>
        <v>180</v>
      </c>
      <c r="AC128" s="105">
        <f>SUM(AC129:AC144)</f>
        <v>1466.6666666666665</v>
      </c>
      <c r="AD128" s="105" t="s">
        <v>301</v>
      </c>
      <c r="AE128" s="105"/>
      <c r="AF128" s="105"/>
      <c r="AG128" s="105"/>
      <c r="AH128" s="108"/>
      <c r="AI128" s="105">
        <f>SUM(AI129:AI144)</f>
        <v>10.366095859999998</v>
      </c>
    </row>
    <row r="129" spans="1:35" s="306" customFormat="1" ht="36" customHeight="1" x14ac:dyDescent="0.25">
      <c r="A129" s="300">
        <v>2</v>
      </c>
      <c r="B129" s="300" t="s">
        <v>183</v>
      </c>
      <c r="C129" s="300"/>
      <c r="D129" s="300">
        <v>9.1</v>
      </c>
      <c r="E129" s="300"/>
      <c r="F129" s="300"/>
      <c r="G129" s="300" t="s">
        <v>354</v>
      </c>
      <c r="H129" s="300"/>
      <c r="I129" s="301" t="s">
        <v>355</v>
      </c>
      <c r="J129" s="300">
        <v>1</v>
      </c>
      <c r="K129" s="302">
        <f>J129*$K$128</f>
        <v>1</v>
      </c>
      <c r="L129" s="302"/>
      <c r="M129" s="302">
        <v>177</v>
      </c>
      <c r="N129" s="303">
        <f t="shared" ref="N129:N144" si="91">M129*K129</f>
        <v>177</v>
      </c>
      <c r="O129" s="123" t="s">
        <v>252</v>
      </c>
      <c r="P129" s="116" t="s">
        <v>215</v>
      </c>
      <c r="Q129" s="300"/>
      <c r="R129" s="145"/>
      <c r="S129" s="300"/>
      <c r="T129" s="300"/>
      <c r="U129" s="307"/>
      <c r="V129" s="303"/>
      <c r="W129" s="303"/>
      <c r="X129" s="303"/>
      <c r="Y129" s="303"/>
      <c r="Z129" s="303"/>
      <c r="AA129" s="303"/>
      <c r="AB129" s="303">
        <v>160</v>
      </c>
      <c r="AC129" s="303">
        <f>AB129*($AC$1/60)*K129</f>
        <v>1466.6666666666665</v>
      </c>
      <c r="AD129" s="303"/>
      <c r="AE129" s="303"/>
      <c r="AF129" s="303"/>
      <c r="AG129" s="303"/>
      <c r="AH129" s="305"/>
      <c r="AI129" s="303"/>
    </row>
    <row r="130" spans="1:35" s="306" customFormat="1" ht="36" customHeight="1" x14ac:dyDescent="0.25">
      <c r="A130" s="300">
        <v>3</v>
      </c>
      <c r="B130" s="300" t="s">
        <v>183</v>
      </c>
      <c r="C130" s="300"/>
      <c r="D130" s="300"/>
      <c r="E130" s="300" t="s">
        <v>574</v>
      </c>
      <c r="F130" s="300"/>
      <c r="G130" s="300"/>
      <c r="H130" s="300"/>
      <c r="I130" s="301" t="s">
        <v>356</v>
      </c>
      <c r="J130" s="300">
        <v>1</v>
      </c>
      <c r="K130" s="302">
        <f>J130*$K$129</f>
        <v>1</v>
      </c>
      <c r="L130" s="302"/>
      <c r="M130" s="303">
        <f>S130*T130*U130*0.00000785*(1-10%)</f>
        <v>6.1268810399999998</v>
      </c>
      <c r="N130" s="303">
        <f t="shared" si="91"/>
        <v>6.1268810399999998</v>
      </c>
      <c r="O130" s="304" t="s">
        <v>21</v>
      </c>
      <c r="P130" s="305" t="s">
        <v>357</v>
      </c>
      <c r="Q130" s="116" t="s">
        <v>573</v>
      </c>
      <c r="R130" s="145"/>
      <c r="S130" s="300">
        <v>12</v>
      </c>
      <c r="T130" s="300">
        <v>203</v>
      </c>
      <c r="U130" s="307">
        <v>356</v>
      </c>
      <c r="V130" s="113">
        <f t="shared" ref="V130:V140" si="92">S130*T130*U130*0.00000785*(1+$V$1)*K130</f>
        <v>7.4884101600000008</v>
      </c>
      <c r="W130" s="113">
        <f t="shared" ref="W130:W140" si="93">((T130+U130)*2*(1+$W$1))/1000</f>
        <v>1.2856999999999998</v>
      </c>
      <c r="X130" s="113">
        <f>W130/1.1</f>
        <v>1.1688181818181815</v>
      </c>
      <c r="Y130" s="303"/>
      <c r="Z130" s="303"/>
      <c r="AA130" s="303"/>
      <c r="AB130" s="303"/>
      <c r="AC130" s="303"/>
      <c r="AD130" s="303"/>
      <c r="AE130" s="303"/>
      <c r="AF130" s="303"/>
      <c r="AG130" s="303"/>
      <c r="AH130" s="305"/>
      <c r="AI130" s="356">
        <f t="shared" ref="AI130:AI140" si="94">(T130*U130*2)/1000000*(1+$AI$1)*K130</f>
        <v>0.16621639999999999</v>
      </c>
    </row>
    <row r="131" spans="1:35" s="306" customFormat="1" ht="36" customHeight="1" x14ac:dyDescent="0.25">
      <c r="A131" s="300">
        <v>4</v>
      </c>
      <c r="B131" s="300" t="s">
        <v>183</v>
      </c>
      <c r="C131" s="300"/>
      <c r="D131" s="300"/>
      <c r="E131" s="300" t="s">
        <v>575</v>
      </c>
      <c r="F131" s="300"/>
      <c r="G131" s="300"/>
      <c r="H131" s="300"/>
      <c r="I131" s="301" t="s">
        <v>358</v>
      </c>
      <c r="J131" s="300">
        <v>2</v>
      </c>
      <c r="K131" s="302">
        <f t="shared" ref="K131:K134" si="95">J131*$K$129</f>
        <v>2</v>
      </c>
      <c r="L131" s="302"/>
      <c r="M131" s="303">
        <f>S131*T131*U131*0.00000785*(1-52%)</f>
        <v>54.152188799999998</v>
      </c>
      <c r="N131" s="303">
        <f t="shared" si="91"/>
        <v>108.3043776</v>
      </c>
      <c r="O131" s="304" t="s">
        <v>21</v>
      </c>
      <c r="P131" s="305" t="s">
        <v>357</v>
      </c>
      <c r="Q131" s="116" t="s">
        <v>573</v>
      </c>
      <c r="R131" s="145"/>
      <c r="S131" s="300">
        <v>20</v>
      </c>
      <c r="T131" s="300">
        <v>610</v>
      </c>
      <c r="U131" s="307">
        <v>1178</v>
      </c>
      <c r="V131" s="113">
        <f t="shared" si="92"/>
        <v>248.19753200000002</v>
      </c>
      <c r="W131" s="113">
        <f t="shared" si="93"/>
        <v>4.1124000000000001</v>
      </c>
      <c r="X131" s="113">
        <f t="shared" ref="X131:X132" si="96">W131/1.5</f>
        <v>2.7416</v>
      </c>
      <c r="Y131" s="303"/>
      <c r="Z131" s="303"/>
      <c r="AA131" s="303"/>
      <c r="AB131" s="303"/>
      <c r="AC131" s="303"/>
      <c r="AD131" s="303"/>
      <c r="AE131" s="303"/>
      <c r="AF131" s="303"/>
      <c r="AG131" s="303"/>
      <c r="AH131" s="305"/>
      <c r="AI131" s="356">
        <f t="shared" si="94"/>
        <v>3.3054679999999999</v>
      </c>
    </row>
    <row r="132" spans="1:35" s="306" customFormat="1" ht="36" customHeight="1" x14ac:dyDescent="0.25">
      <c r="A132" s="300">
        <v>5</v>
      </c>
      <c r="B132" s="300" t="s">
        <v>183</v>
      </c>
      <c r="C132" s="300"/>
      <c r="D132" s="300"/>
      <c r="E132" s="300" t="s">
        <v>576</v>
      </c>
      <c r="F132" s="300"/>
      <c r="G132" s="300"/>
      <c r="H132" s="300"/>
      <c r="I132" s="301" t="s">
        <v>359</v>
      </c>
      <c r="J132" s="300">
        <v>1</v>
      </c>
      <c r="K132" s="302">
        <f t="shared" si="95"/>
        <v>1</v>
      </c>
      <c r="L132" s="302"/>
      <c r="M132" s="303">
        <f>S132*T132*U132*0.00000785*(1-52%)</f>
        <v>60.587932799999997</v>
      </c>
      <c r="N132" s="303">
        <f t="shared" si="91"/>
        <v>60.587932799999997</v>
      </c>
      <c r="O132" s="304" t="s">
        <v>21</v>
      </c>
      <c r="P132" s="305" t="s">
        <v>357</v>
      </c>
      <c r="Q132" s="116" t="s">
        <v>573</v>
      </c>
      <c r="R132" s="145"/>
      <c r="S132" s="300">
        <v>20</v>
      </c>
      <c r="T132" s="300">
        <v>610</v>
      </c>
      <c r="U132" s="307">
        <v>1318</v>
      </c>
      <c r="V132" s="113">
        <f t="shared" si="92"/>
        <v>138.84734600000002</v>
      </c>
      <c r="W132" s="113">
        <f t="shared" si="93"/>
        <v>4.4343999999999992</v>
      </c>
      <c r="X132" s="113">
        <f t="shared" si="96"/>
        <v>2.9562666666666662</v>
      </c>
      <c r="Y132" s="303"/>
      <c r="Z132" s="303"/>
      <c r="AA132" s="303"/>
      <c r="AB132" s="303"/>
      <c r="AC132" s="303"/>
      <c r="AD132" s="303"/>
      <c r="AE132" s="303"/>
      <c r="AF132" s="303"/>
      <c r="AG132" s="303"/>
      <c r="AH132" s="305"/>
      <c r="AI132" s="356">
        <f t="shared" si="94"/>
        <v>1.849154</v>
      </c>
    </row>
    <row r="133" spans="1:35" s="306" customFormat="1" ht="36" customHeight="1" x14ac:dyDescent="0.25">
      <c r="A133" s="300">
        <v>6</v>
      </c>
      <c r="B133" s="300" t="s">
        <v>183</v>
      </c>
      <c r="C133" s="300"/>
      <c r="D133" s="300"/>
      <c r="E133" s="300" t="s">
        <v>577</v>
      </c>
      <c r="F133" s="300"/>
      <c r="G133" s="300"/>
      <c r="H133" s="300"/>
      <c r="I133" s="301" t="s">
        <v>360</v>
      </c>
      <c r="J133" s="300">
        <v>3</v>
      </c>
      <c r="K133" s="302">
        <f t="shared" si="95"/>
        <v>3</v>
      </c>
      <c r="L133" s="302"/>
      <c r="M133" s="303">
        <f>S133*T133*U133*0.00000785*(1-10%)</f>
        <v>1.3187528999999998</v>
      </c>
      <c r="N133" s="303">
        <f t="shared" si="91"/>
        <v>3.9562586999999994</v>
      </c>
      <c r="O133" s="304" t="s">
        <v>21</v>
      </c>
      <c r="P133" s="305" t="s">
        <v>357</v>
      </c>
      <c r="Q133" s="116" t="s">
        <v>573</v>
      </c>
      <c r="R133" s="145"/>
      <c r="S133" s="300">
        <v>12</v>
      </c>
      <c r="T133" s="300">
        <v>51</v>
      </c>
      <c r="U133" s="307">
        <v>305</v>
      </c>
      <c r="V133" s="113">
        <f t="shared" si="92"/>
        <v>4.8354272999999992</v>
      </c>
      <c r="W133" s="113">
        <f t="shared" si="93"/>
        <v>0.81879999999999997</v>
      </c>
      <c r="X133" s="113">
        <f t="shared" ref="X133:X137" si="97">W133/1.1</f>
        <v>0.74436363636363623</v>
      </c>
      <c r="Y133" s="303"/>
      <c r="Z133" s="303"/>
      <c r="AA133" s="303"/>
      <c r="AB133" s="303"/>
      <c r="AC133" s="303"/>
      <c r="AD133" s="303"/>
      <c r="AE133" s="303"/>
      <c r="AF133" s="303"/>
      <c r="AG133" s="303"/>
      <c r="AH133" s="305"/>
      <c r="AI133" s="356">
        <f t="shared" si="94"/>
        <v>0.10732949999999999</v>
      </c>
    </row>
    <row r="134" spans="1:35" s="306" customFormat="1" ht="36" customHeight="1" x14ac:dyDescent="0.25">
      <c r="A134" s="300">
        <v>7</v>
      </c>
      <c r="B134" s="300" t="s">
        <v>183</v>
      </c>
      <c r="C134" s="300"/>
      <c r="D134" s="300"/>
      <c r="E134" s="300" t="s">
        <v>578</v>
      </c>
      <c r="F134" s="300"/>
      <c r="G134" s="300"/>
      <c r="H134" s="300"/>
      <c r="I134" s="301" t="s">
        <v>361</v>
      </c>
      <c r="J134" s="300">
        <v>2</v>
      </c>
      <c r="K134" s="302">
        <f t="shared" si="95"/>
        <v>2</v>
      </c>
      <c r="L134" s="302"/>
      <c r="M134" s="303">
        <f>S134*T134*U134*0.00000785*(1-10%)</f>
        <v>0.88205111999999997</v>
      </c>
      <c r="N134" s="303">
        <f t="shared" si="91"/>
        <v>1.7641022399999999</v>
      </c>
      <c r="O134" s="304" t="s">
        <v>21</v>
      </c>
      <c r="P134" s="305" t="s">
        <v>357</v>
      </c>
      <c r="Q134" s="116" t="s">
        <v>573</v>
      </c>
      <c r="R134" s="145"/>
      <c r="S134" s="300">
        <v>12</v>
      </c>
      <c r="T134" s="300">
        <v>102</v>
      </c>
      <c r="U134" s="300">
        <v>102</v>
      </c>
      <c r="V134" s="113">
        <f t="shared" si="92"/>
        <v>2.1561249600000001</v>
      </c>
      <c r="W134" s="113">
        <f t="shared" si="93"/>
        <v>0.46920000000000001</v>
      </c>
      <c r="X134" s="113">
        <f t="shared" si="97"/>
        <v>0.42654545454545451</v>
      </c>
      <c r="Y134" s="303"/>
      <c r="Z134" s="303"/>
      <c r="AA134" s="303"/>
      <c r="AB134" s="303"/>
      <c r="AC134" s="303"/>
      <c r="AD134" s="303"/>
      <c r="AE134" s="303"/>
      <c r="AF134" s="303"/>
      <c r="AG134" s="303"/>
      <c r="AH134" s="305"/>
      <c r="AI134" s="356">
        <f t="shared" si="94"/>
        <v>4.7858399999999995E-2</v>
      </c>
    </row>
    <row r="135" spans="1:35" s="306" customFormat="1" ht="36" customHeight="1" x14ac:dyDescent="0.25">
      <c r="A135" s="300">
        <v>8</v>
      </c>
      <c r="B135" s="300" t="s">
        <v>183</v>
      </c>
      <c r="C135" s="300"/>
      <c r="D135" s="300">
        <v>9.1999999999999993</v>
      </c>
      <c r="E135" s="300"/>
      <c r="F135" s="300"/>
      <c r="G135" s="300" t="s">
        <v>362</v>
      </c>
      <c r="H135" s="300"/>
      <c r="I135" s="301" t="s">
        <v>363</v>
      </c>
      <c r="J135" s="300">
        <v>2</v>
      </c>
      <c r="K135" s="302">
        <f t="shared" ref="K135:K144" si="98">J135*$K$128</f>
        <v>2</v>
      </c>
      <c r="L135" s="302"/>
      <c r="M135" s="302">
        <v>15.2</v>
      </c>
      <c r="N135" s="303">
        <f t="shared" si="91"/>
        <v>30.4</v>
      </c>
      <c r="O135" s="304" t="s">
        <v>21</v>
      </c>
      <c r="P135" s="305" t="s">
        <v>202</v>
      </c>
      <c r="Q135" s="116" t="s">
        <v>573</v>
      </c>
      <c r="R135" s="145"/>
      <c r="S135" s="300">
        <v>12</v>
      </c>
      <c r="T135" s="300">
        <v>467</v>
      </c>
      <c r="U135" s="307">
        <v>513</v>
      </c>
      <c r="V135" s="113">
        <f t="shared" si="92"/>
        <v>49.648694040000002</v>
      </c>
      <c r="W135" s="113">
        <f t="shared" si="93"/>
        <v>2.254</v>
      </c>
      <c r="X135" s="113">
        <f t="shared" si="97"/>
        <v>2.0490909090909089</v>
      </c>
      <c r="Y135" s="303"/>
      <c r="Z135" s="303"/>
      <c r="AA135" s="303"/>
      <c r="AB135" s="303"/>
      <c r="AC135" s="303"/>
      <c r="AD135" s="303"/>
      <c r="AE135" s="303"/>
      <c r="AF135" s="303"/>
      <c r="AG135" s="303"/>
      <c r="AH135" s="305"/>
      <c r="AI135" s="356">
        <f t="shared" si="94"/>
        <v>1.1020265999999999</v>
      </c>
    </row>
    <row r="136" spans="1:35" s="306" customFormat="1" ht="36" customHeight="1" x14ac:dyDescent="0.25">
      <c r="A136" s="300">
        <v>9</v>
      </c>
      <c r="B136" s="300" t="s">
        <v>183</v>
      </c>
      <c r="C136" s="300"/>
      <c r="D136" s="300">
        <v>9.3000000000000007</v>
      </c>
      <c r="E136" s="300"/>
      <c r="F136" s="300"/>
      <c r="G136" s="300" t="s">
        <v>364</v>
      </c>
      <c r="H136" s="300"/>
      <c r="I136" s="301" t="s">
        <v>365</v>
      </c>
      <c r="J136" s="300">
        <v>2</v>
      </c>
      <c r="K136" s="302">
        <f t="shared" si="98"/>
        <v>2</v>
      </c>
      <c r="L136" s="302"/>
      <c r="M136" s="302">
        <v>4.4000000000000004</v>
      </c>
      <c r="N136" s="303">
        <f t="shared" si="91"/>
        <v>8.8000000000000007</v>
      </c>
      <c r="O136" s="304" t="s">
        <v>21</v>
      </c>
      <c r="P136" s="305" t="s">
        <v>202</v>
      </c>
      <c r="Q136" s="116" t="s">
        <v>573</v>
      </c>
      <c r="R136" s="145"/>
      <c r="S136" s="300">
        <v>12</v>
      </c>
      <c r="T136" s="300">
        <v>228</v>
      </c>
      <c r="U136" s="307">
        <v>279</v>
      </c>
      <c r="V136" s="113">
        <f t="shared" si="92"/>
        <v>13.18295088</v>
      </c>
      <c r="W136" s="113">
        <f t="shared" si="93"/>
        <v>1.1660999999999999</v>
      </c>
      <c r="X136" s="113">
        <f t="shared" si="97"/>
        <v>1.060090909090909</v>
      </c>
      <c r="Y136" s="303"/>
      <c r="Z136" s="303"/>
      <c r="AA136" s="303"/>
      <c r="AB136" s="303"/>
      <c r="AC136" s="303"/>
      <c r="AD136" s="303"/>
      <c r="AE136" s="303"/>
      <c r="AF136" s="303"/>
      <c r="AG136" s="303"/>
      <c r="AH136" s="305"/>
      <c r="AI136" s="356">
        <f t="shared" si="94"/>
        <v>0.29261519999999996</v>
      </c>
    </row>
    <row r="137" spans="1:35" s="306" customFormat="1" ht="36" customHeight="1" x14ac:dyDescent="0.25">
      <c r="A137" s="300">
        <v>10</v>
      </c>
      <c r="B137" s="300" t="s">
        <v>183</v>
      </c>
      <c r="C137" s="300"/>
      <c r="D137" s="300">
        <v>9.4</v>
      </c>
      <c r="E137" s="300"/>
      <c r="F137" s="300"/>
      <c r="G137" s="300" t="s">
        <v>366</v>
      </c>
      <c r="H137" s="300"/>
      <c r="I137" s="301" t="s">
        <v>367</v>
      </c>
      <c r="J137" s="300">
        <v>2</v>
      </c>
      <c r="K137" s="302">
        <f t="shared" si="98"/>
        <v>2</v>
      </c>
      <c r="L137" s="302"/>
      <c r="M137" s="303">
        <v>19</v>
      </c>
      <c r="N137" s="303">
        <f t="shared" si="91"/>
        <v>38</v>
      </c>
      <c r="O137" s="304" t="s">
        <v>21</v>
      </c>
      <c r="P137" s="305" t="s">
        <v>202</v>
      </c>
      <c r="Q137" s="116" t="s">
        <v>573</v>
      </c>
      <c r="R137" s="145"/>
      <c r="S137" s="300">
        <v>12</v>
      </c>
      <c r="T137" s="300">
        <v>457</v>
      </c>
      <c r="U137" s="307">
        <v>694</v>
      </c>
      <c r="V137" s="113">
        <f t="shared" si="92"/>
        <v>65.727823920000006</v>
      </c>
      <c r="W137" s="113">
        <f t="shared" si="93"/>
        <v>2.6472999999999995</v>
      </c>
      <c r="X137" s="113">
        <f t="shared" si="97"/>
        <v>2.406636363636363</v>
      </c>
      <c r="Y137" s="303"/>
      <c r="Z137" s="303"/>
      <c r="AA137" s="303"/>
      <c r="AB137" s="303"/>
      <c r="AC137" s="303"/>
      <c r="AD137" s="303"/>
      <c r="AE137" s="303"/>
      <c r="AF137" s="303"/>
      <c r="AG137" s="303"/>
      <c r="AH137" s="305"/>
      <c r="AI137" s="356">
        <f t="shared" si="94"/>
        <v>1.4589268</v>
      </c>
    </row>
    <row r="138" spans="1:35" s="306" customFormat="1" ht="36" customHeight="1" x14ac:dyDescent="0.25">
      <c r="A138" s="300">
        <v>11</v>
      </c>
      <c r="B138" s="300" t="s">
        <v>183</v>
      </c>
      <c r="C138" s="300"/>
      <c r="D138" s="300">
        <v>9.5</v>
      </c>
      <c r="E138" s="300"/>
      <c r="F138" s="300"/>
      <c r="G138" s="300" t="s">
        <v>368</v>
      </c>
      <c r="H138" s="300"/>
      <c r="I138" s="301" t="s">
        <v>369</v>
      </c>
      <c r="J138" s="300">
        <v>2</v>
      </c>
      <c r="K138" s="302">
        <f t="shared" si="98"/>
        <v>2</v>
      </c>
      <c r="L138" s="302"/>
      <c r="M138" s="303">
        <v>21</v>
      </c>
      <c r="N138" s="303">
        <f t="shared" si="91"/>
        <v>42</v>
      </c>
      <c r="O138" s="304" t="s">
        <v>21</v>
      </c>
      <c r="P138" s="305" t="s">
        <v>223</v>
      </c>
      <c r="Q138" s="116" t="s">
        <v>777</v>
      </c>
      <c r="R138" s="145"/>
      <c r="S138" s="300">
        <v>20</v>
      </c>
      <c r="T138" s="300">
        <v>381</v>
      </c>
      <c r="U138" s="307">
        <v>485</v>
      </c>
      <c r="V138" s="113">
        <f t="shared" si="92"/>
        <v>63.824739000000001</v>
      </c>
      <c r="W138" s="113">
        <f t="shared" si="93"/>
        <v>1.9918</v>
      </c>
      <c r="X138" s="113">
        <f>W138/1.5</f>
        <v>1.3278666666666668</v>
      </c>
      <c r="Y138" s="303"/>
      <c r="Z138" s="303"/>
      <c r="AA138" s="303"/>
      <c r="AB138" s="303"/>
      <c r="AC138" s="303"/>
      <c r="AD138" s="303"/>
      <c r="AE138" s="303"/>
      <c r="AF138" s="303"/>
      <c r="AG138" s="303"/>
      <c r="AH138" s="305"/>
      <c r="AI138" s="356">
        <f t="shared" si="94"/>
        <v>0.85001099999999996</v>
      </c>
    </row>
    <row r="139" spans="1:35" s="306" customFormat="1" ht="36" customHeight="1" x14ac:dyDescent="0.25">
      <c r="A139" s="300">
        <v>12</v>
      </c>
      <c r="B139" s="300" t="s">
        <v>183</v>
      </c>
      <c r="C139" s="300"/>
      <c r="D139" s="300">
        <v>9.6</v>
      </c>
      <c r="E139" s="300"/>
      <c r="F139" s="300"/>
      <c r="G139" s="300" t="s">
        <v>370</v>
      </c>
      <c r="H139" s="300"/>
      <c r="I139" s="301" t="s">
        <v>371</v>
      </c>
      <c r="J139" s="300">
        <v>2</v>
      </c>
      <c r="K139" s="302">
        <f t="shared" si="98"/>
        <v>2</v>
      </c>
      <c r="L139" s="302"/>
      <c r="M139" s="303">
        <v>2.2999999999999998</v>
      </c>
      <c r="N139" s="303">
        <f t="shared" si="91"/>
        <v>4.5999999999999996</v>
      </c>
      <c r="O139" s="304" t="s">
        <v>21</v>
      </c>
      <c r="P139" s="305" t="s">
        <v>223</v>
      </c>
      <c r="Q139" s="116" t="s">
        <v>777</v>
      </c>
      <c r="R139" s="145"/>
      <c r="S139" s="300">
        <v>25</v>
      </c>
      <c r="T139" s="300">
        <v>108</v>
      </c>
      <c r="U139" s="307">
        <v>167</v>
      </c>
      <c r="V139" s="113">
        <f t="shared" si="92"/>
        <v>7.7870429999999997</v>
      </c>
      <c r="W139" s="113">
        <f t="shared" si="93"/>
        <v>0.63249999999999995</v>
      </c>
      <c r="X139" s="113">
        <f>W139/1.3</f>
        <v>0.48653846153846148</v>
      </c>
      <c r="Y139" s="303"/>
      <c r="Z139" s="303"/>
      <c r="AA139" s="303"/>
      <c r="AB139" s="303"/>
      <c r="AC139" s="303"/>
      <c r="AD139" s="303"/>
      <c r="AE139" s="303"/>
      <c r="AF139" s="303"/>
      <c r="AG139" s="303"/>
      <c r="AH139" s="305"/>
      <c r="AI139" s="356">
        <f t="shared" si="94"/>
        <v>8.2965599999999987E-2</v>
      </c>
    </row>
    <row r="140" spans="1:35" s="306" customFormat="1" ht="36" customHeight="1" x14ac:dyDescent="0.25">
      <c r="A140" s="300">
        <v>13</v>
      </c>
      <c r="B140" s="300" t="s">
        <v>183</v>
      </c>
      <c r="C140" s="300"/>
      <c r="D140" s="300">
        <v>9.7000000000000099</v>
      </c>
      <c r="E140" s="300"/>
      <c r="F140" s="300"/>
      <c r="G140" s="300" t="s">
        <v>372</v>
      </c>
      <c r="H140" s="300"/>
      <c r="I140" s="301" t="s">
        <v>373</v>
      </c>
      <c r="J140" s="300">
        <v>2</v>
      </c>
      <c r="K140" s="302">
        <f t="shared" si="98"/>
        <v>2</v>
      </c>
      <c r="L140" s="302"/>
      <c r="M140" s="303">
        <v>1.7</v>
      </c>
      <c r="N140" s="303">
        <f t="shared" si="91"/>
        <v>3.4</v>
      </c>
      <c r="O140" s="304" t="s">
        <v>21</v>
      </c>
      <c r="P140" s="305" t="s">
        <v>202</v>
      </c>
      <c r="Q140" s="116" t="s">
        <v>573</v>
      </c>
      <c r="R140" s="145"/>
      <c r="S140" s="300">
        <v>12</v>
      </c>
      <c r="T140" s="300">
        <v>176</v>
      </c>
      <c r="U140" s="300">
        <v>176</v>
      </c>
      <c r="V140" s="113">
        <f t="shared" si="92"/>
        <v>6.4194662400000002</v>
      </c>
      <c r="W140" s="113">
        <f t="shared" si="93"/>
        <v>0.80959999999999988</v>
      </c>
      <c r="X140" s="113">
        <f>W140/1.1</f>
        <v>0.73599999999999988</v>
      </c>
      <c r="Y140" s="303"/>
      <c r="Z140" s="303"/>
      <c r="AA140" s="303"/>
      <c r="AB140" s="303"/>
      <c r="AC140" s="303"/>
      <c r="AD140" s="303"/>
      <c r="AE140" s="303"/>
      <c r="AF140" s="303"/>
      <c r="AG140" s="303"/>
      <c r="AH140" s="305"/>
      <c r="AI140" s="356">
        <f t="shared" si="94"/>
        <v>0.14248959999999999</v>
      </c>
    </row>
    <row r="141" spans="1:35" s="306" customFormat="1" ht="36" customHeight="1" x14ac:dyDescent="0.25">
      <c r="A141" s="300">
        <v>14</v>
      </c>
      <c r="B141" s="300" t="s">
        <v>183</v>
      </c>
      <c r="C141" s="300"/>
      <c r="D141" s="300">
        <v>9.8000000000000096</v>
      </c>
      <c r="E141" s="300"/>
      <c r="F141" s="300"/>
      <c r="G141" s="300" t="s">
        <v>215</v>
      </c>
      <c r="H141" s="300"/>
      <c r="I141" s="301" t="s">
        <v>374</v>
      </c>
      <c r="J141" s="300">
        <v>1</v>
      </c>
      <c r="K141" s="302">
        <f t="shared" si="98"/>
        <v>1</v>
      </c>
      <c r="L141" s="302"/>
      <c r="M141" s="303">
        <v>58.4</v>
      </c>
      <c r="N141" s="303">
        <f t="shared" si="91"/>
        <v>58.4</v>
      </c>
      <c r="O141" s="304" t="s">
        <v>286</v>
      </c>
      <c r="P141" s="305" t="s">
        <v>375</v>
      </c>
      <c r="Q141" s="116" t="s">
        <v>271</v>
      </c>
      <c r="R141" s="145"/>
      <c r="S141" s="110" t="s">
        <v>299</v>
      </c>
      <c r="T141" s="300"/>
      <c r="U141" s="307">
        <f>54*25.4</f>
        <v>1371.6</v>
      </c>
      <c r="V141" s="113">
        <f t="shared" ref="V141:V142" si="99">M141*K141*(1+$V$1)</f>
        <v>64.240000000000009</v>
      </c>
      <c r="W141" s="303"/>
      <c r="X141" s="303">
        <v>3</v>
      </c>
      <c r="Y141" s="303"/>
      <c r="Z141" s="303"/>
      <c r="AA141" s="303"/>
      <c r="AB141" s="303"/>
      <c r="AC141" s="303"/>
      <c r="AD141" s="303"/>
      <c r="AE141" s="303"/>
      <c r="AF141" s="303"/>
      <c r="AG141" s="303"/>
      <c r="AH141" s="305"/>
      <c r="AI141" s="113">
        <f>0.534*U141/1000*K141*(1+$AI$1)</f>
        <v>0.84229955999999984</v>
      </c>
    </row>
    <row r="142" spans="1:35" s="306" customFormat="1" ht="36" customHeight="1" x14ac:dyDescent="0.25">
      <c r="A142" s="300">
        <v>15</v>
      </c>
      <c r="B142" s="300" t="s">
        <v>183</v>
      </c>
      <c r="C142" s="300"/>
      <c r="D142" s="300">
        <v>9.9000000000000092</v>
      </c>
      <c r="E142" s="300"/>
      <c r="F142" s="300"/>
      <c r="G142" s="300" t="s">
        <v>215</v>
      </c>
      <c r="H142" s="300"/>
      <c r="I142" s="301" t="s">
        <v>376</v>
      </c>
      <c r="J142" s="300">
        <v>2</v>
      </c>
      <c r="K142" s="302">
        <f t="shared" si="98"/>
        <v>2</v>
      </c>
      <c r="L142" s="302"/>
      <c r="M142" s="303">
        <f>5.44*U142/1000/2</f>
        <v>0.13817600000000002</v>
      </c>
      <c r="N142" s="303">
        <f t="shared" si="91"/>
        <v>0.27635200000000004</v>
      </c>
      <c r="O142" s="304" t="s">
        <v>286</v>
      </c>
      <c r="P142" s="305" t="s">
        <v>283</v>
      </c>
      <c r="Q142" s="116" t="s">
        <v>271</v>
      </c>
      <c r="R142" s="145"/>
      <c r="S142" s="300" t="s">
        <v>377</v>
      </c>
      <c r="T142" s="300"/>
      <c r="U142" s="307">
        <f>2*25.4</f>
        <v>50.8</v>
      </c>
      <c r="V142" s="113">
        <f t="shared" si="99"/>
        <v>0.30398720000000007</v>
      </c>
      <c r="W142" s="303"/>
      <c r="X142" s="303">
        <v>2</v>
      </c>
      <c r="Y142" s="303"/>
      <c r="Z142" s="303"/>
      <c r="AA142" s="303"/>
      <c r="AB142" s="303">
        <v>10</v>
      </c>
      <c r="AC142" s="303"/>
      <c r="AD142" s="303"/>
      <c r="AE142" s="303"/>
      <c r="AF142" s="303"/>
      <c r="AG142" s="303"/>
      <c r="AH142" s="305"/>
      <c r="AI142" s="113">
        <f>0.22*U142/1000*K142*(1+$AI$1)</f>
        <v>2.57048E-2</v>
      </c>
    </row>
    <row r="143" spans="1:35" s="306" customFormat="1" ht="36" customHeight="1" x14ac:dyDescent="0.25">
      <c r="A143" s="300">
        <v>16</v>
      </c>
      <c r="B143" s="300" t="s">
        <v>183</v>
      </c>
      <c r="C143" s="300"/>
      <c r="D143" s="303">
        <v>9.1</v>
      </c>
      <c r="E143" s="300"/>
      <c r="F143" s="300"/>
      <c r="G143" s="300" t="s">
        <v>215</v>
      </c>
      <c r="H143" s="300"/>
      <c r="I143" s="301" t="s">
        <v>378</v>
      </c>
      <c r="J143" s="300">
        <v>2</v>
      </c>
      <c r="K143" s="302">
        <f t="shared" si="98"/>
        <v>2</v>
      </c>
      <c r="L143" s="302"/>
      <c r="M143" s="303">
        <f>S143*T143*U143*0.00000785</f>
        <v>0.38282879999999997</v>
      </c>
      <c r="N143" s="303">
        <f t="shared" si="91"/>
        <v>0.76565759999999994</v>
      </c>
      <c r="O143" s="304" t="s">
        <v>21</v>
      </c>
      <c r="P143" s="305" t="s">
        <v>379</v>
      </c>
      <c r="Q143" s="116" t="s">
        <v>573</v>
      </c>
      <c r="R143" s="145"/>
      <c r="S143" s="300">
        <v>12</v>
      </c>
      <c r="T143" s="300">
        <v>32</v>
      </c>
      <c r="U143" s="307">
        <v>127</v>
      </c>
      <c r="V143" s="113">
        <f t="shared" ref="V143:V144" si="100">S143*T143*U143*0.00000785*(1+$V$1)*K143</f>
        <v>0.84222335999999998</v>
      </c>
      <c r="W143" s="113">
        <f t="shared" ref="W143:W144" si="101">((T143+U143)*2*(1+$W$1))/1000</f>
        <v>0.36569999999999997</v>
      </c>
      <c r="X143" s="113">
        <f t="shared" ref="X143:X144" si="102">W143/1.1</f>
        <v>0.33245454545454539</v>
      </c>
      <c r="Y143" s="303"/>
      <c r="Z143" s="303"/>
      <c r="AA143" s="303"/>
      <c r="AB143" s="303"/>
      <c r="AC143" s="303"/>
      <c r="AD143" s="303"/>
      <c r="AE143" s="303"/>
      <c r="AF143" s="303"/>
      <c r="AG143" s="303"/>
      <c r="AH143" s="305"/>
      <c r="AI143" s="356">
        <f t="shared" ref="AI143:AI144" si="103">(T143*U143*2)/1000000*(1+$AI$1)*K143</f>
        <v>1.8694399999999996E-2</v>
      </c>
    </row>
    <row r="144" spans="1:35" s="306" customFormat="1" ht="36" customHeight="1" x14ac:dyDescent="0.25">
      <c r="A144" s="300">
        <v>17</v>
      </c>
      <c r="B144" s="300" t="s">
        <v>183</v>
      </c>
      <c r="C144" s="300"/>
      <c r="D144" s="300">
        <v>9.11</v>
      </c>
      <c r="E144" s="300"/>
      <c r="F144" s="300"/>
      <c r="G144" s="300" t="s">
        <v>215</v>
      </c>
      <c r="H144" s="300"/>
      <c r="I144" s="301" t="s">
        <v>380</v>
      </c>
      <c r="J144" s="300">
        <v>2</v>
      </c>
      <c r="K144" s="302">
        <f t="shared" si="98"/>
        <v>2</v>
      </c>
      <c r="L144" s="302"/>
      <c r="M144" s="303">
        <f>S144*T144*U144*0.00000785</f>
        <v>1.5222719999999998</v>
      </c>
      <c r="N144" s="303">
        <f t="shared" si="91"/>
        <v>3.0445439999999997</v>
      </c>
      <c r="O144" s="304" t="s">
        <v>21</v>
      </c>
      <c r="P144" s="305" t="s">
        <v>379</v>
      </c>
      <c r="Q144" s="116" t="s">
        <v>573</v>
      </c>
      <c r="R144" s="145"/>
      <c r="S144" s="300">
        <v>12</v>
      </c>
      <c r="T144" s="300">
        <v>101</v>
      </c>
      <c r="U144" s="307">
        <v>160</v>
      </c>
      <c r="V144" s="113">
        <f t="shared" si="100"/>
        <v>3.3489984000000002</v>
      </c>
      <c r="W144" s="113">
        <f t="shared" si="101"/>
        <v>0.60029999999999994</v>
      </c>
      <c r="X144" s="113">
        <f t="shared" si="102"/>
        <v>0.54572727272727262</v>
      </c>
      <c r="Y144" s="303"/>
      <c r="Z144" s="303"/>
      <c r="AA144" s="303"/>
      <c r="AB144" s="303"/>
      <c r="AC144" s="303"/>
      <c r="AD144" s="303"/>
      <c r="AE144" s="303"/>
      <c r="AF144" s="303"/>
      <c r="AG144" s="303"/>
      <c r="AH144" s="305"/>
      <c r="AI144" s="356">
        <f t="shared" si="103"/>
        <v>7.4335999999999999E-2</v>
      </c>
    </row>
    <row r="145" spans="1:35" s="109" customFormat="1" ht="36" customHeight="1" x14ac:dyDescent="0.25">
      <c r="A145" s="124">
        <v>1</v>
      </c>
      <c r="B145" s="124" t="s">
        <v>185</v>
      </c>
      <c r="C145" s="102">
        <v>10</v>
      </c>
      <c r="D145" s="102"/>
      <c r="E145" s="102"/>
      <c r="F145" s="102"/>
      <c r="G145" s="102" t="s">
        <v>185</v>
      </c>
      <c r="H145" s="102" t="s">
        <v>22</v>
      </c>
      <c r="I145" s="103" t="s">
        <v>381</v>
      </c>
      <c r="J145" s="102">
        <f>VLOOKUP(G145,'Customer Data '!$B$1:$D$14,3,0)</f>
        <v>1</v>
      </c>
      <c r="K145" s="104">
        <f>J145</f>
        <v>1</v>
      </c>
      <c r="L145" s="105"/>
      <c r="M145" s="105">
        <v>1095</v>
      </c>
      <c r="N145" s="105">
        <f>M145*K145</f>
        <v>1095</v>
      </c>
      <c r="O145" s="123" t="s">
        <v>251</v>
      </c>
      <c r="P145" s="108"/>
      <c r="Q145" s="128"/>
      <c r="R145" s="106"/>
      <c r="S145" s="102"/>
      <c r="T145" s="102"/>
      <c r="U145" s="105"/>
      <c r="V145" s="105">
        <f>SUM(V146:V161)</f>
        <v>1354.6605335999998</v>
      </c>
      <c r="W145" s="107"/>
      <c r="X145" s="105">
        <f>SUMPRODUCT(X146:X161,$K$146:$K$161)</f>
        <v>85.711400077272259</v>
      </c>
      <c r="Y145" s="105">
        <f>SUM(Y146:Y161)</f>
        <v>0</v>
      </c>
      <c r="Z145" s="105">
        <f>SUMPRODUCT(Z146:Z161,$K$146:$K$161)</f>
        <v>0</v>
      </c>
      <c r="AA145" s="105"/>
      <c r="AB145" s="105">
        <f>SUMPRODUCT(AB146:AB161,$K$146:$K$161)</f>
        <v>250</v>
      </c>
      <c r="AC145" s="105">
        <f>SUM(AC146:AC161)</f>
        <v>2291.6666666666661</v>
      </c>
      <c r="AD145" s="105" t="s">
        <v>301</v>
      </c>
      <c r="AE145" s="105"/>
      <c r="AF145" s="105"/>
      <c r="AG145" s="105"/>
      <c r="AH145" s="108"/>
      <c r="AI145" s="105">
        <f>SUM(AI146:AI161)</f>
        <v>21.382169649999998</v>
      </c>
    </row>
    <row r="146" spans="1:35" s="306" customFormat="1" ht="36" customHeight="1" x14ac:dyDescent="0.25">
      <c r="A146" s="300">
        <v>2</v>
      </c>
      <c r="B146" s="300" t="s">
        <v>185</v>
      </c>
      <c r="C146" s="300"/>
      <c r="D146" s="300">
        <v>10.1</v>
      </c>
      <c r="E146" s="300"/>
      <c r="F146" s="300"/>
      <c r="G146" s="300" t="s">
        <v>382</v>
      </c>
      <c r="H146" s="300"/>
      <c r="I146" s="301" t="s">
        <v>383</v>
      </c>
      <c r="J146" s="300">
        <v>14</v>
      </c>
      <c r="K146" s="302">
        <f>J146*$K$145</f>
        <v>14</v>
      </c>
      <c r="L146" s="302"/>
      <c r="M146" s="302">
        <v>5</v>
      </c>
      <c r="N146" s="303">
        <f t="shared" ref="N146:N161" si="104">M146*K146</f>
        <v>70</v>
      </c>
      <c r="O146" s="304" t="s">
        <v>21</v>
      </c>
      <c r="P146" s="305" t="s">
        <v>202</v>
      </c>
      <c r="Q146" s="116" t="s">
        <v>573</v>
      </c>
      <c r="R146" s="145"/>
      <c r="S146" s="300">
        <v>10</v>
      </c>
      <c r="T146" s="300">
        <v>305</v>
      </c>
      <c r="U146" s="307">
        <v>318</v>
      </c>
      <c r="V146" s="113">
        <f t="shared" ref="V146:V147" si="105">S146*T146*U146*0.00000785*(1+$V$1)*K146</f>
        <v>117.251211</v>
      </c>
      <c r="W146" s="113">
        <f t="shared" ref="W146:W147" si="106">((T146+U146)*2*(1+$W$1))/1000</f>
        <v>1.4328999999999998</v>
      </c>
      <c r="X146" s="113">
        <f>W146/1.1</f>
        <v>1.3026363636363634</v>
      </c>
      <c r="Y146" s="303"/>
      <c r="Z146" s="303"/>
      <c r="AA146" s="303"/>
      <c r="AB146" s="303"/>
      <c r="AC146" s="303"/>
      <c r="AD146" s="303"/>
      <c r="AE146" s="303"/>
      <c r="AF146" s="303"/>
      <c r="AG146" s="303"/>
      <c r="AH146" s="305"/>
      <c r="AI146" s="356">
        <f t="shared" ref="AI146:AI147" si="107">(T146*U146*2)/1000000*(1+$AI$1)*K146</f>
        <v>3.123078</v>
      </c>
    </row>
    <row r="147" spans="1:35" s="306" customFormat="1" ht="36" customHeight="1" x14ac:dyDescent="0.25">
      <c r="A147" s="300">
        <v>3</v>
      </c>
      <c r="B147" s="300" t="s">
        <v>185</v>
      </c>
      <c r="C147" s="300"/>
      <c r="D147" s="300">
        <v>10.199999999999999</v>
      </c>
      <c r="E147" s="300"/>
      <c r="F147" s="300"/>
      <c r="G147" s="300" t="s">
        <v>384</v>
      </c>
      <c r="H147" s="300"/>
      <c r="I147" s="301" t="s">
        <v>385</v>
      </c>
      <c r="J147" s="300">
        <v>8</v>
      </c>
      <c r="K147" s="302">
        <f t="shared" ref="K147:K149" si="108">J147*$K$145</f>
        <v>8</v>
      </c>
      <c r="L147" s="302"/>
      <c r="M147" s="303">
        <v>13</v>
      </c>
      <c r="N147" s="303">
        <f t="shared" si="104"/>
        <v>104</v>
      </c>
      <c r="O147" s="304" t="s">
        <v>21</v>
      </c>
      <c r="P147" s="305" t="s">
        <v>223</v>
      </c>
      <c r="Q147" s="116" t="s">
        <v>777</v>
      </c>
      <c r="R147" s="145"/>
      <c r="S147" s="300">
        <v>25</v>
      </c>
      <c r="T147" s="300">
        <v>149</v>
      </c>
      <c r="U147" s="307">
        <v>600</v>
      </c>
      <c r="V147" s="113">
        <f t="shared" si="105"/>
        <v>154.3938</v>
      </c>
      <c r="W147" s="113">
        <f t="shared" si="106"/>
        <v>1.7226999999999999</v>
      </c>
      <c r="X147" s="113">
        <f>W147/1.3</f>
        <v>1.3251538461538461</v>
      </c>
      <c r="Y147" s="303"/>
      <c r="Z147" s="303"/>
      <c r="AA147" s="303"/>
      <c r="AB147" s="303">
        <v>5</v>
      </c>
      <c r="AC147" s="303">
        <f t="shared" ref="AC147:AC148" si="109">AB147*($AC$1/60)*K147</f>
        <v>366.66666666666663</v>
      </c>
      <c r="AD147" s="303"/>
      <c r="AE147" s="303"/>
      <c r="AF147" s="303"/>
      <c r="AG147" s="303"/>
      <c r="AH147" s="305"/>
      <c r="AI147" s="356">
        <f t="shared" si="107"/>
        <v>1.6449599999999998</v>
      </c>
    </row>
    <row r="148" spans="1:35" s="306" customFormat="1" ht="36" customHeight="1" x14ac:dyDescent="0.25">
      <c r="A148" s="300">
        <v>4</v>
      </c>
      <c r="B148" s="300" t="s">
        <v>185</v>
      </c>
      <c r="C148" s="300"/>
      <c r="D148" s="300">
        <v>10.3</v>
      </c>
      <c r="E148" s="300"/>
      <c r="F148" s="300"/>
      <c r="G148" s="300" t="s">
        <v>386</v>
      </c>
      <c r="H148" s="300"/>
      <c r="I148" s="301" t="s">
        <v>387</v>
      </c>
      <c r="J148" s="300">
        <v>6</v>
      </c>
      <c r="K148" s="302">
        <f t="shared" si="108"/>
        <v>6</v>
      </c>
      <c r="L148" s="302"/>
      <c r="M148" s="303">
        <v>0.4</v>
      </c>
      <c r="N148" s="303">
        <f t="shared" si="104"/>
        <v>2.4000000000000004</v>
      </c>
      <c r="O148" s="304" t="s">
        <v>44</v>
      </c>
      <c r="P148" s="305" t="s">
        <v>388</v>
      </c>
      <c r="Q148" s="479" t="s">
        <v>388</v>
      </c>
      <c r="R148" s="145"/>
      <c r="S148" s="300" t="s">
        <v>389</v>
      </c>
      <c r="T148" s="300"/>
      <c r="U148" s="307">
        <v>22</v>
      </c>
      <c r="V148" s="113">
        <f>M148*K148*(1+$V$1)</f>
        <v>2.6400000000000006</v>
      </c>
      <c r="W148" s="303"/>
      <c r="X148" s="303">
        <v>4</v>
      </c>
      <c r="Y148" s="303"/>
      <c r="Z148" s="303"/>
      <c r="AA148" s="303"/>
      <c r="AB148" s="303">
        <v>15</v>
      </c>
      <c r="AC148" s="303">
        <f t="shared" si="109"/>
        <v>825</v>
      </c>
      <c r="AD148" s="303"/>
      <c r="AE148" s="303"/>
      <c r="AF148" s="303"/>
      <c r="AG148" s="303"/>
      <c r="AH148" s="305"/>
      <c r="AI148" s="303">
        <f>0.238*U148/1000*(1+$AI$1)*K148</f>
        <v>3.6128399999999991E-2</v>
      </c>
    </row>
    <row r="149" spans="1:35" s="306" customFormat="1" ht="36" customHeight="1" x14ac:dyDescent="0.25">
      <c r="A149" s="300">
        <v>5</v>
      </c>
      <c r="B149" s="300" t="s">
        <v>185</v>
      </c>
      <c r="C149" s="300"/>
      <c r="D149" s="300">
        <v>10.4</v>
      </c>
      <c r="E149" s="300"/>
      <c r="F149" s="300"/>
      <c r="G149" s="300" t="s">
        <v>390</v>
      </c>
      <c r="H149" s="300"/>
      <c r="I149" s="301" t="s">
        <v>391</v>
      </c>
      <c r="J149" s="300">
        <v>2</v>
      </c>
      <c r="K149" s="302">
        <f t="shared" si="108"/>
        <v>2</v>
      </c>
      <c r="L149" s="302"/>
      <c r="M149" s="303">
        <v>56.5</v>
      </c>
      <c r="N149" s="303">
        <f t="shared" si="104"/>
        <v>113</v>
      </c>
      <c r="O149" s="123" t="s">
        <v>252</v>
      </c>
      <c r="P149" s="116" t="s">
        <v>215</v>
      </c>
      <c r="Q149" s="300"/>
      <c r="R149" s="145"/>
      <c r="S149" s="300"/>
      <c r="T149" s="300"/>
      <c r="U149" s="307"/>
      <c r="V149" s="303"/>
      <c r="W149" s="303"/>
      <c r="X149" s="303"/>
      <c r="Y149" s="303"/>
      <c r="Z149" s="303"/>
      <c r="AA149" s="303"/>
      <c r="AB149" s="303"/>
      <c r="AC149" s="303"/>
      <c r="AD149" s="303"/>
      <c r="AE149" s="303"/>
      <c r="AF149" s="303"/>
      <c r="AG149" s="303"/>
      <c r="AH149" s="305"/>
      <c r="AI149" s="303"/>
    </row>
    <row r="150" spans="1:35" s="306" customFormat="1" ht="36" customHeight="1" x14ac:dyDescent="0.25">
      <c r="A150" s="300">
        <v>6</v>
      </c>
      <c r="B150" s="300" t="s">
        <v>185</v>
      </c>
      <c r="C150" s="300"/>
      <c r="D150" s="300"/>
      <c r="E150" s="300" t="s">
        <v>579</v>
      </c>
      <c r="F150" s="300"/>
      <c r="G150" s="300"/>
      <c r="H150" s="300"/>
      <c r="I150" s="301" t="s">
        <v>393</v>
      </c>
      <c r="J150" s="300">
        <v>1</v>
      </c>
      <c r="K150" s="302">
        <f>J150*$K$149</f>
        <v>2</v>
      </c>
      <c r="L150" s="302"/>
      <c r="M150" s="303">
        <f>M149-M151</f>
        <v>55.632575000000003</v>
      </c>
      <c r="N150" s="303">
        <f t="shared" si="104"/>
        <v>111.26515000000001</v>
      </c>
      <c r="O150" s="304" t="s">
        <v>394</v>
      </c>
      <c r="P150" s="305" t="s">
        <v>395</v>
      </c>
      <c r="Q150" s="110" t="s">
        <v>540</v>
      </c>
      <c r="R150" s="145"/>
      <c r="S150" s="312" t="s">
        <v>396</v>
      </c>
      <c r="T150" s="300"/>
      <c r="U150" s="307">
        <v>1851</v>
      </c>
      <c r="V150" s="113">
        <f>M150*K150*(1+$V$1)</f>
        <v>122.39166500000002</v>
      </c>
      <c r="W150" s="303"/>
      <c r="X150" s="303">
        <v>3</v>
      </c>
      <c r="Y150" s="303"/>
      <c r="Z150" s="303"/>
      <c r="AA150" s="303"/>
      <c r="AB150" s="303"/>
      <c r="AC150" s="303"/>
      <c r="AD150" s="303"/>
      <c r="AE150" s="303"/>
      <c r="AF150" s="303"/>
      <c r="AG150" s="303"/>
      <c r="AH150" s="305"/>
      <c r="AI150" s="303">
        <f>0.53*U150/1000*(1+$AI$1)*K150</f>
        <v>2.2563689999999998</v>
      </c>
    </row>
    <row r="151" spans="1:35" s="306" customFormat="1" ht="36" customHeight="1" x14ac:dyDescent="0.25">
      <c r="A151" s="300">
        <v>7</v>
      </c>
      <c r="B151" s="300" t="s">
        <v>185</v>
      </c>
      <c r="C151" s="300"/>
      <c r="D151" s="300"/>
      <c r="E151" s="300" t="s">
        <v>580</v>
      </c>
      <c r="F151" s="300"/>
      <c r="G151" s="300"/>
      <c r="H151" s="300"/>
      <c r="I151" s="301" t="s">
        <v>397</v>
      </c>
      <c r="J151" s="300">
        <v>1</v>
      </c>
      <c r="K151" s="302">
        <f>J151*$K$149</f>
        <v>2</v>
      </c>
      <c r="L151" s="302"/>
      <c r="M151" s="303">
        <f>S151*T151*U151*0.00000785</f>
        <v>0.86742499999999989</v>
      </c>
      <c r="N151" s="303">
        <f t="shared" si="104"/>
        <v>1.7348499999999998</v>
      </c>
      <c r="O151" s="304" t="s">
        <v>21</v>
      </c>
      <c r="P151" s="305" t="s">
        <v>395</v>
      </c>
      <c r="Q151" s="116" t="s">
        <v>573</v>
      </c>
      <c r="R151" s="145"/>
      <c r="S151" s="300">
        <v>10</v>
      </c>
      <c r="T151" s="300">
        <v>85</v>
      </c>
      <c r="U151" s="307">
        <v>130</v>
      </c>
      <c r="V151" s="113">
        <f t="shared" ref="V151:V154" si="110">S151*T151*U151*0.00000785*(1+$V$1)*K151</f>
        <v>1.9083349999999999</v>
      </c>
      <c r="W151" s="113">
        <f t="shared" ref="W151:W154" si="111">((T151+U151)*2*(1+$W$1))/1000</f>
        <v>0.49449999999999994</v>
      </c>
      <c r="X151" s="113">
        <f>W151/1.1</f>
        <v>0.44954545454545447</v>
      </c>
      <c r="Y151" s="303"/>
      <c r="Z151" s="303"/>
      <c r="AA151" s="303"/>
      <c r="AB151" s="303"/>
      <c r="AC151" s="303"/>
      <c r="AD151" s="303"/>
      <c r="AE151" s="303"/>
      <c r="AF151" s="303"/>
      <c r="AG151" s="303"/>
      <c r="AH151" s="305"/>
      <c r="AI151" s="356">
        <f t="shared" ref="AI151:AI154" si="112">(T151*U151*2)/1000000*(1+$AI$1)*K151</f>
        <v>5.083E-2</v>
      </c>
    </row>
    <row r="152" spans="1:35" s="306" customFormat="1" ht="36" customHeight="1" x14ac:dyDescent="0.25">
      <c r="A152" s="300">
        <v>8</v>
      </c>
      <c r="B152" s="300" t="s">
        <v>185</v>
      </c>
      <c r="C152" s="300"/>
      <c r="D152" s="300">
        <v>10.5</v>
      </c>
      <c r="E152" s="300"/>
      <c r="F152" s="300"/>
      <c r="G152" s="300" t="s">
        <v>392</v>
      </c>
      <c r="H152" s="300"/>
      <c r="I152" s="301" t="s">
        <v>398</v>
      </c>
      <c r="J152" s="300">
        <v>2</v>
      </c>
      <c r="K152" s="302">
        <f t="shared" ref="K152:K161" si="113">J152*$K$145</f>
        <v>2</v>
      </c>
      <c r="L152" s="302"/>
      <c r="M152" s="303">
        <f>S152*T152*U152*0.00000785</f>
        <v>0.586866</v>
      </c>
      <c r="N152" s="303">
        <f t="shared" si="104"/>
        <v>1.173732</v>
      </c>
      <c r="O152" s="304" t="s">
        <v>21</v>
      </c>
      <c r="P152" s="305" t="s">
        <v>399</v>
      </c>
      <c r="Q152" s="116" t="s">
        <v>777</v>
      </c>
      <c r="R152" s="145"/>
      <c r="S152" s="300">
        <v>6</v>
      </c>
      <c r="T152" s="300">
        <v>89</v>
      </c>
      <c r="U152" s="307">
        <v>140</v>
      </c>
      <c r="V152" s="113">
        <f t="shared" si="110"/>
        <v>1.2911052000000001</v>
      </c>
      <c r="W152" s="113">
        <f t="shared" si="111"/>
        <v>0.52669999999999995</v>
      </c>
      <c r="X152" s="113">
        <f>1.5/W152</f>
        <v>2.8479210176571108</v>
      </c>
      <c r="Y152" s="303"/>
      <c r="Z152" s="303"/>
      <c r="AA152" s="303"/>
      <c r="AB152" s="303"/>
      <c r="AC152" s="303"/>
      <c r="AD152" s="303"/>
      <c r="AE152" s="303"/>
      <c r="AF152" s="303"/>
      <c r="AG152" s="303"/>
      <c r="AH152" s="305"/>
      <c r="AI152" s="356">
        <f t="shared" si="112"/>
        <v>5.7315999999999999E-2</v>
      </c>
    </row>
    <row r="153" spans="1:35" s="306" customFormat="1" ht="36" customHeight="1" x14ac:dyDescent="0.25">
      <c r="A153" s="300">
        <v>9</v>
      </c>
      <c r="B153" s="300" t="s">
        <v>185</v>
      </c>
      <c r="C153" s="300"/>
      <c r="D153" s="300">
        <v>10.6</v>
      </c>
      <c r="E153" s="300"/>
      <c r="F153" s="300"/>
      <c r="G153" s="300" t="s">
        <v>400</v>
      </c>
      <c r="H153" s="300"/>
      <c r="I153" s="301" t="s">
        <v>401</v>
      </c>
      <c r="J153" s="300">
        <v>2</v>
      </c>
      <c r="K153" s="302">
        <f t="shared" si="113"/>
        <v>2</v>
      </c>
      <c r="L153" s="302"/>
      <c r="M153" s="303">
        <v>2</v>
      </c>
      <c r="N153" s="303">
        <f t="shared" si="104"/>
        <v>4</v>
      </c>
      <c r="O153" s="304" t="s">
        <v>21</v>
      </c>
      <c r="P153" s="305" t="s">
        <v>202</v>
      </c>
      <c r="Q153" s="116" t="s">
        <v>573</v>
      </c>
      <c r="R153" s="145"/>
      <c r="S153" s="300">
        <v>12</v>
      </c>
      <c r="T153" s="300">
        <v>140</v>
      </c>
      <c r="U153" s="307">
        <v>165</v>
      </c>
      <c r="V153" s="113">
        <f t="shared" si="110"/>
        <v>4.7872440000000003</v>
      </c>
      <c r="W153" s="113">
        <f t="shared" si="111"/>
        <v>0.70150000000000001</v>
      </c>
      <c r="X153" s="113">
        <f t="shared" ref="X153:X154" si="114">W153/1.1</f>
        <v>0.6377272727272727</v>
      </c>
      <c r="Y153" s="303"/>
      <c r="Z153" s="303"/>
      <c r="AA153" s="303"/>
      <c r="AB153" s="303"/>
      <c r="AC153" s="303"/>
      <c r="AD153" s="303"/>
      <c r="AE153" s="303"/>
      <c r="AF153" s="303"/>
      <c r="AG153" s="303"/>
      <c r="AH153" s="305"/>
      <c r="AI153" s="356">
        <f t="shared" si="112"/>
        <v>0.10625999999999999</v>
      </c>
    </row>
    <row r="154" spans="1:35" s="306" customFormat="1" ht="36" customHeight="1" x14ac:dyDescent="0.25">
      <c r="A154" s="300">
        <v>10</v>
      </c>
      <c r="B154" s="300" t="s">
        <v>185</v>
      </c>
      <c r="C154" s="300"/>
      <c r="D154" s="300">
        <v>10.7</v>
      </c>
      <c r="E154" s="300"/>
      <c r="F154" s="300"/>
      <c r="G154" s="300" t="s">
        <v>402</v>
      </c>
      <c r="H154" s="300"/>
      <c r="I154" s="301" t="s">
        <v>403</v>
      </c>
      <c r="J154" s="300">
        <v>7</v>
      </c>
      <c r="K154" s="302">
        <f t="shared" si="113"/>
        <v>7</v>
      </c>
      <c r="L154" s="302"/>
      <c r="M154" s="302">
        <v>2</v>
      </c>
      <c r="N154" s="303">
        <f t="shared" si="104"/>
        <v>14</v>
      </c>
      <c r="O154" s="304" t="s">
        <v>21</v>
      </c>
      <c r="P154" s="305" t="s">
        <v>202</v>
      </c>
      <c r="Q154" s="116" t="s">
        <v>573</v>
      </c>
      <c r="R154" s="145"/>
      <c r="S154" s="300">
        <v>10</v>
      </c>
      <c r="T154" s="300">
        <v>102</v>
      </c>
      <c r="U154" s="307">
        <v>318</v>
      </c>
      <c r="V154" s="113">
        <f t="shared" si="110"/>
        <v>19.605940199999999</v>
      </c>
      <c r="W154" s="113">
        <f t="shared" si="111"/>
        <v>0.96599999999999986</v>
      </c>
      <c r="X154" s="113">
        <f t="shared" si="114"/>
        <v>0.87818181818181795</v>
      </c>
      <c r="Y154" s="303"/>
      <c r="Z154" s="303"/>
      <c r="AA154" s="303"/>
      <c r="AB154" s="303"/>
      <c r="AC154" s="303"/>
      <c r="AD154" s="303"/>
      <c r="AE154" s="303"/>
      <c r="AF154" s="303"/>
      <c r="AG154" s="303"/>
      <c r="AH154" s="305"/>
      <c r="AI154" s="356">
        <f t="shared" si="112"/>
        <v>0.52221960000000001</v>
      </c>
    </row>
    <row r="155" spans="1:35" s="306" customFormat="1" ht="36" customHeight="1" x14ac:dyDescent="0.25">
      <c r="A155" s="300">
        <v>11</v>
      </c>
      <c r="B155" s="300" t="s">
        <v>185</v>
      </c>
      <c r="C155" s="300"/>
      <c r="D155" s="300">
        <v>10.8</v>
      </c>
      <c r="E155" s="300"/>
      <c r="F155" s="300"/>
      <c r="G155" s="300" t="s">
        <v>392</v>
      </c>
      <c r="H155" s="300"/>
      <c r="I155" s="301" t="s">
        <v>404</v>
      </c>
      <c r="J155" s="300">
        <v>2</v>
      </c>
      <c r="K155" s="302">
        <f t="shared" si="113"/>
        <v>2</v>
      </c>
      <c r="L155" s="302"/>
      <c r="M155" s="308">
        <f>42.58*U155/1000</f>
        <v>369.67955999999998</v>
      </c>
      <c r="N155" s="303">
        <f t="shared" si="104"/>
        <v>739.35911999999996</v>
      </c>
      <c r="O155" s="304" t="s">
        <v>394</v>
      </c>
      <c r="P155" s="305" t="s">
        <v>395</v>
      </c>
      <c r="Q155" s="110" t="s">
        <v>540</v>
      </c>
      <c r="R155" s="300"/>
      <c r="S155" s="479" t="s">
        <v>775</v>
      </c>
      <c r="T155" s="300"/>
      <c r="U155" s="480">
        <v>8682</v>
      </c>
      <c r="V155" s="113">
        <f>M155*K155*(1+$V$1)</f>
        <v>813.29503199999999</v>
      </c>
      <c r="W155" s="303"/>
      <c r="X155" s="303">
        <v>3</v>
      </c>
      <c r="Y155" s="303"/>
      <c r="Z155" s="303"/>
      <c r="AA155" s="303"/>
      <c r="AB155" s="303"/>
      <c r="AC155" s="303"/>
      <c r="AD155" s="303"/>
      <c r="AE155" s="303"/>
      <c r="AF155" s="303"/>
      <c r="AG155" s="303"/>
      <c r="AH155" s="305"/>
      <c r="AI155" s="303">
        <f>0.53*U155/1000*(1+$AI$1)*K155</f>
        <v>10.583358</v>
      </c>
    </row>
    <row r="156" spans="1:35" s="306" customFormat="1" ht="36" customHeight="1" x14ac:dyDescent="0.25">
      <c r="A156" s="300">
        <v>12</v>
      </c>
      <c r="B156" s="300" t="s">
        <v>185</v>
      </c>
      <c r="C156" s="300"/>
      <c r="D156" s="300">
        <v>10.9</v>
      </c>
      <c r="E156" s="300"/>
      <c r="F156" s="300"/>
      <c r="G156" s="300" t="s">
        <v>405</v>
      </c>
      <c r="H156" s="300"/>
      <c r="I156" s="301" t="s">
        <v>406</v>
      </c>
      <c r="J156" s="300">
        <v>2</v>
      </c>
      <c r="K156" s="302">
        <f t="shared" si="113"/>
        <v>2</v>
      </c>
      <c r="L156" s="302"/>
      <c r="M156" s="303">
        <f>1*0.4536</f>
        <v>0.4536</v>
      </c>
      <c r="N156" s="303">
        <f t="shared" si="104"/>
        <v>0.90720000000000001</v>
      </c>
      <c r="O156" s="304" t="s">
        <v>21</v>
      </c>
      <c r="P156" s="305" t="s">
        <v>217</v>
      </c>
      <c r="Q156" s="116" t="s">
        <v>573</v>
      </c>
      <c r="R156" s="145"/>
      <c r="S156" s="300">
        <v>20</v>
      </c>
      <c r="T156" s="300">
        <v>101</v>
      </c>
      <c r="U156" s="307">
        <v>178</v>
      </c>
      <c r="V156" s="113">
        <f>S156*T156*U156*0.00000785*(1+$V$1)*K156</f>
        <v>6.2096011999999998</v>
      </c>
      <c r="W156" s="113">
        <f>((T156+U156)*2*(1+$W$1))/1000</f>
        <v>0.64169999999999994</v>
      </c>
      <c r="X156" s="113">
        <f>W156/1.5</f>
        <v>0.42779999999999996</v>
      </c>
      <c r="Y156" s="303"/>
      <c r="Z156" s="303"/>
      <c r="AA156" s="303"/>
      <c r="AB156" s="303">
        <v>30</v>
      </c>
      <c r="AC156" s="303">
        <f t="shared" ref="AC156:AC158" si="115">AB156*($AC$1/60)*K156</f>
        <v>550</v>
      </c>
      <c r="AD156" s="303"/>
      <c r="AE156" s="303"/>
      <c r="AF156" s="303"/>
      <c r="AG156" s="303"/>
      <c r="AH156" s="305"/>
      <c r="AI156" s="356">
        <f>(T156*U156*2)/1000000*(1+$AI$1)*K156</f>
        <v>8.2698800000000003E-2</v>
      </c>
    </row>
    <row r="157" spans="1:35" s="306" customFormat="1" ht="36" customHeight="1" x14ac:dyDescent="0.25">
      <c r="A157" s="300">
        <v>13</v>
      </c>
      <c r="B157" s="300" t="s">
        <v>185</v>
      </c>
      <c r="C157" s="300"/>
      <c r="D157" s="303">
        <v>10.1</v>
      </c>
      <c r="E157" s="300"/>
      <c r="F157" s="300"/>
      <c r="G157" s="300" t="s">
        <v>392</v>
      </c>
      <c r="H157" s="300"/>
      <c r="I157" s="301" t="s">
        <v>407</v>
      </c>
      <c r="J157" s="300">
        <v>2</v>
      </c>
      <c r="K157" s="302">
        <f t="shared" si="113"/>
        <v>2</v>
      </c>
      <c r="L157" s="302"/>
      <c r="M157" s="303">
        <f>4.24*U157/1000</f>
        <v>14.21672</v>
      </c>
      <c r="N157" s="303">
        <f t="shared" si="104"/>
        <v>28.433440000000001</v>
      </c>
      <c r="O157" s="304" t="s">
        <v>286</v>
      </c>
      <c r="P157" s="305" t="s">
        <v>408</v>
      </c>
      <c r="Q157" s="116" t="s">
        <v>271</v>
      </c>
      <c r="R157" s="145"/>
      <c r="S157" s="300" t="s">
        <v>409</v>
      </c>
      <c r="T157" s="300"/>
      <c r="U157" s="307">
        <v>3353</v>
      </c>
      <c r="V157" s="113">
        <f t="shared" ref="V157:V158" si="116">M157*K157*(1+$V$1)</f>
        <v>31.276784000000003</v>
      </c>
      <c r="W157" s="303"/>
      <c r="X157" s="303">
        <v>1</v>
      </c>
      <c r="Y157" s="303"/>
      <c r="Z157" s="303"/>
      <c r="AA157" s="303"/>
      <c r="AB157" s="303">
        <v>10</v>
      </c>
      <c r="AC157" s="303">
        <f t="shared" si="115"/>
        <v>183.33333333333331</v>
      </c>
      <c r="AD157" s="303"/>
      <c r="AE157" s="303"/>
      <c r="AF157" s="303"/>
      <c r="AG157" s="303"/>
      <c r="AH157" s="305"/>
      <c r="AI157" s="303">
        <f>3.14*34*U157/1000000*(1+$AI$1)*K157</f>
        <v>0.82332244399999999</v>
      </c>
    </row>
    <row r="158" spans="1:35" s="306" customFormat="1" ht="36" customHeight="1" x14ac:dyDescent="0.25">
      <c r="A158" s="300">
        <v>14</v>
      </c>
      <c r="B158" s="300" t="s">
        <v>185</v>
      </c>
      <c r="C158" s="300"/>
      <c r="D158" s="300">
        <v>10.11</v>
      </c>
      <c r="E158" s="300"/>
      <c r="F158" s="300"/>
      <c r="G158" s="300" t="s">
        <v>392</v>
      </c>
      <c r="H158" s="300"/>
      <c r="I158" s="301" t="s">
        <v>410</v>
      </c>
      <c r="J158" s="300">
        <v>2</v>
      </c>
      <c r="K158" s="302">
        <f t="shared" si="113"/>
        <v>2</v>
      </c>
      <c r="L158" s="302"/>
      <c r="M158" s="303">
        <f>4.24*U158/1000</f>
        <v>19.385280000000002</v>
      </c>
      <c r="N158" s="303">
        <f t="shared" si="104"/>
        <v>38.770560000000003</v>
      </c>
      <c r="O158" s="304" t="s">
        <v>286</v>
      </c>
      <c r="P158" s="305" t="s">
        <v>408</v>
      </c>
      <c r="Q158" s="116" t="s">
        <v>271</v>
      </c>
      <c r="R158" s="145"/>
      <c r="S158" s="300" t="s">
        <v>409</v>
      </c>
      <c r="T158" s="300"/>
      <c r="U158" s="307">
        <v>4572</v>
      </c>
      <c r="V158" s="113">
        <f t="shared" si="116"/>
        <v>42.647616000000006</v>
      </c>
      <c r="W158" s="303"/>
      <c r="X158" s="303">
        <v>1</v>
      </c>
      <c r="Y158" s="303"/>
      <c r="Z158" s="303"/>
      <c r="AA158" s="303"/>
      <c r="AB158" s="303">
        <v>10</v>
      </c>
      <c r="AC158" s="303">
        <f t="shared" si="115"/>
        <v>183.33333333333331</v>
      </c>
      <c r="AD158" s="303"/>
      <c r="AE158" s="303"/>
      <c r="AF158" s="303"/>
      <c r="AG158" s="303"/>
      <c r="AH158" s="305"/>
      <c r="AI158" s="303">
        <f t="shared" ref="AI158:AI161" si="117">3.14*34*U158/1000000*(1+$AI$1)*K158</f>
        <v>1.1226454560000001</v>
      </c>
    </row>
    <row r="159" spans="1:35" s="306" customFormat="1" ht="36" customHeight="1" x14ac:dyDescent="0.25">
      <c r="A159" s="300">
        <v>15</v>
      </c>
      <c r="B159" s="300" t="s">
        <v>185</v>
      </c>
      <c r="C159" s="300"/>
      <c r="D159" s="303">
        <v>10.119999999999999</v>
      </c>
      <c r="E159" s="300"/>
      <c r="F159" s="300"/>
      <c r="G159" s="300" t="s">
        <v>411</v>
      </c>
      <c r="H159" s="300"/>
      <c r="I159" s="301" t="s">
        <v>412</v>
      </c>
      <c r="J159" s="300">
        <v>3</v>
      </c>
      <c r="K159" s="302">
        <f t="shared" si="113"/>
        <v>3</v>
      </c>
      <c r="L159" s="302"/>
      <c r="M159" s="303"/>
      <c r="N159" s="303">
        <f t="shared" si="104"/>
        <v>0</v>
      </c>
      <c r="O159" s="304" t="s">
        <v>297</v>
      </c>
      <c r="P159" s="305" t="s">
        <v>392</v>
      </c>
      <c r="Q159" s="300"/>
      <c r="R159" s="145"/>
      <c r="S159" s="300"/>
      <c r="T159" s="300"/>
      <c r="U159" s="300"/>
      <c r="V159" s="303"/>
      <c r="W159" s="303"/>
      <c r="X159" s="303"/>
      <c r="Y159" s="303"/>
      <c r="Z159" s="303"/>
      <c r="AA159" s="303"/>
      <c r="AB159" s="303"/>
      <c r="AC159" s="303"/>
      <c r="AD159" s="303"/>
      <c r="AE159" s="303"/>
      <c r="AF159" s="303"/>
      <c r="AG159" s="303"/>
      <c r="AH159" s="305"/>
      <c r="AI159" s="303"/>
    </row>
    <row r="160" spans="1:35" s="306" customFormat="1" ht="36" customHeight="1" x14ac:dyDescent="0.25">
      <c r="A160" s="300">
        <v>16</v>
      </c>
      <c r="B160" s="300" t="s">
        <v>185</v>
      </c>
      <c r="C160" s="300"/>
      <c r="D160" s="300">
        <v>10.130000000000001</v>
      </c>
      <c r="E160" s="300"/>
      <c r="F160" s="300"/>
      <c r="G160" s="300" t="s">
        <v>392</v>
      </c>
      <c r="H160" s="300"/>
      <c r="I160" s="301" t="s">
        <v>413</v>
      </c>
      <c r="J160" s="300">
        <v>1</v>
      </c>
      <c r="K160" s="302">
        <f t="shared" si="113"/>
        <v>1</v>
      </c>
      <c r="L160" s="302"/>
      <c r="M160" s="303">
        <f t="shared" ref="M160:M161" si="118">4.24*U160/1000</f>
        <v>12.92352</v>
      </c>
      <c r="N160" s="303">
        <f t="shared" si="104"/>
        <v>12.92352</v>
      </c>
      <c r="O160" s="304" t="s">
        <v>286</v>
      </c>
      <c r="P160" s="305" t="s">
        <v>408</v>
      </c>
      <c r="Q160" s="116" t="s">
        <v>271</v>
      </c>
      <c r="R160" s="145"/>
      <c r="S160" s="300" t="s">
        <v>409</v>
      </c>
      <c r="T160" s="300"/>
      <c r="U160" s="307">
        <v>3048</v>
      </c>
      <c r="V160" s="113">
        <f t="shared" ref="V160:V161" si="119">M160*K160*(1+$V$1)</f>
        <v>14.215872000000001</v>
      </c>
      <c r="W160" s="303"/>
      <c r="X160" s="303">
        <v>1</v>
      </c>
      <c r="Y160" s="303"/>
      <c r="Z160" s="303"/>
      <c r="AA160" s="303"/>
      <c r="AB160" s="303">
        <v>10</v>
      </c>
      <c r="AC160" s="303">
        <f t="shared" ref="AC160:AC161" si="120">AB160*($AC$1/60)*K160</f>
        <v>91.666666666666657</v>
      </c>
      <c r="AD160" s="303"/>
      <c r="AE160" s="303"/>
      <c r="AF160" s="303"/>
      <c r="AG160" s="303"/>
      <c r="AH160" s="305"/>
      <c r="AI160" s="303">
        <f t="shared" si="117"/>
        <v>0.37421515200000005</v>
      </c>
    </row>
    <row r="161" spans="1:35" s="306" customFormat="1" ht="36" customHeight="1" x14ac:dyDescent="0.25">
      <c r="A161" s="300">
        <v>17</v>
      </c>
      <c r="B161" s="300" t="s">
        <v>185</v>
      </c>
      <c r="C161" s="300"/>
      <c r="D161" s="303">
        <v>10.14</v>
      </c>
      <c r="E161" s="300"/>
      <c r="F161" s="300"/>
      <c r="G161" s="300" t="s">
        <v>392</v>
      </c>
      <c r="H161" s="300"/>
      <c r="I161" s="301" t="s">
        <v>414</v>
      </c>
      <c r="J161" s="300">
        <v>1</v>
      </c>
      <c r="K161" s="302">
        <f t="shared" si="113"/>
        <v>1</v>
      </c>
      <c r="L161" s="302"/>
      <c r="M161" s="303">
        <f t="shared" si="118"/>
        <v>20.67848</v>
      </c>
      <c r="N161" s="303">
        <f t="shared" si="104"/>
        <v>20.67848</v>
      </c>
      <c r="O161" s="304" t="s">
        <v>286</v>
      </c>
      <c r="P161" s="305" t="s">
        <v>408</v>
      </c>
      <c r="Q161" s="116" t="s">
        <v>271</v>
      </c>
      <c r="R161" s="145"/>
      <c r="S161" s="300" t="s">
        <v>409</v>
      </c>
      <c r="T161" s="300"/>
      <c r="U161" s="307">
        <v>4877</v>
      </c>
      <c r="V161" s="113">
        <f t="shared" si="119"/>
        <v>22.746328000000002</v>
      </c>
      <c r="W161" s="303"/>
      <c r="X161" s="303">
        <v>1</v>
      </c>
      <c r="Y161" s="303"/>
      <c r="Z161" s="303"/>
      <c r="AA161" s="303"/>
      <c r="AB161" s="303">
        <v>10</v>
      </c>
      <c r="AC161" s="303">
        <f t="shared" si="120"/>
        <v>91.666666666666657</v>
      </c>
      <c r="AD161" s="303"/>
      <c r="AE161" s="303"/>
      <c r="AF161" s="303"/>
      <c r="AG161" s="303"/>
      <c r="AH161" s="305"/>
      <c r="AI161" s="303">
        <f t="shared" si="117"/>
        <v>0.59876879799999994</v>
      </c>
    </row>
    <row r="162" spans="1:35" s="109" customFormat="1" ht="36" customHeight="1" x14ac:dyDescent="0.25">
      <c r="A162" s="124">
        <v>1</v>
      </c>
      <c r="B162" s="124" t="s">
        <v>187</v>
      </c>
      <c r="C162" s="102">
        <v>11</v>
      </c>
      <c r="D162" s="102"/>
      <c r="E162" s="102"/>
      <c r="F162" s="102"/>
      <c r="G162" s="102" t="s">
        <v>187</v>
      </c>
      <c r="H162" s="102" t="s">
        <v>22</v>
      </c>
      <c r="I162" s="103" t="s">
        <v>188</v>
      </c>
      <c r="J162" s="102">
        <f>VLOOKUP(G162,'Customer Data '!$B$1:$D$14,3,0)</f>
        <v>1</v>
      </c>
      <c r="K162" s="104">
        <f>J162</f>
        <v>1</v>
      </c>
      <c r="L162" s="105"/>
      <c r="M162" s="105">
        <v>69</v>
      </c>
      <c r="N162" s="105">
        <f>M162*K162</f>
        <v>69</v>
      </c>
      <c r="O162" s="123" t="s">
        <v>251</v>
      </c>
      <c r="P162" s="108"/>
      <c r="Q162" s="128"/>
      <c r="R162" s="106"/>
      <c r="S162" s="102"/>
      <c r="T162" s="102"/>
      <c r="U162" s="105"/>
      <c r="V162" s="105">
        <f>SUM(V163:V170)</f>
        <v>83.987346079999995</v>
      </c>
      <c r="W162" s="107"/>
      <c r="X162" s="105">
        <f>SUMPRODUCT(X163:X170,$K$163:$K$170)</f>
        <v>22.320642424242426</v>
      </c>
      <c r="Y162" s="105">
        <f>SUM(Y163:Y170)</f>
        <v>0</v>
      </c>
      <c r="Z162" s="105">
        <f>SUMPRODUCT(Z163:Z170,$K$163:$K$170)</f>
        <v>4</v>
      </c>
      <c r="AA162" s="105"/>
      <c r="AB162" s="105">
        <f>SUMPRODUCT(AB163:AB170,$K$163:$K$170)</f>
        <v>30</v>
      </c>
      <c r="AC162" s="105">
        <f>SUMPRODUCT(AC163:AC170,$K$163:$K$170)</f>
        <v>366.66666666666663</v>
      </c>
      <c r="AD162" s="105" t="s">
        <v>301</v>
      </c>
      <c r="AE162" s="105"/>
      <c r="AF162" s="105">
        <f>(((120+80)*2*9)+(457+102)*2)/1000*(1+$AF$1)*K162</f>
        <v>5.6616</v>
      </c>
      <c r="AG162" s="105"/>
      <c r="AH162" s="108"/>
      <c r="AI162" s="105">
        <f>SUM(AI163:AI170)</f>
        <v>2.203275256</v>
      </c>
    </row>
    <row r="163" spans="1:35" s="306" customFormat="1" ht="36" customHeight="1" x14ac:dyDescent="0.25">
      <c r="A163" s="300">
        <v>2</v>
      </c>
      <c r="B163" s="300" t="s">
        <v>187</v>
      </c>
      <c r="C163" s="300"/>
      <c r="D163" s="300">
        <v>11.1</v>
      </c>
      <c r="E163" s="300"/>
      <c r="F163" s="300"/>
      <c r="G163" s="300" t="s">
        <v>415</v>
      </c>
      <c r="H163" s="300"/>
      <c r="I163" s="301" t="s">
        <v>416</v>
      </c>
      <c r="J163" s="300">
        <v>1</v>
      </c>
      <c r="K163" s="302">
        <f>J163*$K$162</f>
        <v>1</v>
      </c>
      <c r="L163" s="302"/>
      <c r="M163" s="302">
        <v>13</v>
      </c>
      <c r="N163" s="303">
        <f t="shared" ref="N163:N169" si="121">M163*K163</f>
        <v>13</v>
      </c>
      <c r="O163" s="304" t="s">
        <v>394</v>
      </c>
      <c r="P163" s="305" t="s">
        <v>417</v>
      </c>
      <c r="Q163" s="110" t="s">
        <v>540</v>
      </c>
      <c r="R163" s="145"/>
      <c r="S163" s="312" t="s">
        <v>418</v>
      </c>
      <c r="T163" s="300"/>
      <c r="U163" s="307">
        <v>914</v>
      </c>
      <c r="V163" s="113">
        <f t="shared" ref="V163:V165" si="122">M163*K163*(1+$V$1)</f>
        <v>14.3</v>
      </c>
      <c r="W163" s="303"/>
      <c r="X163" s="303">
        <v>3</v>
      </c>
      <c r="Y163" s="303"/>
      <c r="Z163" s="303"/>
      <c r="AA163" s="303"/>
      <c r="AB163" s="303">
        <v>5</v>
      </c>
      <c r="AC163" s="303">
        <f t="shared" ref="AC163:AC165" si="123">AB163*($AC$1/60)*K163</f>
        <v>45.833333333333329</v>
      </c>
      <c r="AD163" s="303"/>
      <c r="AE163" s="303"/>
      <c r="AF163" s="303"/>
      <c r="AG163" s="303"/>
      <c r="AH163" s="305"/>
      <c r="AI163" s="303">
        <f>0.42*(U163/1000)*K163*(1+$AI$1)</f>
        <v>0.44146199999999997</v>
      </c>
    </row>
    <row r="164" spans="1:35" s="306" customFormat="1" ht="36" customHeight="1" x14ac:dyDescent="0.25">
      <c r="A164" s="300">
        <v>3</v>
      </c>
      <c r="B164" s="300" t="s">
        <v>187</v>
      </c>
      <c r="C164" s="300"/>
      <c r="D164" s="300">
        <v>11.2</v>
      </c>
      <c r="E164" s="300"/>
      <c r="F164" s="300"/>
      <c r="G164" s="300" t="s">
        <v>419</v>
      </c>
      <c r="H164" s="300"/>
      <c r="I164" s="301" t="s">
        <v>420</v>
      </c>
      <c r="J164" s="300">
        <v>1</v>
      </c>
      <c r="K164" s="302">
        <f t="shared" ref="K164:K170" si="124">J164*$K$162</f>
        <v>1</v>
      </c>
      <c r="L164" s="302"/>
      <c r="M164" s="303">
        <v>24</v>
      </c>
      <c r="N164" s="303">
        <f t="shared" si="121"/>
        <v>24</v>
      </c>
      <c r="O164" s="304" t="s">
        <v>394</v>
      </c>
      <c r="P164" s="305" t="s">
        <v>417</v>
      </c>
      <c r="Q164" s="110" t="s">
        <v>540</v>
      </c>
      <c r="R164" s="145"/>
      <c r="S164" s="312" t="s">
        <v>418</v>
      </c>
      <c r="T164" s="300"/>
      <c r="U164" s="307">
        <v>1651</v>
      </c>
      <c r="V164" s="113">
        <f t="shared" si="122"/>
        <v>26.400000000000002</v>
      </c>
      <c r="W164" s="303"/>
      <c r="X164" s="303">
        <v>3</v>
      </c>
      <c r="Y164" s="303"/>
      <c r="Z164" s="303"/>
      <c r="AA164" s="303"/>
      <c r="AB164" s="303">
        <v>5</v>
      </c>
      <c r="AC164" s="303">
        <f t="shared" si="123"/>
        <v>45.833333333333329</v>
      </c>
      <c r="AD164" s="303"/>
      <c r="AE164" s="303"/>
      <c r="AF164" s="303"/>
      <c r="AG164" s="303"/>
      <c r="AH164" s="305"/>
      <c r="AI164" s="303">
        <f>0.42*(U164/1000)*K164*(1+$AI$1)</f>
        <v>0.79743299999999995</v>
      </c>
    </row>
    <row r="165" spans="1:35" s="306" customFormat="1" ht="36" customHeight="1" x14ac:dyDescent="0.25">
      <c r="A165" s="300">
        <v>4</v>
      </c>
      <c r="B165" s="300" t="s">
        <v>187</v>
      </c>
      <c r="C165" s="300"/>
      <c r="D165" s="300">
        <v>11.3</v>
      </c>
      <c r="E165" s="300"/>
      <c r="F165" s="300"/>
      <c r="G165" s="300" t="s">
        <v>421</v>
      </c>
      <c r="H165" s="300"/>
      <c r="I165" s="301" t="s">
        <v>422</v>
      </c>
      <c r="J165" s="300">
        <v>1</v>
      </c>
      <c r="K165" s="302">
        <f t="shared" si="124"/>
        <v>1</v>
      </c>
      <c r="L165" s="302"/>
      <c r="M165" s="303">
        <v>14</v>
      </c>
      <c r="N165" s="303">
        <f t="shared" si="121"/>
        <v>14</v>
      </c>
      <c r="O165" s="304" t="s">
        <v>394</v>
      </c>
      <c r="P165" s="305" t="s">
        <v>417</v>
      </c>
      <c r="Q165" s="110" t="s">
        <v>540</v>
      </c>
      <c r="R165" s="145"/>
      <c r="S165" s="312" t="s">
        <v>418</v>
      </c>
      <c r="T165" s="300"/>
      <c r="U165" s="307">
        <v>1000</v>
      </c>
      <c r="V165" s="113">
        <f t="shared" si="122"/>
        <v>15.400000000000002</v>
      </c>
      <c r="W165" s="303"/>
      <c r="X165" s="303">
        <v>3</v>
      </c>
      <c r="Y165" s="303"/>
      <c r="Z165" s="303"/>
      <c r="AA165" s="303"/>
      <c r="AB165" s="303">
        <v>5</v>
      </c>
      <c r="AC165" s="303">
        <f t="shared" si="123"/>
        <v>45.833333333333329</v>
      </c>
      <c r="AD165" s="303"/>
      <c r="AE165" s="303"/>
      <c r="AF165" s="303"/>
      <c r="AG165" s="303"/>
      <c r="AH165" s="305"/>
      <c r="AI165" s="303">
        <f>0.42*(U165/1000)*K165*(1+$AI$1)</f>
        <v>0.48299999999999993</v>
      </c>
    </row>
    <row r="166" spans="1:35" s="306" customFormat="1" ht="36" customHeight="1" x14ac:dyDescent="0.25">
      <c r="A166" s="300">
        <v>5</v>
      </c>
      <c r="B166" s="300" t="s">
        <v>187</v>
      </c>
      <c r="C166" s="300"/>
      <c r="D166" s="300">
        <v>11.4</v>
      </c>
      <c r="E166" s="300"/>
      <c r="F166" s="300"/>
      <c r="G166" s="300" t="s">
        <v>423</v>
      </c>
      <c r="H166" s="300"/>
      <c r="I166" s="301" t="s">
        <v>424</v>
      </c>
      <c r="J166" s="300">
        <v>2</v>
      </c>
      <c r="K166" s="302">
        <f t="shared" si="124"/>
        <v>2</v>
      </c>
      <c r="L166" s="302"/>
      <c r="M166" s="303">
        <v>0.2</v>
      </c>
      <c r="N166" s="303">
        <f t="shared" si="121"/>
        <v>0.4</v>
      </c>
      <c r="O166" s="304" t="s">
        <v>44</v>
      </c>
      <c r="P166" s="305" t="s">
        <v>425</v>
      </c>
      <c r="Q166" s="116" t="s">
        <v>777</v>
      </c>
      <c r="R166" s="145"/>
      <c r="S166" s="300" t="s">
        <v>326</v>
      </c>
      <c r="T166" s="300"/>
      <c r="U166" s="307">
        <f>47+120+47</f>
        <v>214</v>
      </c>
      <c r="V166" s="113">
        <f>5.33*U166/1000*(1+$V$1)*K166</f>
        <v>2.5093640000000006</v>
      </c>
      <c r="W166" s="303"/>
      <c r="X166" s="303">
        <v>2</v>
      </c>
      <c r="Y166" s="303"/>
      <c r="Z166" s="303">
        <v>2</v>
      </c>
      <c r="AA166" s="303"/>
      <c r="AB166" s="303"/>
      <c r="AC166" s="303"/>
      <c r="AD166" s="303"/>
      <c r="AE166" s="303"/>
      <c r="AF166" s="303"/>
      <c r="AG166" s="303"/>
      <c r="AH166" s="305"/>
      <c r="AI166" s="356">
        <f>(3.14*12*U166/1000000*K166)*(+$AI$1)</f>
        <v>2.4190559999999997E-3</v>
      </c>
    </row>
    <row r="167" spans="1:35" s="306" customFormat="1" ht="36" customHeight="1" x14ac:dyDescent="0.25">
      <c r="A167" s="300">
        <v>6</v>
      </c>
      <c r="B167" s="300" t="s">
        <v>187</v>
      </c>
      <c r="C167" s="300"/>
      <c r="D167" s="300">
        <v>11.5</v>
      </c>
      <c r="E167" s="300"/>
      <c r="F167" s="300"/>
      <c r="G167" s="300" t="s">
        <v>392</v>
      </c>
      <c r="H167" s="300"/>
      <c r="I167" s="301" t="s">
        <v>426</v>
      </c>
      <c r="J167" s="300">
        <v>2</v>
      </c>
      <c r="K167" s="302">
        <f t="shared" si="124"/>
        <v>2</v>
      </c>
      <c r="L167" s="302"/>
      <c r="M167" s="303">
        <f>14.92*U167/1000</f>
        <v>1.865</v>
      </c>
      <c r="N167" s="303">
        <f t="shared" si="121"/>
        <v>3.73</v>
      </c>
      <c r="O167" s="304" t="s">
        <v>394</v>
      </c>
      <c r="P167" s="305" t="s">
        <v>417</v>
      </c>
      <c r="Q167" s="110" t="s">
        <v>540</v>
      </c>
      <c r="R167" s="145"/>
      <c r="S167" s="312" t="s">
        <v>418</v>
      </c>
      <c r="T167" s="300"/>
      <c r="U167" s="307">
        <v>125</v>
      </c>
      <c r="V167" s="113">
        <f>M167*K167*(1+$V$1)</f>
        <v>4.1030000000000006</v>
      </c>
      <c r="W167" s="303"/>
      <c r="X167" s="303">
        <v>3</v>
      </c>
      <c r="Y167" s="303"/>
      <c r="Z167" s="303"/>
      <c r="AA167" s="303"/>
      <c r="AB167" s="303"/>
      <c r="AC167" s="303"/>
      <c r="AD167" s="303"/>
      <c r="AE167" s="303"/>
      <c r="AF167" s="303"/>
      <c r="AG167" s="303"/>
      <c r="AH167" s="305"/>
      <c r="AI167" s="303">
        <f>0.42*(U167/1000)*K167*(1+$AI$1)</f>
        <v>0.12074999999999998</v>
      </c>
    </row>
    <row r="168" spans="1:35" s="306" customFormat="1" ht="36" customHeight="1" x14ac:dyDescent="0.25">
      <c r="A168" s="300">
        <v>7</v>
      </c>
      <c r="B168" s="300" t="s">
        <v>187</v>
      </c>
      <c r="C168" s="300"/>
      <c r="D168" s="300">
        <v>11.6</v>
      </c>
      <c r="E168" s="300"/>
      <c r="F168" s="300"/>
      <c r="G168" s="300" t="s">
        <v>427</v>
      </c>
      <c r="H168" s="300"/>
      <c r="I168" s="301" t="s">
        <v>428</v>
      </c>
      <c r="J168" s="300">
        <v>2</v>
      </c>
      <c r="K168" s="302">
        <f t="shared" si="124"/>
        <v>2</v>
      </c>
      <c r="L168" s="302"/>
      <c r="M168" s="303">
        <v>3</v>
      </c>
      <c r="N168" s="303">
        <f t="shared" si="121"/>
        <v>6</v>
      </c>
      <c r="O168" s="304" t="s">
        <v>21</v>
      </c>
      <c r="P168" s="305" t="s">
        <v>429</v>
      </c>
      <c r="Q168" s="116" t="s">
        <v>777</v>
      </c>
      <c r="R168" s="145"/>
      <c r="S168" s="300">
        <v>20</v>
      </c>
      <c r="T168" s="300">
        <v>286</v>
      </c>
      <c r="U168" s="307">
        <v>130</v>
      </c>
      <c r="V168" s="113">
        <f t="shared" ref="V168:V170" si="125">S168*T168*U168*0.00000785*(1+$V$1)*K168</f>
        <v>12.841972</v>
      </c>
      <c r="W168" s="113">
        <f t="shared" ref="W168:W170" si="126">((T168+U168)*2*(1+$W$1))/1000</f>
        <v>0.95679999999999998</v>
      </c>
      <c r="X168" s="113">
        <f>W168/1.5</f>
        <v>0.63786666666666669</v>
      </c>
      <c r="Y168" s="303"/>
      <c r="Z168" s="303"/>
      <c r="AA168" s="303"/>
      <c r="AB168" s="303">
        <v>5</v>
      </c>
      <c r="AC168" s="303">
        <f>AB168*($AC$1/60)*K168</f>
        <v>91.666666666666657</v>
      </c>
      <c r="AD168" s="303"/>
      <c r="AE168" s="303"/>
      <c r="AF168" s="303"/>
      <c r="AG168" s="303"/>
      <c r="AH168" s="305"/>
      <c r="AI168" s="356">
        <f t="shared" ref="AI168:AI170" si="127">(T168*U168*2)/1000000*(1+$AI$1)*K168</f>
        <v>0.17102799999999999</v>
      </c>
    </row>
    <row r="169" spans="1:35" s="306" customFormat="1" ht="36" customHeight="1" x14ac:dyDescent="0.25">
      <c r="A169" s="300">
        <v>8</v>
      </c>
      <c r="B169" s="300" t="s">
        <v>187</v>
      </c>
      <c r="C169" s="300"/>
      <c r="D169" s="300">
        <v>11.7</v>
      </c>
      <c r="E169" s="300"/>
      <c r="F169" s="300"/>
      <c r="G169" s="300" t="s">
        <v>430</v>
      </c>
      <c r="H169" s="300"/>
      <c r="I169" s="301" t="s">
        <v>431</v>
      </c>
      <c r="J169" s="300">
        <v>1</v>
      </c>
      <c r="K169" s="302">
        <f t="shared" si="124"/>
        <v>1</v>
      </c>
      <c r="L169" s="302"/>
      <c r="M169" s="303">
        <v>4.4000000000000004</v>
      </c>
      <c r="N169" s="303">
        <f t="shared" si="121"/>
        <v>4.4000000000000004</v>
      </c>
      <c r="O169" s="304" t="s">
        <v>21</v>
      </c>
      <c r="P169" s="305" t="s">
        <v>202</v>
      </c>
      <c r="Q169" s="116" t="s">
        <v>573</v>
      </c>
      <c r="R169" s="145"/>
      <c r="S169" s="300">
        <v>12</v>
      </c>
      <c r="T169" s="300">
        <v>102</v>
      </c>
      <c r="U169" s="307">
        <v>457</v>
      </c>
      <c r="V169" s="113">
        <f t="shared" si="125"/>
        <v>4.8301426799999998</v>
      </c>
      <c r="W169" s="113">
        <f t="shared" si="126"/>
        <v>1.2856999999999998</v>
      </c>
      <c r="X169" s="113">
        <f t="shared" ref="X169:X170" si="128">W169/1.1</f>
        <v>1.1688181818181815</v>
      </c>
      <c r="Y169" s="303"/>
      <c r="Z169" s="303"/>
      <c r="AA169" s="303"/>
      <c r="AB169" s="303"/>
      <c r="AC169" s="303"/>
      <c r="AD169" s="303"/>
      <c r="AE169" s="303"/>
      <c r="AF169" s="303"/>
      <c r="AG169" s="303"/>
      <c r="AH169" s="305"/>
      <c r="AI169" s="356">
        <f t="shared" si="127"/>
        <v>0.10721219999999999</v>
      </c>
    </row>
    <row r="170" spans="1:35" s="306" customFormat="1" ht="36" customHeight="1" x14ac:dyDescent="0.25">
      <c r="A170" s="300">
        <v>9</v>
      </c>
      <c r="B170" s="300" t="s">
        <v>187</v>
      </c>
      <c r="C170" s="300"/>
      <c r="D170" s="300">
        <v>11.8</v>
      </c>
      <c r="E170" s="300"/>
      <c r="F170" s="300"/>
      <c r="G170" s="300" t="s">
        <v>432</v>
      </c>
      <c r="H170" s="300"/>
      <c r="I170" s="301" t="s">
        <v>433</v>
      </c>
      <c r="J170" s="300">
        <v>1</v>
      </c>
      <c r="K170" s="302">
        <f t="shared" si="124"/>
        <v>1</v>
      </c>
      <c r="L170" s="302"/>
      <c r="M170" s="303">
        <v>3</v>
      </c>
      <c r="N170" s="303"/>
      <c r="O170" s="304" t="s">
        <v>21</v>
      </c>
      <c r="P170" s="305" t="s">
        <v>202</v>
      </c>
      <c r="Q170" s="116" t="s">
        <v>573</v>
      </c>
      <c r="R170" s="145"/>
      <c r="S170" s="300">
        <v>12</v>
      </c>
      <c r="T170" s="300">
        <v>114</v>
      </c>
      <c r="U170" s="307">
        <v>305</v>
      </c>
      <c r="V170" s="113">
        <f t="shared" si="125"/>
        <v>3.6028673999999996</v>
      </c>
      <c r="W170" s="113">
        <f t="shared" si="126"/>
        <v>0.96369999999999989</v>
      </c>
      <c r="X170" s="113">
        <f t="shared" si="128"/>
        <v>0.87609090909090892</v>
      </c>
      <c r="Y170" s="303"/>
      <c r="Z170" s="303"/>
      <c r="AA170" s="303"/>
      <c r="AB170" s="303">
        <v>5</v>
      </c>
      <c r="AC170" s="303">
        <f>AB170*($AC$1/60)*K170</f>
        <v>45.833333333333329</v>
      </c>
      <c r="AD170" s="303"/>
      <c r="AE170" s="303"/>
      <c r="AF170" s="303"/>
      <c r="AG170" s="303"/>
      <c r="AH170" s="305"/>
      <c r="AI170" s="356">
        <f t="shared" si="127"/>
        <v>7.9971E-2</v>
      </c>
    </row>
    <row r="171" spans="1:35" s="109" customFormat="1" ht="36" customHeight="1" x14ac:dyDescent="0.25">
      <c r="A171" s="124">
        <v>1</v>
      </c>
      <c r="B171" s="124" t="s">
        <v>189</v>
      </c>
      <c r="C171" s="102">
        <v>12</v>
      </c>
      <c r="D171" s="102"/>
      <c r="E171" s="102"/>
      <c r="F171" s="102"/>
      <c r="G171" s="102" t="s">
        <v>189</v>
      </c>
      <c r="H171" s="102" t="s">
        <v>22</v>
      </c>
      <c r="I171" s="103" t="s">
        <v>434</v>
      </c>
      <c r="J171" s="102">
        <f>VLOOKUP(G171,'Customer Data '!$B$1:$D$14,3,0)</f>
        <v>1</v>
      </c>
      <c r="K171" s="104">
        <f>J171</f>
        <v>1</v>
      </c>
      <c r="L171" s="105"/>
      <c r="M171" s="105">
        <v>777</v>
      </c>
      <c r="N171" s="105">
        <f>M171*K171</f>
        <v>777</v>
      </c>
      <c r="O171" s="123" t="s">
        <v>251</v>
      </c>
      <c r="P171" s="108"/>
      <c r="Q171" s="128"/>
      <c r="R171" s="106"/>
      <c r="S171" s="102"/>
      <c r="T171" s="102"/>
      <c r="U171" s="105"/>
      <c r="V171" s="105">
        <f>SUM(V172:V186)</f>
        <v>942.30276602000026</v>
      </c>
      <c r="W171" s="107"/>
      <c r="X171" s="105">
        <f>SUMPRODUCT(X172:X186,$K$172:$K$186)</f>
        <v>94.168469070887681</v>
      </c>
      <c r="Y171" s="105">
        <f>SUM(Y172:Y186)</f>
        <v>0</v>
      </c>
      <c r="Z171" s="105">
        <f>SUMPRODUCT(Z172:Z186,$K$172:$K$186)</f>
        <v>3</v>
      </c>
      <c r="AA171" s="105"/>
      <c r="AB171" s="105">
        <f>SUMPRODUCT(AB172:AB186,$K$172:$K$186)</f>
        <v>259</v>
      </c>
      <c r="AC171" s="105">
        <f>SUM(AC172:AC186)</f>
        <v>2374.1666666666665</v>
      </c>
      <c r="AD171" s="105" t="s">
        <v>301</v>
      </c>
      <c r="AE171" s="105"/>
      <c r="AF171" s="105"/>
      <c r="AG171" s="105"/>
      <c r="AH171" s="108"/>
      <c r="AI171" s="105">
        <f>SUM(AI172:AI186)</f>
        <v>8.1248013360000009</v>
      </c>
    </row>
    <row r="172" spans="1:35" s="306" customFormat="1" ht="36" customHeight="1" x14ac:dyDescent="0.25">
      <c r="A172" s="300">
        <v>2</v>
      </c>
      <c r="B172" s="300" t="s">
        <v>189</v>
      </c>
      <c r="C172" s="300"/>
      <c r="D172" s="300">
        <v>12.1</v>
      </c>
      <c r="E172" s="300"/>
      <c r="F172" s="300"/>
      <c r="G172" s="300" t="s">
        <v>435</v>
      </c>
      <c r="H172" s="300"/>
      <c r="I172" s="301" t="s">
        <v>436</v>
      </c>
      <c r="J172" s="300">
        <v>3</v>
      </c>
      <c r="K172" s="302">
        <f>J172*$K$171</f>
        <v>3</v>
      </c>
      <c r="L172" s="302"/>
      <c r="M172" s="302">
        <v>10.6</v>
      </c>
      <c r="N172" s="303">
        <f t="shared" ref="N172:N186" si="129">M172*K172</f>
        <v>31.799999999999997</v>
      </c>
      <c r="O172" s="304" t="s">
        <v>21</v>
      </c>
      <c r="P172" s="305" t="s">
        <v>202</v>
      </c>
      <c r="Q172" s="116" t="s">
        <v>573</v>
      </c>
      <c r="R172" s="145"/>
      <c r="S172" s="300">
        <v>10</v>
      </c>
      <c r="T172" s="300">
        <v>372</v>
      </c>
      <c r="U172" s="307">
        <v>514</v>
      </c>
      <c r="V172" s="113">
        <f>S172*T172*U172*0.00000785*(1+$V$1)*K172</f>
        <v>49.532432400000005</v>
      </c>
      <c r="W172" s="113">
        <f>(((T172+U172)*2+(3.14*90*4))*(1+$W$1))/1000</f>
        <v>3.3377599999999998</v>
      </c>
      <c r="X172" s="113">
        <f>W172/1.1</f>
        <v>3.0343272727272725</v>
      </c>
      <c r="Y172" s="303"/>
      <c r="Z172" s="303">
        <v>1</v>
      </c>
      <c r="AA172" s="303" t="s">
        <v>294</v>
      </c>
      <c r="AB172" s="303"/>
      <c r="AC172" s="303"/>
      <c r="AD172" s="303"/>
      <c r="AE172" s="303"/>
      <c r="AF172" s="303"/>
      <c r="AG172" s="303"/>
      <c r="AH172" s="305"/>
      <c r="AI172" s="356">
        <f>(T172*U172*2)/1000000*(1+$AI$1)*K172</f>
        <v>1.3193351999999998</v>
      </c>
    </row>
    <row r="173" spans="1:35" s="306" customFormat="1" ht="36" customHeight="1" x14ac:dyDescent="0.25">
      <c r="A173" s="300">
        <v>3</v>
      </c>
      <c r="B173" s="300" t="s">
        <v>189</v>
      </c>
      <c r="C173" s="300"/>
      <c r="D173" s="300">
        <v>12.2</v>
      </c>
      <c r="E173" s="300"/>
      <c r="F173" s="300"/>
      <c r="G173" s="300" t="s">
        <v>437</v>
      </c>
      <c r="H173" s="300"/>
      <c r="I173" s="301" t="s">
        <v>533</v>
      </c>
      <c r="J173" s="300">
        <v>1</v>
      </c>
      <c r="K173" s="302">
        <f t="shared" ref="K173:K186" si="130">J173*$K$171</f>
        <v>1</v>
      </c>
      <c r="L173" s="302"/>
      <c r="M173" s="303">
        <v>241</v>
      </c>
      <c r="N173" s="303">
        <f t="shared" si="129"/>
        <v>241</v>
      </c>
      <c r="O173" s="304" t="s">
        <v>291</v>
      </c>
      <c r="P173" s="305" t="s">
        <v>262</v>
      </c>
      <c r="Q173" s="116" t="s">
        <v>573</v>
      </c>
      <c r="R173" s="145"/>
      <c r="S173" s="300" t="s">
        <v>534</v>
      </c>
      <c r="T173" s="300"/>
      <c r="U173" s="307">
        <v>3600</v>
      </c>
      <c r="V173" s="113">
        <f>67.16*U173/1000*(1+$V$1)*K173</f>
        <v>265.95360000000005</v>
      </c>
      <c r="W173" s="303">
        <f>(3.14*254*7)/1000*(1+$W$1)*K173</f>
        <v>6.4203579999999993</v>
      </c>
      <c r="X173" s="303">
        <v>8</v>
      </c>
      <c r="Y173" s="303"/>
      <c r="Z173" s="303"/>
      <c r="AA173" s="303"/>
      <c r="AB173" s="303"/>
      <c r="AC173" s="303"/>
      <c r="AD173" s="303"/>
      <c r="AE173" s="303"/>
      <c r="AF173" s="303"/>
      <c r="AG173" s="113" t="s">
        <v>554</v>
      </c>
      <c r="AH173" s="305"/>
      <c r="AI173" s="303">
        <f xml:space="preserve"> 0.0122744*(U173/1000)*K173*(1+$AI$1)</f>
        <v>5.0816015999999992E-2</v>
      </c>
    </row>
    <row r="174" spans="1:35" s="306" customFormat="1" ht="36" customHeight="1" x14ac:dyDescent="0.25">
      <c r="A174" s="300">
        <v>4</v>
      </c>
      <c r="B174" s="300" t="s">
        <v>189</v>
      </c>
      <c r="C174" s="300"/>
      <c r="D174" s="300">
        <v>12.3</v>
      </c>
      <c r="E174" s="300"/>
      <c r="F174" s="300"/>
      <c r="G174" s="300" t="s">
        <v>438</v>
      </c>
      <c r="H174" s="300"/>
      <c r="I174" s="301" t="s">
        <v>533</v>
      </c>
      <c r="J174" s="300">
        <v>1</v>
      </c>
      <c r="K174" s="302">
        <f t="shared" si="130"/>
        <v>1</v>
      </c>
      <c r="L174" s="302"/>
      <c r="M174" s="303">
        <v>241</v>
      </c>
      <c r="N174" s="303">
        <f t="shared" si="129"/>
        <v>241</v>
      </c>
      <c r="O174" s="304" t="s">
        <v>291</v>
      </c>
      <c r="P174" s="305" t="s">
        <v>262</v>
      </c>
      <c r="Q174" s="116" t="s">
        <v>573</v>
      </c>
      <c r="R174" s="145"/>
      <c r="S174" s="300" t="s">
        <v>534</v>
      </c>
      <c r="T174" s="300"/>
      <c r="U174" s="307">
        <v>3600</v>
      </c>
      <c r="V174" s="113">
        <f>67.16*U174/1000*(1+$V$1)*K174</f>
        <v>265.95360000000005</v>
      </c>
      <c r="W174" s="303">
        <f>(3.14*254*7)/1000*(1+$W$1)*K174</f>
        <v>6.4203579999999993</v>
      </c>
      <c r="X174" s="303">
        <v>8</v>
      </c>
      <c r="Y174" s="303"/>
      <c r="Z174" s="303"/>
      <c r="AA174" s="303"/>
      <c r="AB174" s="303"/>
      <c r="AC174" s="303"/>
      <c r="AD174" s="303"/>
      <c r="AE174" s="303"/>
      <c r="AF174" s="303"/>
      <c r="AG174" s="113" t="s">
        <v>554</v>
      </c>
      <c r="AH174" s="305"/>
      <c r="AI174" s="303">
        <f xml:space="preserve"> 0.0122744*(U174/1000)*K174*(1+$AI$1)</f>
        <v>5.0816015999999992E-2</v>
      </c>
    </row>
    <row r="175" spans="1:35" s="306" customFormat="1" ht="36" customHeight="1" x14ac:dyDescent="0.25">
      <c r="A175" s="300">
        <v>5</v>
      </c>
      <c r="B175" s="300" t="s">
        <v>189</v>
      </c>
      <c r="C175" s="300"/>
      <c r="D175" s="300">
        <v>12.4</v>
      </c>
      <c r="E175" s="300"/>
      <c r="F175" s="300"/>
      <c r="G175" s="300" t="s">
        <v>439</v>
      </c>
      <c r="H175" s="300"/>
      <c r="I175" s="301" t="s">
        <v>440</v>
      </c>
      <c r="J175" s="300">
        <v>4</v>
      </c>
      <c r="K175" s="302">
        <f t="shared" si="130"/>
        <v>4</v>
      </c>
      <c r="L175" s="302"/>
      <c r="M175" s="303">
        <v>10.4</v>
      </c>
      <c r="N175" s="303">
        <f t="shared" si="129"/>
        <v>41.6</v>
      </c>
      <c r="O175" s="304" t="s">
        <v>21</v>
      </c>
      <c r="P175" s="305" t="s">
        <v>202</v>
      </c>
      <c r="Q175" s="116" t="s">
        <v>573</v>
      </c>
      <c r="R175" s="145"/>
      <c r="S175" s="300">
        <v>12</v>
      </c>
      <c r="T175" s="300">
        <v>317</v>
      </c>
      <c r="U175" s="307">
        <v>613</v>
      </c>
      <c r="V175" s="113">
        <f t="shared" ref="V175:V177" si="131">S175*T175*U175*0.00000785*(1+$V$1)*K175</f>
        <v>80.542168079999996</v>
      </c>
      <c r="W175" s="113">
        <f t="shared" ref="W175:W177" si="132">((T175+U175)*2*(1+$W$1))/1000</f>
        <v>2.1389999999999998</v>
      </c>
      <c r="X175" s="113">
        <f>W175/1.1</f>
        <v>1.9445454545454541</v>
      </c>
      <c r="Y175" s="303"/>
      <c r="Z175" s="303"/>
      <c r="AA175" s="303"/>
      <c r="AB175" s="303"/>
      <c r="AC175" s="303"/>
      <c r="AD175" s="303"/>
      <c r="AE175" s="303"/>
      <c r="AF175" s="303"/>
      <c r="AG175" s="303"/>
      <c r="AH175" s="305"/>
      <c r="AI175" s="356">
        <f t="shared" ref="AI175:AI177" si="133">(T175*U175*2)/1000000*(1+$AI$1)*K175</f>
        <v>1.7877531999999998</v>
      </c>
    </row>
    <row r="176" spans="1:35" s="306" customFormat="1" ht="36" customHeight="1" x14ac:dyDescent="0.25">
      <c r="A176" s="300">
        <v>6</v>
      </c>
      <c r="B176" s="300" t="s">
        <v>189</v>
      </c>
      <c r="C176" s="300"/>
      <c r="D176" s="300">
        <v>12.5</v>
      </c>
      <c r="E176" s="300"/>
      <c r="F176" s="300"/>
      <c r="G176" s="300" t="s">
        <v>441</v>
      </c>
      <c r="H176" s="300"/>
      <c r="I176" s="301" t="s">
        <v>442</v>
      </c>
      <c r="J176" s="300">
        <v>1</v>
      </c>
      <c r="K176" s="302">
        <f t="shared" si="130"/>
        <v>1</v>
      </c>
      <c r="L176" s="302"/>
      <c r="M176" s="303">
        <v>47</v>
      </c>
      <c r="N176" s="303">
        <f t="shared" si="129"/>
        <v>47</v>
      </c>
      <c r="O176" s="304" t="s">
        <v>21</v>
      </c>
      <c r="P176" s="305" t="s">
        <v>429</v>
      </c>
      <c r="Q176" s="116" t="s">
        <v>777</v>
      </c>
      <c r="R176" s="145"/>
      <c r="S176" s="300">
        <v>20</v>
      </c>
      <c r="T176" s="300">
        <v>445</v>
      </c>
      <c r="U176" s="307">
        <v>714</v>
      </c>
      <c r="V176" s="113">
        <f t="shared" si="131"/>
        <v>54.871971000000002</v>
      </c>
      <c r="W176" s="113">
        <f t="shared" si="132"/>
        <v>2.6656999999999997</v>
      </c>
      <c r="X176" s="113">
        <f>W176/1.5</f>
        <v>1.7771333333333332</v>
      </c>
      <c r="Y176" s="303"/>
      <c r="Z176" s="303"/>
      <c r="AA176" s="303"/>
      <c r="AB176" s="303">
        <v>5</v>
      </c>
      <c r="AC176" s="303">
        <f t="shared" ref="AC176:AC179" si="134">AB176*($AC$1/60)*K176</f>
        <v>45.833333333333329</v>
      </c>
      <c r="AD176" s="303"/>
      <c r="AE176" s="303"/>
      <c r="AF176" s="303"/>
      <c r="AG176" s="303"/>
      <c r="AH176" s="305"/>
      <c r="AI176" s="356">
        <f t="shared" si="133"/>
        <v>0.73077899999999996</v>
      </c>
    </row>
    <row r="177" spans="1:35" s="306" customFormat="1" ht="36" customHeight="1" x14ac:dyDescent="0.25">
      <c r="A177" s="300">
        <v>7</v>
      </c>
      <c r="B177" s="300" t="s">
        <v>189</v>
      </c>
      <c r="C177" s="300"/>
      <c r="D177" s="300">
        <v>12.6</v>
      </c>
      <c r="E177" s="300"/>
      <c r="F177" s="300"/>
      <c r="G177" s="300" t="s">
        <v>443</v>
      </c>
      <c r="H177" s="300"/>
      <c r="I177" s="301" t="s">
        <v>444</v>
      </c>
      <c r="J177" s="300">
        <v>2</v>
      </c>
      <c r="K177" s="302">
        <f t="shared" si="130"/>
        <v>2</v>
      </c>
      <c r="L177" s="302"/>
      <c r="M177" s="303">
        <v>53</v>
      </c>
      <c r="N177" s="303">
        <f t="shared" si="129"/>
        <v>106</v>
      </c>
      <c r="O177" s="304" t="s">
        <v>21</v>
      </c>
      <c r="P177" s="305" t="s">
        <v>202</v>
      </c>
      <c r="Q177" s="116" t="s">
        <v>573</v>
      </c>
      <c r="R177" s="145"/>
      <c r="S177" s="300">
        <v>12</v>
      </c>
      <c r="T177" s="300">
        <v>152</v>
      </c>
      <c r="U177" s="307">
        <v>3702</v>
      </c>
      <c r="V177" s="113">
        <f t="shared" si="131"/>
        <v>116.61477695999999</v>
      </c>
      <c r="W177" s="113">
        <f t="shared" si="132"/>
        <v>8.8641999999999985</v>
      </c>
      <c r="X177" s="113">
        <f>W177/1.1</f>
        <v>8.0583636363636337</v>
      </c>
      <c r="Y177" s="303"/>
      <c r="Z177" s="303"/>
      <c r="AA177" s="303"/>
      <c r="AB177" s="303">
        <v>5</v>
      </c>
      <c r="AC177" s="303">
        <f t="shared" si="134"/>
        <v>91.666666666666657</v>
      </c>
      <c r="AD177" s="303"/>
      <c r="AE177" s="303"/>
      <c r="AF177" s="303"/>
      <c r="AG177" s="303"/>
      <c r="AH177" s="305"/>
      <c r="AI177" s="356">
        <f t="shared" si="133"/>
        <v>2.5884383999999998</v>
      </c>
    </row>
    <row r="178" spans="1:35" s="306" customFormat="1" ht="36" customHeight="1" x14ac:dyDescent="0.25">
      <c r="A178" s="300">
        <v>8</v>
      </c>
      <c r="B178" s="300" t="s">
        <v>189</v>
      </c>
      <c r="C178" s="300"/>
      <c r="D178" s="300">
        <v>12.7</v>
      </c>
      <c r="E178" s="300"/>
      <c r="F178" s="300"/>
      <c r="G178" s="300" t="s">
        <v>445</v>
      </c>
      <c r="H178" s="300"/>
      <c r="I178" s="301" t="s">
        <v>446</v>
      </c>
      <c r="J178" s="300">
        <v>4</v>
      </c>
      <c r="K178" s="302">
        <f t="shared" si="130"/>
        <v>4</v>
      </c>
      <c r="L178" s="302"/>
      <c r="M178" s="303">
        <v>0.4</v>
      </c>
      <c r="N178" s="303">
        <f t="shared" si="129"/>
        <v>1.6</v>
      </c>
      <c r="O178" s="304" t="s">
        <v>44</v>
      </c>
      <c r="P178" s="305" t="s">
        <v>447</v>
      </c>
      <c r="Q178" s="305" t="s">
        <v>447</v>
      </c>
      <c r="R178" s="145"/>
      <c r="S178" s="300" t="s">
        <v>448</v>
      </c>
      <c r="T178" s="300"/>
      <c r="U178" s="307">
        <v>23</v>
      </c>
      <c r="V178" s="113">
        <f>M178*K178*(1+$V$1)</f>
        <v>1.7600000000000002</v>
      </c>
      <c r="W178" s="303"/>
      <c r="X178" s="303">
        <v>5</v>
      </c>
      <c r="Y178" s="303"/>
      <c r="Z178" s="303"/>
      <c r="AA178" s="303"/>
      <c r="AB178" s="303">
        <v>30</v>
      </c>
      <c r="AC178" s="303">
        <f t="shared" si="134"/>
        <v>1100</v>
      </c>
      <c r="AD178" s="303"/>
      <c r="AE178" s="303"/>
      <c r="AF178" s="303"/>
      <c r="AG178" s="303"/>
      <c r="AH178" s="305"/>
      <c r="AI178" s="356">
        <f>(3.14*72*U178/1000000*K178)*(+$AI$1)</f>
        <v>3.1199039999999997E-3</v>
      </c>
    </row>
    <row r="179" spans="1:35" s="306" customFormat="1" ht="36" customHeight="1" x14ac:dyDescent="0.25">
      <c r="A179" s="300">
        <v>9</v>
      </c>
      <c r="B179" s="300" t="s">
        <v>189</v>
      </c>
      <c r="C179" s="300"/>
      <c r="D179" s="300">
        <v>12.8</v>
      </c>
      <c r="E179" s="300"/>
      <c r="F179" s="300"/>
      <c r="G179" s="300" t="s">
        <v>449</v>
      </c>
      <c r="H179" s="300"/>
      <c r="I179" s="301" t="s">
        <v>450</v>
      </c>
      <c r="J179" s="300">
        <v>1</v>
      </c>
      <c r="K179" s="302">
        <f t="shared" si="130"/>
        <v>1</v>
      </c>
      <c r="L179" s="302"/>
      <c r="M179" s="303">
        <v>25</v>
      </c>
      <c r="N179" s="303">
        <f t="shared" si="129"/>
        <v>25</v>
      </c>
      <c r="O179" s="304" t="s">
        <v>394</v>
      </c>
      <c r="P179" s="305" t="s">
        <v>425</v>
      </c>
      <c r="Q179" s="110" t="s">
        <v>540</v>
      </c>
      <c r="R179" s="145"/>
      <c r="S179" s="312" t="s">
        <v>545</v>
      </c>
      <c r="T179" s="300"/>
      <c r="U179" s="307">
        <v>575</v>
      </c>
      <c r="V179" s="113">
        <f>61.42*(U179/1000)*K179*(1+$V$1)</f>
        <v>38.848150000000004</v>
      </c>
      <c r="W179" s="303"/>
      <c r="X179" s="303">
        <v>10</v>
      </c>
      <c r="Y179" s="303"/>
      <c r="Z179" s="303"/>
      <c r="AA179" s="303"/>
      <c r="AB179" s="303">
        <v>120</v>
      </c>
      <c r="AC179" s="303">
        <f t="shared" si="134"/>
        <v>1100</v>
      </c>
      <c r="AD179" s="303"/>
      <c r="AE179" s="303"/>
      <c r="AF179" s="303"/>
      <c r="AG179" s="303"/>
      <c r="AH179" s="305"/>
      <c r="AI179" s="303">
        <f xml:space="preserve"> 0.76*(U179/1000)*K179*(1+$AI$1)</f>
        <v>0.50254999999999994</v>
      </c>
    </row>
    <row r="180" spans="1:35" s="306" customFormat="1" ht="36" customHeight="1" x14ac:dyDescent="0.25">
      <c r="A180" s="300">
        <v>10</v>
      </c>
      <c r="B180" s="300" t="s">
        <v>189</v>
      </c>
      <c r="C180" s="300"/>
      <c r="D180" s="300">
        <v>12.9</v>
      </c>
      <c r="E180" s="300"/>
      <c r="F180" s="300"/>
      <c r="G180" s="300" t="s">
        <v>452</v>
      </c>
      <c r="H180" s="300"/>
      <c r="I180" s="301" t="s">
        <v>453</v>
      </c>
      <c r="J180" s="300">
        <v>2</v>
      </c>
      <c r="K180" s="302">
        <f t="shared" si="130"/>
        <v>2</v>
      </c>
      <c r="L180" s="302"/>
      <c r="M180" s="303">
        <v>3</v>
      </c>
      <c r="N180" s="303">
        <f t="shared" si="129"/>
        <v>6</v>
      </c>
      <c r="O180" s="304" t="s">
        <v>21</v>
      </c>
      <c r="P180" s="305" t="s">
        <v>202</v>
      </c>
      <c r="Q180" s="116" t="s">
        <v>573</v>
      </c>
      <c r="R180" s="145"/>
      <c r="S180" s="300">
        <v>10</v>
      </c>
      <c r="T180" s="300">
        <v>462</v>
      </c>
      <c r="U180" s="307">
        <v>76</v>
      </c>
      <c r="V180" s="113">
        <f t="shared" ref="V180:V186" si="135">S180*T180*U180*0.00000785*(1+$V$1)*K180</f>
        <v>6.0638423999999995</v>
      </c>
      <c r="W180" s="113">
        <f t="shared" ref="W180:W186" si="136">((T180+U180)*2*(1+$W$1))/1000</f>
        <v>1.2373999999999998</v>
      </c>
      <c r="X180" s="113">
        <f>W180/1.1</f>
        <v>1.1249090909090906</v>
      </c>
      <c r="Y180" s="303"/>
      <c r="Z180" s="303"/>
      <c r="AA180" s="303"/>
      <c r="AB180" s="303"/>
      <c r="AC180" s="303"/>
      <c r="AD180" s="303"/>
      <c r="AE180" s="303"/>
      <c r="AF180" s="303"/>
      <c r="AG180" s="303"/>
      <c r="AH180" s="305"/>
      <c r="AI180" s="356">
        <f t="shared" ref="AI180:AI186" si="137">(T180*U180*2)/1000000*(1+$AI$1)*K180</f>
        <v>0.16151519999999997</v>
      </c>
    </row>
    <row r="181" spans="1:35" s="306" customFormat="1" ht="36" customHeight="1" x14ac:dyDescent="0.25">
      <c r="A181" s="300">
        <v>11</v>
      </c>
      <c r="B181" s="300" t="s">
        <v>189</v>
      </c>
      <c r="C181" s="300"/>
      <c r="D181" s="303">
        <v>12.1</v>
      </c>
      <c r="E181" s="300"/>
      <c r="F181" s="300"/>
      <c r="G181" s="300" t="s">
        <v>392</v>
      </c>
      <c r="H181" s="300"/>
      <c r="I181" s="301" t="s">
        <v>454</v>
      </c>
      <c r="J181" s="300">
        <v>2</v>
      </c>
      <c r="K181" s="302">
        <f t="shared" si="130"/>
        <v>2</v>
      </c>
      <c r="L181" s="302"/>
      <c r="M181" s="303">
        <f>S181*T181*U181*0.00000785</f>
        <v>0.49062499999999998</v>
      </c>
      <c r="N181" s="303">
        <f t="shared" si="129"/>
        <v>0.98124999999999996</v>
      </c>
      <c r="O181" s="304" t="s">
        <v>21</v>
      </c>
      <c r="P181" s="305" t="s">
        <v>226</v>
      </c>
      <c r="Q181" s="116" t="s">
        <v>573</v>
      </c>
      <c r="R181" s="145"/>
      <c r="S181" s="300">
        <v>25</v>
      </c>
      <c r="T181" s="300">
        <v>50</v>
      </c>
      <c r="U181" s="307">
        <v>50</v>
      </c>
      <c r="V181" s="113">
        <f t="shared" si="135"/>
        <v>1.079375</v>
      </c>
      <c r="W181" s="113">
        <f t="shared" si="136"/>
        <v>0.22999999999999998</v>
      </c>
      <c r="X181" s="113">
        <f>W181/1.3</f>
        <v>0.17692307692307691</v>
      </c>
      <c r="Y181" s="303"/>
      <c r="Z181" s="303"/>
      <c r="AA181" s="303"/>
      <c r="AB181" s="303"/>
      <c r="AC181" s="303"/>
      <c r="AD181" s="303"/>
      <c r="AE181" s="303"/>
      <c r="AF181" s="303"/>
      <c r="AG181" s="303"/>
      <c r="AH181" s="305"/>
      <c r="AI181" s="356">
        <f t="shared" si="137"/>
        <v>1.15E-2</v>
      </c>
    </row>
    <row r="182" spans="1:35" s="306" customFormat="1" ht="36" customHeight="1" x14ac:dyDescent="0.25">
      <c r="A182" s="300">
        <v>12</v>
      </c>
      <c r="B182" s="300" t="s">
        <v>189</v>
      </c>
      <c r="C182" s="300"/>
      <c r="D182" s="300">
        <v>12.11</v>
      </c>
      <c r="E182" s="300"/>
      <c r="F182" s="300"/>
      <c r="G182" s="300" t="s">
        <v>455</v>
      </c>
      <c r="H182" s="300"/>
      <c r="I182" s="301" t="s">
        <v>456</v>
      </c>
      <c r="J182" s="300">
        <v>4</v>
      </c>
      <c r="K182" s="302">
        <f t="shared" si="130"/>
        <v>4</v>
      </c>
      <c r="L182" s="302"/>
      <c r="M182" s="303">
        <v>1.5</v>
      </c>
      <c r="N182" s="303">
        <f t="shared" si="129"/>
        <v>6</v>
      </c>
      <c r="O182" s="304" t="s">
        <v>21</v>
      </c>
      <c r="P182" s="305" t="s">
        <v>202</v>
      </c>
      <c r="Q182" s="116" t="s">
        <v>573</v>
      </c>
      <c r="R182" s="145"/>
      <c r="S182" s="300">
        <v>10</v>
      </c>
      <c r="T182" s="300">
        <v>76</v>
      </c>
      <c r="U182" s="307">
        <v>305</v>
      </c>
      <c r="V182" s="113">
        <f t="shared" si="135"/>
        <v>8.0063720000000007</v>
      </c>
      <c r="W182" s="113">
        <f t="shared" si="136"/>
        <v>0.87629999999999997</v>
      </c>
      <c r="X182" s="113">
        <f>W182/1.1</f>
        <v>0.79663636363636359</v>
      </c>
      <c r="Y182" s="303"/>
      <c r="Z182" s="303"/>
      <c r="AA182" s="303"/>
      <c r="AB182" s="303"/>
      <c r="AC182" s="303"/>
      <c r="AD182" s="303"/>
      <c r="AE182" s="303"/>
      <c r="AF182" s="303"/>
      <c r="AG182" s="303"/>
      <c r="AH182" s="305"/>
      <c r="AI182" s="356">
        <f t="shared" si="137"/>
        <v>0.21325599999999997</v>
      </c>
    </row>
    <row r="183" spans="1:35" s="306" customFormat="1" ht="36" customHeight="1" x14ac:dyDescent="0.25">
      <c r="A183" s="300">
        <v>13</v>
      </c>
      <c r="B183" s="300" t="s">
        <v>189</v>
      </c>
      <c r="C183" s="300"/>
      <c r="D183" s="303">
        <v>12.12</v>
      </c>
      <c r="E183" s="300"/>
      <c r="F183" s="300"/>
      <c r="G183" s="300" t="s">
        <v>457</v>
      </c>
      <c r="H183" s="300"/>
      <c r="I183" s="301" t="s">
        <v>458</v>
      </c>
      <c r="J183" s="300">
        <v>2</v>
      </c>
      <c r="K183" s="302">
        <f t="shared" si="130"/>
        <v>2</v>
      </c>
      <c r="L183" s="302"/>
      <c r="M183" s="303">
        <v>0.6</v>
      </c>
      <c r="N183" s="303">
        <f t="shared" si="129"/>
        <v>1.2</v>
      </c>
      <c r="O183" s="304" t="s">
        <v>21</v>
      </c>
      <c r="P183" s="305" t="s">
        <v>316</v>
      </c>
      <c r="Q183" s="116" t="s">
        <v>573</v>
      </c>
      <c r="R183" s="145"/>
      <c r="S183" s="300">
        <v>6</v>
      </c>
      <c r="T183" s="300">
        <v>25</v>
      </c>
      <c r="U183" s="307">
        <v>465</v>
      </c>
      <c r="V183" s="113">
        <f t="shared" si="135"/>
        <v>1.2045825000000001</v>
      </c>
      <c r="W183" s="113">
        <f t="shared" si="136"/>
        <v>1.127</v>
      </c>
      <c r="X183" s="113">
        <f>1.5/W183</f>
        <v>1.3309671694764862</v>
      </c>
      <c r="Y183" s="303"/>
      <c r="Z183" s="303"/>
      <c r="AA183" s="303"/>
      <c r="AB183" s="303"/>
      <c r="AC183" s="303"/>
      <c r="AD183" s="303"/>
      <c r="AE183" s="303"/>
      <c r="AF183" s="303"/>
      <c r="AG183" s="303"/>
      <c r="AH183" s="305"/>
      <c r="AI183" s="356">
        <f t="shared" si="137"/>
        <v>5.3474999999999995E-2</v>
      </c>
    </row>
    <row r="184" spans="1:35" s="306" customFormat="1" ht="36" customHeight="1" x14ac:dyDescent="0.25">
      <c r="A184" s="300">
        <v>14</v>
      </c>
      <c r="B184" s="300" t="s">
        <v>189</v>
      </c>
      <c r="C184" s="300"/>
      <c r="D184" s="300">
        <v>12.13</v>
      </c>
      <c r="E184" s="300"/>
      <c r="F184" s="300"/>
      <c r="G184" s="300" t="s">
        <v>459</v>
      </c>
      <c r="H184" s="300"/>
      <c r="I184" s="301" t="s">
        <v>460</v>
      </c>
      <c r="J184" s="300">
        <v>2</v>
      </c>
      <c r="K184" s="302">
        <f t="shared" si="130"/>
        <v>2</v>
      </c>
      <c r="L184" s="302"/>
      <c r="M184" s="303">
        <v>1.1000000000000001</v>
      </c>
      <c r="N184" s="303">
        <f t="shared" si="129"/>
        <v>2.2000000000000002</v>
      </c>
      <c r="O184" s="304" t="s">
        <v>21</v>
      </c>
      <c r="P184" s="305" t="s">
        <v>202</v>
      </c>
      <c r="Q184" s="116" t="s">
        <v>573</v>
      </c>
      <c r="R184" s="145"/>
      <c r="S184" s="300">
        <v>10</v>
      </c>
      <c r="T184" s="300">
        <v>127</v>
      </c>
      <c r="U184" s="307">
        <v>203</v>
      </c>
      <c r="V184" s="113">
        <f t="shared" si="135"/>
        <v>4.4523787000000006</v>
      </c>
      <c r="W184" s="113">
        <f t="shared" si="136"/>
        <v>0.7589999999999999</v>
      </c>
      <c r="X184" s="113">
        <f>W184/1.1</f>
        <v>0.68999999999999984</v>
      </c>
      <c r="Y184" s="303"/>
      <c r="Z184" s="303"/>
      <c r="AA184" s="303"/>
      <c r="AB184" s="303"/>
      <c r="AC184" s="303"/>
      <c r="AD184" s="303"/>
      <c r="AE184" s="303"/>
      <c r="AF184" s="303"/>
      <c r="AG184" s="303"/>
      <c r="AH184" s="305"/>
      <c r="AI184" s="356">
        <f t="shared" si="137"/>
        <v>0.11859259999999998</v>
      </c>
    </row>
    <row r="185" spans="1:35" s="306" customFormat="1" ht="36" customHeight="1" x14ac:dyDescent="0.25">
      <c r="A185" s="300">
        <v>15</v>
      </c>
      <c r="B185" s="300" t="s">
        <v>189</v>
      </c>
      <c r="C185" s="300"/>
      <c r="D185" s="303">
        <v>12.14</v>
      </c>
      <c r="E185" s="300"/>
      <c r="F185" s="300"/>
      <c r="G185" s="300" t="s">
        <v>461</v>
      </c>
      <c r="H185" s="300"/>
      <c r="I185" s="301" t="s">
        <v>462</v>
      </c>
      <c r="J185" s="300">
        <v>2</v>
      </c>
      <c r="K185" s="302">
        <f t="shared" si="130"/>
        <v>2</v>
      </c>
      <c r="L185" s="302"/>
      <c r="M185" s="303">
        <v>12</v>
      </c>
      <c r="N185" s="303">
        <f t="shared" si="129"/>
        <v>24</v>
      </c>
      <c r="O185" s="304" t="s">
        <v>21</v>
      </c>
      <c r="P185" s="305" t="s">
        <v>429</v>
      </c>
      <c r="Q185" s="116" t="s">
        <v>777</v>
      </c>
      <c r="R185" s="145"/>
      <c r="S185" s="300">
        <v>25</v>
      </c>
      <c r="T185" s="300">
        <v>191</v>
      </c>
      <c r="U185" s="307">
        <v>546</v>
      </c>
      <c r="V185" s="113">
        <f t="shared" si="135"/>
        <v>45.0254805</v>
      </c>
      <c r="W185" s="113">
        <f t="shared" si="136"/>
        <v>1.6950999999999998</v>
      </c>
      <c r="X185" s="113">
        <f>W185/1.3</f>
        <v>1.3039230769230767</v>
      </c>
      <c r="Y185" s="303"/>
      <c r="Z185" s="303"/>
      <c r="AA185" s="303"/>
      <c r="AB185" s="303">
        <v>2</v>
      </c>
      <c r="AC185" s="303">
        <f>AB185*($AC$1/60)*K185</f>
        <v>36.666666666666664</v>
      </c>
      <c r="AD185" s="303"/>
      <c r="AE185" s="303"/>
      <c r="AF185" s="303"/>
      <c r="AG185" s="303"/>
      <c r="AH185" s="305"/>
      <c r="AI185" s="356">
        <f t="shared" si="137"/>
        <v>0.47971559999999996</v>
      </c>
    </row>
    <row r="186" spans="1:35" s="306" customFormat="1" ht="36" customHeight="1" x14ac:dyDescent="0.25">
      <c r="A186" s="300">
        <v>16</v>
      </c>
      <c r="B186" s="300" t="s">
        <v>189</v>
      </c>
      <c r="C186" s="300"/>
      <c r="D186" s="300">
        <v>12.15</v>
      </c>
      <c r="E186" s="300"/>
      <c r="F186" s="300"/>
      <c r="G186" s="300" t="s">
        <v>463</v>
      </c>
      <c r="H186" s="300"/>
      <c r="I186" s="301" t="s">
        <v>464</v>
      </c>
      <c r="J186" s="300">
        <v>2</v>
      </c>
      <c r="K186" s="302">
        <f t="shared" si="130"/>
        <v>2</v>
      </c>
      <c r="L186" s="302"/>
      <c r="M186" s="303">
        <v>1</v>
      </c>
      <c r="N186" s="303">
        <f t="shared" si="129"/>
        <v>2</v>
      </c>
      <c r="O186" s="304" t="s">
        <v>21</v>
      </c>
      <c r="P186" s="305" t="s">
        <v>202</v>
      </c>
      <c r="Q186" s="116" t="s">
        <v>573</v>
      </c>
      <c r="R186" s="145"/>
      <c r="S186" s="300">
        <v>12</v>
      </c>
      <c r="T186" s="300">
        <v>76</v>
      </c>
      <c r="U186" s="307">
        <v>152</v>
      </c>
      <c r="V186" s="113">
        <f t="shared" si="135"/>
        <v>2.39403648</v>
      </c>
      <c r="W186" s="113">
        <f t="shared" si="136"/>
        <v>0.52439999999999998</v>
      </c>
      <c r="X186" s="113">
        <f>W186/1.1</f>
        <v>0.47672727272727267</v>
      </c>
      <c r="Y186" s="303"/>
      <c r="Z186" s="303"/>
      <c r="AA186" s="303"/>
      <c r="AB186" s="303"/>
      <c r="AC186" s="303"/>
      <c r="AD186" s="303"/>
      <c r="AE186" s="303"/>
      <c r="AF186" s="303"/>
      <c r="AG186" s="303"/>
      <c r="AH186" s="305"/>
      <c r="AI186" s="356">
        <f t="shared" si="137"/>
        <v>5.3139199999999998E-2</v>
      </c>
    </row>
    <row r="187" spans="1:35" s="109" customFormat="1" ht="36" customHeight="1" x14ac:dyDescent="0.25">
      <c r="A187" s="124">
        <v>1</v>
      </c>
      <c r="B187" s="124" t="s">
        <v>193</v>
      </c>
      <c r="C187" s="102">
        <v>13</v>
      </c>
      <c r="D187" s="102"/>
      <c r="E187" s="102"/>
      <c r="F187" s="102"/>
      <c r="G187" s="102" t="s">
        <v>193</v>
      </c>
      <c r="H187" s="102"/>
      <c r="I187" s="309" t="s">
        <v>194</v>
      </c>
      <c r="J187" s="102">
        <f>VLOOKUP(G187,'Customer Data '!$B$1:$D$14,3,0)</f>
        <v>1</v>
      </c>
      <c r="K187" s="104">
        <f>J187</f>
        <v>1</v>
      </c>
      <c r="L187" s="105"/>
      <c r="M187" s="105">
        <f>N188+N191+N195+N198</f>
        <v>175.07379729999997</v>
      </c>
      <c r="N187" s="105">
        <f>M187*K187</f>
        <v>175.07379729999997</v>
      </c>
      <c r="O187" s="123" t="s">
        <v>251</v>
      </c>
      <c r="P187" s="108"/>
      <c r="Q187" s="128"/>
      <c r="R187" s="106"/>
      <c r="S187" s="102"/>
      <c r="T187" s="102"/>
      <c r="U187" s="105"/>
      <c r="V187" s="105">
        <f>SUM(V188:V200)</f>
        <v>250.32865000000004</v>
      </c>
      <c r="W187" s="107"/>
      <c r="X187" s="105">
        <f>SUMPRODUCT($K$188:$K$200,X188:X200)</f>
        <v>27.447841558441556</v>
      </c>
      <c r="Y187" s="105">
        <f>SUM(Y188:Y200)</f>
        <v>0</v>
      </c>
      <c r="Z187" s="105">
        <f>SUMPRODUCT($K$188:$K$200,Z188:Z200)</f>
        <v>0</v>
      </c>
      <c r="AA187" s="105"/>
      <c r="AB187" s="105">
        <f>SUMPRODUCT($K$188:$K$200,AB188:AB200)</f>
        <v>40</v>
      </c>
      <c r="AC187" s="105">
        <f>SUM(AC188:AC200)</f>
        <v>366.66666666666663</v>
      </c>
      <c r="AD187" s="105" t="s">
        <v>301</v>
      </c>
      <c r="AE187" s="105"/>
      <c r="AF187" s="105">
        <f>SUM(AF188:AF200)</f>
        <v>13.031999999999998</v>
      </c>
      <c r="AG187" s="105"/>
      <c r="AH187" s="108"/>
      <c r="AI187" s="105">
        <f>SUM(AI188:AI200)</f>
        <v>3.3297559999999997</v>
      </c>
    </row>
    <row r="188" spans="1:35" s="306" customFormat="1" ht="36" customHeight="1" x14ac:dyDescent="0.25">
      <c r="A188" s="300">
        <v>2</v>
      </c>
      <c r="B188" s="300" t="s">
        <v>193</v>
      </c>
      <c r="C188" s="300" t="s">
        <v>581</v>
      </c>
      <c r="D188" s="300"/>
      <c r="E188" s="300"/>
      <c r="F188" s="300"/>
      <c r="G188" s="300">
        <v>131100547</v>
      </c>
      <c r="H188" s="300" t="s">
        <v>465</v>
      </c>
      <c r="I188" s="301" t="s">
        <v>466</v>
      </c>
      <c r="J188" s="300">
        <v>1</v>
      </c>
      <c r="K188" s="302">
        <f>J188*$K$187</f>
        <v>1</v>
      </c>
      <c r="L188" s="302">
        <v>93.2</v>
      </c>
      <c r="M188" s="308">
        <f>L188*$M$1</f>
        <v>42.27552</v>
      </c>
      <c r="N188" s="303">
        <f t="shared" ref="N188:N200" si="138">M188*K188</f>
        <v>42.27552</v>
      </c>
      <c r="O188" s="123" t="s">
        <v>252</v>
      </c>
      <c r="P188" s="116" t="s">
        <v>215</v>
      </c>
      <c r="Q188" s="300"/>
      <c r="R188" s="145"/>
      <c r="S188" s="300"/>
      <c r="T188" s="300"/>
      <c r="U188" s="307"/>
      <c r="V188" s="303"/>
      <c r="W188" s="303"/>
      <c r="X188" s="303"/>
      <c r="Y188" s="303"/>
      <c r="Z188" s="303"/>
      <c r="AA188" s="303"/>
      <c r="AB188" s="303"/>
      <c r="AC188" s="303"/>
      <c r="AD188" s="303"/>
      <c r="AE188" s="303"/>
      <c r="AF188" s="303">
        <f>((330*2*3)*2/1000*(1+$AF$1)*K188)</f>
        <v>4.7519999999999998</v>
      </c>
      <c r="AG188" s="303"/>
      <c r="AH188" s="305"/>
      <c r="AI188" s="303"/>
    </row>
    <row r="189" spans="1:35" s="306" customFormat="1" ht="36" customHeight="1" x14ac:dyDescent="0.25">
      <c r="A189" s="300">
        <v>3</v>
      </c>
      <c r="B189" s="300" t="s">
        <v>193</v>
      </c>
      <c r="C189" s="300"/>
      <c r="D189" s="300" t="s">
        <v>585</v>
      </c>
      <c r="E189" s="300"/>
      <c r="F189" s="300"/>
      <c r="G189" s="300"/>
      <c r="H189" s="300"/>
      <c r="I189" s="301" t="s">
        <v>467</v>
      </c>
      <c r="J189" s="300">
        <v>1</v>
      </c>
      <c r="K189" s="302">
        <f>J189*$K$188</f>
        <v>1</v>
      </c>
      <c r="L189" s="302"/>
      <c r="M189" s="303">
        <f>S189*T189*U189*0.00000785</f>
        <v>23.677169999999997</v>
      </c>
      <c r="N189" s="303">
        <f t="shared" si="138"/>
        <v>23.677169999999997</v>
      </c>
      <c r="O189" s="304" t="s">
        <v>21</v>
      </c>
      <c r="P189" s="305" t="s">
        <v>468</v>
      </c>
      <c r="Q189" s="116" t="s">
        <v>573</v>
      </c>
      <c r="R189" s="145"/>
      <c r="S189" s="300">
        <v>10</v>
      </c>
      <c r="T189" s="300">
        <v>330</v>
      </c>
      <c r="U189" s="307">
        <v>914</v>
      </c>
      <c r="V189" s="113">
        <f t="shared" ref="V189:V190" si="139">S189*T189*U189*0.00000785*(1+$V$1)*K189</f>
        <v>26.044886999999999</v>
      </c>
      <c r="W189" s="113">
        <f t="shared" ref="W189:W190" si="140">((T189+U189)*2*(1+$W$1))/1000</f>
        <v>2.8611999999999997</v>
      </c>
      <c r="X189" s="113">
        <f t="shared" ref="X189:X190" si="141">W189/1.1</f>
        <v>2.6010909090909085</v>
      </c>
      <c r="Y189" s="303"/>
      <c r="Z189" s="303"/>
      <c r="AA189" s="303"/>
      <c r="AB189" s="303"/>
      <c r="AC189" s="303"/>
      <c r="AD189" s="303"/>
      <c r="AE189" s="303"/>
      <c r="AF189" s="303"/>
      <c r="AG189" s="303"/>
      <c r="AH189" s="305"/>
      <c r="AI189" s="356">
        <f t="shared" ref="AI189:AI190" si="142">(T189*U189*2)/1000000*(1+$AI$1)*K189</f>
        <v>0.69372599999999995</v>
      </c>
    </row>
    <row r="190" spans="1:35" s="306" customFormat="1" ht="36" customHeight="1" x14ac:dyDescent="0.25">
      <c r="A190" s="300">
        <v>4</v>
      </c>
      <c r="B190" s="300" t="s">
        <v>193</v>
      </c>
      <c r="C190" s="300"/>
      <c r="D190" s="300" t="s">
        <v>586</v>
      </c>
      <c r="E190" s="300"/>
      <c r="F190" s="300"/>
      <c r="G190" s="300"/>
      <c r="H190" s="300"/>
      <c r="I190" s="301" t="s">
        <v>469</v>
      </c>
      <c r="J190" s="300">
        <v>2</v>
      </c>
      <c r="K190" s="302">
        <f>J190*$K$188</f>
        <v>2</v>
      </c>
      <c r="L190" s="302"/>
      <c r="M190" s="303">
        <f>S190*T190*U190*0.00000785</f>
        <v>10.698765</v>
      </c>
      <c r="N190" s="303">
        <f t="shared" si="138"/>
        <v>21.39753</v>
      </c>
      <c r="O190" s="304" t="s">
        <v>21</v>
      </c>
      <c r="P190" s="305" t="s">
        <v>468</v>
      </c>
      <c r="Q190" s="116" t="s">
        <v>573</v>
      </c>
      <c r="R190" s="145"/>
      <c r="S190" s="300">
        <v>10</v>
      </c>
      <c r="T190" s="300">
        <v>330</v>
      </c>
      <c r="U190" s="300">
        <v>413</v>
      </c>
      <c r="V190" s="113">
        <f t="shared" si="139"/>
        <v>23.537283000000002</v>
      </c>
      <c r="W190" s="113">
        <f t="shared" si="140"/>
        <v>1.7088999999999999</v>
      </c>
      <c r="X190" s="113">
        <f t="shared" si="141"/>
        <v>1.5535454545454543</v>
      </c>
      <c r="Y190" s="303"/>
      <c r="Z190" s="303"/>
      <c r="AA190" s="303"/>
      <c r="AB190" s="303"/>
      <c r="AC190" s="303"/>
      <c r="AD190" s="303"/>
      <c r="AE190" s="303"/>
      <c r="AF190" s="303"/>
      <c r="AG190" s="303"/>
      <c r="AH190" s="305"/>
      <c r="AI190" s="356">
        <f t="shared" si="142"/>
        <v>0.62693399999999988</v>
      </c>
    </row>
    <row r="191" spans="1:35" s="306" customFormat="1" ht="36" customHeight="1" x14ac:dyDescent="0.25">
      <c r="A191" s="300">
        <v>5</v>
      </c>
      <c r="B191" s="300" t="s">
        <v>193</v>
      </c>
      <c r="C191" s="300" t="s">
        <v>582</v>
      </c>
      <c r="D191" s="300"/>
      <c r="E191" s="300"/>
      <c r="F191" s="300"/>
      <c r="G191" s="300">
        <v>131100548</v>
      </c>
      <c r="H191" s="300" t="s">
        <v>470</v>
      </c>
      <c r="I191" s="301" t="s">
        <v>471</v>
      </c>
      <c r="J191" s="300">
        <v>1</v>
      </c>
      <c r="K191" s="302">
        <f>J191*$K$187</f>
        <v>1</v>
      </c>
      <c r="L191" s="302"/>
      <c r="M191" s="308">
        <f>SUM(N192:N194)</f>
        <v>36.854949299999994</v>
      </c>
      <c r="N191" s="303">
        <f t="shared" si="138"/>
        <v>36.854949299999994</v>
      </c>
      <c r="O191" s="123" t="s">
        <v>252</v>
      </c>
      <c r="P191" s="116" t="s">
        <v>215</v>
      </c>
      <c r="Q191" s="300"/>
      <c r="R191" s="145"/>
      <c r="S191" s="300"/>
      <c r="T191" s="300"/>
      <c r="U191" s="307"/>
      <c r="V191" s="303"/>
      <c r="W191" s="303"/>
      <c r="X191" s="303"/>
      <c r="Y191" s="303"/>
      <c r="Z191" s="303"/>
      <c r="AA191" s="303"/>
      <c r="AB191" s="303"/>
      <c r="AC191" s="303"/>
      <c r="AD191" s="303"/>
      <c r="AE191" s="303"/>
      <c r="AF191" s="303">
        <f>((205*2*3)*2+(130*2*3)*2)/1000*(1+$AF$1)*K191</f>
        <v>4.823999999999999</v>
      </c>
      <c r="AG191" s="303"/>
      <c r="AH191" s="305"/>
      <c r="AI191" s="303"/>
    </row>
    <row r="192" spans="1:35" s="306" customFormat="1" ht="36" customHeight="1" x14ac:dyDescent="0.25">
      <c r="A192" s="300">
        <v>6</v>
      </c>
      <c r="B192" s="300" t="s">
        <v>193</v>
      </c>
      <c r="C192" s="300"/>
      <c r="D192" s="300" t="s">
        <v>587</v>
      </c>
      <c r="E192" s="300"/>
      <c r="F192" s="300"/>
      <c r="G192" s="300">
        <v>141101163</v>
      </c>
      <c r="H192" s="300"/>
      <c r="I192" s="301" t="s">
        <v>472</v>
      </c>
      <c r="J192" s="300">
        <v>1</v>
      </c>
      <c r="K192" s="302">
        <f>J192*$K$191</f>
        <v>1</v>
      </c>
      <c r="L192" s="302"/>
      <c r="M192" s="303">
        <f>S192*T192*U192*0.00000785*(1-7%)</f>
        <v>25.585332299999997</v>
      </c>
      <c r="N192" s="303">
        <f t="shared" si="138"/>
        <v>25.585332299999997</v>
      </c>
      <c r="O192" s="304" t="s">
        <v>21</v>
      </c>
      <c r="P192" s="305" t="s">
        <v>468</v>
      </c>
      <c r="Q192" s="116" t="s">
        <v>573</v>
      </c>
      <c r="R192" s="145"/>
      <c r="S192" s="300">
        <v>12</v>
      </c>
      <c r="T192" s="300">
        <v>330</v>
      </c>
      <c r="U192" s="307">
        <v>885</v>
      </c>
      <c r="V192" s="113">
        <f t="shared" ref="V192:V194" si="143">S192*T192*U192*0.00000785*(1+$V$1)*K192</f>
        <v>30.262221</v>
      </c>
      <c r="W192" s="113">
        <f t="shared" ref="W192:W194" si="144">((T192+U192)*2*(1+$W$1))/1000</f>
        <v>2.7945000000000002</v>
      </c>
      <c r="X192" s="113">
        <f t="shared" ref="X192:X194" si="145">W192/1.1</f>
        <v>2.5404545454545455</v>
      </c>
      <c r="Y192" s="303"/>
      <c r="Z192" s="303"/>
      <c r="AA192" s="303"/>
      <c r="AB192" s="303"/>
      <c r="AC192" s="303"/>
      <c r="AD192" s="303"/>
      <c r="AE192" s="303"/>
      <c r="AF192" s="303"/>
      <c r="AG192" s="303"/>
      <c r="AH192" s="305"/>
      <c r="AI192" s="356">
        <f t="shared" ref="AI192:AI194" si="146">(T192*U192*2)/1000000*(1+$AI$1)*K192</f>
        <v>0.67171499999999984</v>
      </c>
    </row>
    <row r="193" spans="1:36" s="306" customFormat="1" ht="36" customHeight="1" x14ac:dyDescent="0.25">
      <c r="A193" s="300">
        <v>7</v>
      </c>
      <c r="B193" s="300" t="s">
        <v>193</v>
      </c>
      <c r="C193" s="300"/>
      <c r="D193" s="300" t="s">
        <v>588</v>
      </c>
      <c r="E193" s="300"/>
      <c r="F193" s="300"/>
      <c r="G193" s="300">
        <v>141101162</v>
      </c>
      <c r="H193" s="300"/>
      <c r="I193" s="301" t="s">
        <v>473</v>
      </c>
      <c r="J193" s="300">
        <v>2</v>
      </c>
      <c r="K193" s="302">
        <f t="shared" ref="K193:K194" si="147">J193*$K$191</f>
        <v>2</v>
      </c>
      <c r="L193" s="302"/>
      <c r="M193" s="303">
        <f t="shared" ref="M193" si="148">S193*T193*U193*0.00000785</f>
        <v>5.1174149999999994</v>
      </c>
      <c r="N193" s="303">
        <f t="shared" si="138"/>
        <v>10.234829999999999</v>
      </c>
      <c r="O193" s="304" t="s">
        <v>21</v>
      </c>
      <c r="P193" s="305" t="s">
        <v>468</v>
      </c>
      <c r="Q193" s="116" t="s">
        <v>573</v>
      </c>
      <c r="R193" s="145"/>
      <c r="S193" s="300">
        <v>12</v>
      </c>
      <c r="T193" s="300">
        <v>205</v>
      </c>
      <c r="U193" s="307">
        <v>265</v>
      </c>
      <c r="V193" s="113">
        <f t="shared" si="143"/>
        <v>11.258312999999999</v>
      </c>
      <c r="W193" s="113">
        <f t="shared" si="144"/>
        <v>1.081</v>
      </c>
      <c r="X193" s="113">
        <f t="shared" si="145"/>
        <v>0.98272727272727256</v>
      </c>
      <c r="Y193" s="303"/>
      <c r="Z193" s="303"/>
      <c r="AA193" s="303"/>
      <c r="AB193" s="303"/>
      <c r="AC193" s="303"/>
      <c r="AD193" s="303"/>
      <c r="AE193" s="303"/>
      <c r="AF193" s="303"/>
      <c r="AG193" s="303"/>
      <c r="AH193" s="305"/>
      <c r="AI193" s="356">
        <f t="shared" si="146"/>
        <v>0.24989499999999998</v>
      </c>
    </row>
    <row r="194" spans="1:36" s="306" customFormat="1" ht="36" customHeight="1" x14ac:dyDescent="0.25">
      <c r="A194" s="300">
        <v>8</v>
      </c>
      <c r="B194" s="300" t="s">
        <v>193</v>
      </c>
      <c r="C194" s="300"/>
      <c r="D194" s="300" t="s">
        <v>589</v>
      </c>
      <c r="E194" s="300"/>
      <c r="F194" s="300"/>
      <c r="G194" s="300">
        <v>141101164</v>
      </c>
      <c r="H194" s="300"/>
      <c r="I194" s="301" t="s">
        <v>474</v>
      </c>
      <c r="J194" s="300">
        <v>1</v>
      </c>
      <c r="K194" s="302">
        <f t="shared" si="147"/>
        <v>1</v>
      </c>
      <c r="L194" s="302"/>
      <c r="M194" s="303">
        <f>S194*T194*U194*0.00000785*(1-35%)</f>
        <v>1.0347869999999999</v>
      </c>
      <c r="N194" s="303">
        <f t="shared" si="138"/>
        <v>1.0347869999999999</v>
      </c>
      <c r="O194" s="304" t="s">
        <v>21</v>
      </c>
      <c r="P194" s="305" t="s">
        <v>468</v>
      </c>
      <c r="Q194" s="116" t="s">
        <v>573</v>
      </c>
      <c r="R194" s="145"/>
      <c r="S194" s="300">
        <v>12</v>
      </c>
      <c r="T194" s="300">
        <v>130</v>
      </c>
      <c r="U194" s="307">
        <v>130</v>
      </c>
      <c r="V194" s="113">
        <f t="shared" si="143"/>
        <v>1.7511780000000001</v>
      </c>
      <c r="W194" s="113">
        <f t="shared" si="144"/>
        <v>0.59799999999999998</v>
      </c>
      <c r="X194" s="113">
        <f t="shared" si="145"/>
        <v>0.54363636363636358</v>
      </c>
      <c r="Y194" s="303"/>
      <c r="Z194" s="303"/>
      <c r="AA194" s="303"/>
      <c r="AB194" s="303"/>
      <c r="AC194" s="303"/>
      <c r="AD194" s="303"/>
      <c r="AE194" s="303"/>
      <c r="AF194" s="303"/>
      <c r="AG194" s="303"/>
      <c r="AH194" s="305"/>
      <c r="AI194" s="356">
        <f t="shared" si="146"/>
        <v>3.8869999999999995E-2</v>
      </c>
    </row>
    <row r="195" spans="1:36" s="306" customFormat="1" ht="36" customHeight="1" x14ac:dyDescent="0.25">
      <c r="A195" s="300">
        <v>9</v>
      </c>
      <c r="B195" s="300" t="s">
        <v>193</v>
      </c>
      <c r="C195" s="300" t="s">
        <v>583</v>
      </c>
      <c r="D195" s="300"/>
      <c r="E195" s="300"/>
      <c r="F195" s="300"/>
      <c r="G195" s="300">
        <v>131100705</v>
      </c>
      <c r="H195" s="300"/>
      <c r="I195" s="301" t="s">
        <v>475</v>
      </c>
      <c r="J195" s="300">
        <v>1</v>
      </c>
      <c r="K195" s="302">
        <f>J195*$K$187</f>
        <v>1</v>
      </c>
      <c r="L195" s="302"/>
      <c r="M195" s="303">
        <f>SUM(N196:N197)</f>
        <v>47.97166399999999</v>
      </c>
      <c r="N195" s="303">
        <f t="shared" si="138"/>
        <v>47.97166399999999</v>
      </c>
      <c r="O195" s="123" t="s">
        <v>252</v>
      </c>
      <c r="P195" s="116" t="s">
        <v>215</v>
      </c>
      <c r="Q195" s="300"/>
      <c r="R195" s="145"/>
      <c r="S195" s="300"/>
      <c r="T195" s="300"/>
      <c r="U195" s="307"/>
      <c r="V195" s="303"/>
      <c r="W195" s="303"/>
      <c r="X195" s="303"/>
      <c r="Y195" s="303"/>
      <c r="Z195" s="303"/>
      <c r="AA195" s="303"/>
      <c r="AB195" s="303"/>
      <c r="AC195" s="303"/>
      <c r="AD195" s="303"/>
      <c r="AE195" s="303"/>
      <c r="AF195" s="303">
        <f>((200+40)*2*3/1000*(1+$AF$1)*K195)</f>
        <v>1.728</v>
      </c>
      <c r="AG195" s="303"/>
      <c r="AH195" s="305"/>
      <c r="AI195" s="303"/>
    </row>
    <row r="196" spans="1:36" s="306" customFormat="1" ht="36" customHeight="1" x14ac:dyDescent="0.25">
      <c r="A196" s="300">
        <v>10</v>
      </c>
      <c r="B196" s="300" t="s">
        <v>193</v>
      </c>
      <c r="C196" s="300"/>
      <c r="D196" s="300" t="s">
        <v>590</v>
      </c>
      <c r="E196" s="300"/>
      <c r="F196" s="300"/>
      <c r="G196" s="300">
        <v>141100938</v>
      </c>
      <c r="H196" s="300"/>
      <c r="I196" s="301" t="s">
        <v>476</v>
      </c>
      <c r="J196" s="300">
        <v>1</v>
      </c>
      <c r="K196" s="302">
        <f>J196*$K$195</f>
        <v>1</v>
      </c>
      <c r="L196" s="302"/>
      <c r="M196" s="303">
        <f t="shared" ref="M196" si="149">S196*T196*U196*0.00000785</f>
        <v>12.559999999999999</v>
      </c>
      <c r="N196" s="303">
        <f t="shared" si="138"/>
        <v>12.559999999999999</v>
      </c>
      <c r="O196" s="304" t="s">
        <v>21</v>
      </c>
      <c r="P196" s="305" t="s">
        <v>468</v>
      </c>
      <c r="Q196" s="116" t="s">
        <v>573</v>
      </c>
      <c r="R196" s="145"/>
      <c r="S196" s="300">
        <v>40</v>
      </c>
      <c r="T196" s="300">
        <v>200</v>
      </c>
      <c r="U196" s="307">
        <v>200</v>
      </c>
      <c r="V196" s="113">
        <f t="shared" ref="V196:V197" si="150">S196*T196*U196*0.00000785*(1+$V$1)*K196</f>
        <v>13.815999999999999</v>
      </c>
      <c r="W196" s="113">
        <f t="shared" ref="W196:W197" si="151">((T196+U196)*2*(1+$W$1))/1000</f>
        <v>0.91999999999999993</v>
      </c>
      <c r="X196" s="113">
        <f t="shared" ref="X196:X197" si="152">W196/0.35</f>
        <v>2.6285714285714286</v>
      </c>
      <c r="Y196" s="303"/>
      <c r="Z196" s="303"/>
      <c r="AA196" s="303"/>
      <c r="AB196" s="303">
        <v>10</v>
      </c>
      <c r="AC196" s="303">
        <f t="shared" ref="AC196:AC197" si="153">AB196*($AC$1/60)*K196</f>
        <v>91.666666666666657</v>
      </c>
      <c r="AD196" s="303"/>
      <c r="AE196" s="303"/>
      <c r="AF196" s="303"/>
      <c r="AG196" s="303"/>
      <c r="AH196" s="305"/>
      <c r="AI196" s="356">
        <f t="shared" ref="AI196:AI197" si="154">(T196*U196*2)/1000000*(1+$AI$1)*K196</f>
        <v>9.1999999999999998E-2</v>
      </c>
    </row>
    <row r="197" spans="1:36" s="306" customFormat="1" ht="36" customHeight="1" x14ac:dyDescent="0.25">
      <c r="A197" s="300">
        <v>11</v>
      </c>
      <c r="B197" s="300" t="s">
        <v>193</v>
      </c>
      <c r="C197" s="300"/>
      <c r="D197" s="300" t="s">
        <v>591</v>
      </c>
      <c r="E197" s="300"/>
      <c r="F197" s="300"/>
      <c r="G197" s="300">
        <v>141101531</v>
      </c>
      <c r="H197" s="300"/>
      <c r="I197" s="301" t="s">
        <v>477</v>
      </c>
      <c r="J197" s="300">
        <v>1</v>
      </c>
      <c r="K197" s="302">
        <f>J197*$K$195</f>
        <v>1</v>
      </c>
      <c r="L197" s="302"/>
      <c r="M197" s="303">
        <f>S197*T197*U197*0.00000785*(1-40%)</f>
        <v>35.411663999999995</v>
      </c>
      <c r="N197" s="303">
        <f t="shared" si="138"/>
        <v>35.411663999999995</v>
      </c>
      <c r="O197" s="304" t="s">
        <v>21</v>
      </c>
      <c r="P197" s="305" t="s">
        <v>468</v>
      </c>
      <c r="Q197" s="116" t="s">
        <v>573</v>
      </c>
      <c r="R197" s="145"/>
      <c r="S197" s="300">
        <v>40</v>
      </c>
      <c r="T197" s="300">
        <f>18.5*25.4</f>
        <v>469.9</v>
      </c>
      <c r="U197" s="307">
        <v>400</v>
      </c>
      <c r="V197" s="113">
        <f t="shared" si="150"/>
        <v>64.921384000000003</v>
      </c>
      <c r="W197" s="113">
        <f t="shared" si="151"/>
        <v>2.0007699999999997</v>
      </c>
      <c r="X197" s="113">
        <f t="shared" si="152"/>
        <v>5.7164857142857137</v>
      </c>
      <c r="Y197" s="303"/>
      <c r="Z197" s="303"/>
      <c r="AA197" s="303"/>
      <c r="AB197" s="303">
        <v>10</v>
      </c>
      <c r="AC197" s="303">
        <f t="shared" si="153"/>
        <v>91.666666666666657</v>
      </c>
      <c r="AD197" s="303"/>
      <c r="AE197" s="303"/>
      <c r="AF197" s="303"/>
      <c r="AG197" s="303"/>
      <c r="AH197" s="305"/>
      <c r="AI197" s="356">
        <f t="shared" si="154"/>
        <v>0.43230799999999991</v>
      </c>
    </row>
    <row r="198" spans="1:36" s="306" customFormat="1" ht="36" customHeight="1" x14ac:dyDescent="0.25">
      <c r="A198" s="300">
        <v>12</v>
      </c>
      <c r="B198" s="300" t="s">
        <v>193</v>
      </c>
      <c r="C198" s="300" t="s">
        <v>584</v>
      </c>
      <c r="D198" s="300"/>
      <c r="E198" s="300"/>
      <c r="F198" s="300"/>
      <c r="G198" s="300">
        <v>131100706</v>
      </c>
      <c r="H198" s="300"/>
      <c r="I198" s="301" t="s">
        <v>478</v>
      </c>
      <c r="J198" s="300">
        <v>1</v>
      </c>
      <c r="K198" s="302">
        <f>J198*$K$187</f>
        <v>1</v>
      </c>
      <c r="L198" s="302"/>
      <c r="M198" s="303">
        <f>SUM(N199:N200)</f>
        <v>47.97166399999999</v>
      </c>
      <c r="N198" s="303">
        <f t="shared" si="138"/>
        <v>47.97166399999999</v>
      </c>
      <c r="O198" s="123" t="s">
        <v>252</v>
      </c>
      <c r="P198" s="116" t="s">
        <v>215</v>
      </c>
      <c r="Q198" s="300"/>
      <c r="R198" s="145"/>
      <c r="S198" s="300"/>
      <c r="T198" s="300"/>
      <c r="U198" s="307"/>
      <c r="V198" s="303"/>
      <c r="W198" s="303"/>
      <c r="X198" s="303"/>
      <c r="Y198" s="303"/>
      <c r="Z198" s="303"/>
      <c r="AA198" s="303"/>
      <c r="AB198" s="303"/>
      <c r="AC198" s="303"/>
      <c r="AD198" s="303"/>
      <c r="AE198" s="303"/>
      <c r="AF198" s="303">
        <f>((200+40)*2*3/1000*(1+$AF$1)*K198)</f>
        <v>1.728</v>
      </c>
      <c r="AG198" s="303"/>
      <c r="AH198" s="305"/>
      <c r="AI198" s="303"/>
    </row>
    <row r="199" spans="1:36" s="306" customFormat="1" ht="36" customHeight="1" x14ac:dyDescent="0.25">
      <c r="A199" s="300">
        <v>13</v>
      </c>
      <c r="B199" s="300" t="s">
        <v>193</v>
      </c>
      <c r="C199" s="300"/>
      <c r="D199" s="300" t="s">
        <v>592</v>
      </c>
      <c r="E199" s="300"/>
      <c r="F199" s="300"/>
      <c r="G199" s="300">
        <v>141100938</v>
      </c>
      <c r="H199" s="300"/>
      <c r="I199" s="301" t="s">
        <v>476</v>
      </c>
      <c r="J199" s="300">
        <v>1</v>
      </c>
      <c r="K199" s="302">
        <f>J199*$K$198</f>
        <v>1</v>
      </c>
      <c r="L199" s="302"/>
      <c r="M199" s="303">
        <f t="shared" ref="M199" si="155">S199*T199*U199*0.00000785</f>
        <v>12.559999999999999</v>
      </c>
      <c r="N199" s="303">
        <f t="shared" si="138"/>
        <v>12.559999999999999</v>
      </c>
      <c r="O199" s="304" t="s">
        <v>21</v>
      </c>
      <c r="P199" s="305" t="s">
        <v>468</v>
      </c>
      <c r="Q199" s="116" t="s">
        <v>573</v>
      </c>
      <c r="R199" s="145"/>
      <c r="S199" s="300">
        <v>40</v>
      </c>
      <c r="T199" s="300">
        <v>200</v>
      </c>
      <c r="U199" s="307">
        <v>200</v>
      </c>
      <c r="V199" s="113">
        <f t="shared" ref="V199:V200" si="156">S199*T199*U199*0.00000785*(1+$V$1)*K199</f>
        <v>13.815999999999999</v>
      </c>
      <c r="W199" s="113">
        <f t="shared" ref="W199:W200" si="157">((T199+U199)*2*(1+$W$1))/1000</f>
        <v>0.91999999999999993</v>
      </c>
      <c r="X199" s="113">
        <f t="shared" ref="X199:X200" si="158">W199/0.35</f>
        <v>2.6285714285714286</v>
      </c>
      <c r="Y199" s="303"/>
      <c r="Z199" s="303"/>
      <c r="AA199" s="303"/>
      <c r="AB199" s="303">
        <v>10</v>
      </c>
      <c r="AC199" s="303">
        <f t="shared" ref="AC199:AC200" si="159">AB199*($AC$1/60)*K199</f>
        <v>91.666666666666657</v>
      </c>
      <c r="AD199" s="303"/>
      <c r="AE199" s="303"/>
      <c r="AF199" s="303"/>
      <c r="AG199" s="303"/>
      <c r="AH199" s="305"/>
      <c r="AI199" s="356">
        <f t="shared" ref="AI199:AI200" si="160">(T199*U199*2)/1000000*(1+$AI$1)*K199</f>
        <v>9.1999999999999998E-2</v>
      </c>
    </row>
    <row r="200" spans="1:36" s="306" customFormat="1" ht="36" customHeight="1" x14ac:dyDescent="0.25">
      <c r="A200" s="300">
        <v>14</v>
      </c>
      <c r="B200" s="300" t="s">
        <v>193</v>
      </c>
      <c r="C200" s="300"/>
      <c r="D200" s="310" t="s">
        <v>593</v>
      </c>
      <c r="E200" s="300"/>
      <c r="F200" s="300"/>
      <c r="G200" s="300">
        <v>141101531</v>
      </c>
      <c r="H200" s="300"/>
      <c r="I200" s="301" t="s">
        <v>477</v>
      </c>
      <c r="J200" s="300">
        <v>1</v>
      </c>
      <c r="K200" s="302">
        <f>J200*$K$198</f>
        <v>1</v>
      </c>
      <c r="L200" s="302"/>
      <c r="M200" s="303">
        <f>S200*T200*U200*0.00000785*(1-40%)</f>
        <v>35.411663999999995</v>
      </c>
      <c r="N200" s="303">
        <f t="shared" si="138"/>
        <v>35.411663999999995</v>
      </c>
      <c r="O200" s="304" t="s">
        <v>21</v>
      </c>
      <c r="P200" s="305" t="s">
        <v>468</v>
      </c>
      <c r="Q200" s="116" t="s">
        <v>573</v>
      </c>
      <c r="R200" s="145"/>
      <c r="S200" s="300">
        <v>40</v>
      </c>
      <c r="T200" s="300">
        <f>18.5*25.4</f>
        <v>469.9</v>
      </c>
      <c r="U200" s="307">
        <v>400</v>
      </c>
      <c r="V200" s="113">
        <f t="shared" si="156"/>
        <v>64.921384000000003</v>
      </c>
      <c r="W200" s="113">
        <f t="shared" si="157"/>
        <v>2.0007699999999997</v>
      </c>
      <c r="X200" s="113">
        <f t="shared" si="158"/>
        <v>5.7164857142857137</v>
      </c>
      <c r="Y200" s="303"/>
      <c r="Z200" s="303"/>
      <c r="AA200" s="303"/>
      <c r="AB200" s="303">
        <v>10</v>
      </c>
      <c r="AC200" s="303">
        <f t="shared" si="159"/>
        <v>91.666666666666657</v>
      </c>
      <c r="AD200" s="303"/>
      <c r="AE200" s="303"/>
      <c r="AF200" s="303"/>
      <c r="AG200" s="303"/>
      <c r="AH200" s="305"/>
      <c r="AI200" s="356">
        <f t="shared" si="160"/>
        <v>0.43230799999999991</v>
      </c>
    </row>
    <row r="201" spans="1:36" ht="36" customHeight="1" x14ac:dyDescent="0.25">
      <c r="A201" s="124">
        <v>1</v>
      </c>
      <c r="B201" s="124" t="s">
        <v>179</v>
      </c>
      <c r="C201" s="102">
        <v>14</v>
      </c>
      <c r="D201" s="102"/>
      <c r="E201" s="102"/>
      <c r="F201" s="102"/>
      <c r="G201" s="102" t="s">
        <v>179</v>
      </c>
      <c r="H201" s="102" t="s">
        <v>22</v>
      </c>
      <c r="I201" s="103" t="s">
        <v>715</v>
      </c>
      <c r="J201" s="102">
        <v>1</v>
      </c>
      <c r="K201" s="104">
        <f>J201</f>
        <v>1</v>
      </c>
      <c r="L201" s="105">
        <v>7057.6</v>
      </c>
      <c r="M201" s="105">
        <v>4003</v>
      </c>
      <c r="N201" s="105">
        <f>M201*K201</f>
        <v>4003</v>
      </c>
      <c r="O201" s="123" t="s">
        <v>251</v>
      </c>
      <c r="P201" s="108"/>
      <c r="Q201" s="128"/>
      <c r="R201" s="106"/>
      <c r="S201" s="102"/>
      <c r="T201" s="102"/>
      <c r="U201" s="105"/>
      <c r="V201" s="105">
        <f>SUM(V202:V227)</f>
        <v>4814.297790390001</v>
      </c>
      <c r="W201" s="107"/>
      <c r="X201" s="105">
        <f>SUMPRODUCT($K$202:$K$227,X202:X227)</f>
        <v>233.00992377380618</v>
      </c>
      <c r="Y201" s="105">
        <f>SUM(Y202:Y222)</f>
        <v>0</v>
      </c>
      <c r="Z201" s="105">
        <f>SUMPRODUCT($K$202:$K$227,Z202:Z227)</f>
        <v>12</v>
      </c>
      <c r="AA201" s="105"/>
      <c r="AB201" s="105">
        <f>SUMPRODUCT($K$202:$K$227,AB202:AB227)</f>
        <v>140</v>
      </c>
      <c r="AC201" s="105">
        <f>SUM(AC202:AC222)</f>
        <v>0</v>
      </c>
      <c r="AD201" s="105" t="s">
        <v>301</v>
      </c>
      <c r="AE201" s="105"/>
      <c r="AF201" s="105"/>
      <c r="AG201" s="105"/>
      <c r="AH201" s="108"/>
      <c r="AI201" s="105">
        <f>SUM(AI202:AI227)</f>
        <v>147.17993019999997</v>
      </c>
      <c r="AJ201" s="122"/>
    </row>
    <row r="202" spans="1:36" ht="36" customHeight="1" x14ac:dyDescent="0.25">
      <c r="A202" s="300">
        <v>2</v>
      </c>
      <c r="B202" s="300" t="s">
        <v>179</v>
      </c>
      <c r="C202" s="300"/>
      <c r="D202" s="300">
        <v>14.1</v>
      </c>
      <c r="E202" s="300"/>
      <c r="F202" s="300"/>
      <c r="G202" s="300" t="s">
        <v>716</v>
      </c>
      <c r="H202" s="300"/>
      <c r="I202" s="301" t="s">
        <v>717</v>
      </c>
      <c r="J202" s="300">
        <v>1</v>
      </c>
      <c r="K202" s="302">
        <f>J202*$K$201</f>
        <v>1</v>
      </c>
      <c r="L202" s="302"/>
      <c r="M202" s="303">
        <v>3697.9</v>
      </c>
      <c r="N202" s="303">
        <f>M202*K202</f>
        <v>3697.9</v>
      </c>
      <c r="O202" s="123" t="s">
        <v>252</v>
      </c>
      <c r="P202" s="116" t="s">
        <v>215</v>
      </c>
      <c r="Q202" s="300"/>
      <c r="R202" s="145"/>
      <c r="S202" s="300"/>
      <c r="T202" s="300"/>
      <c r="U202" s="303"/>
      <c r="V202" s="303"/>
      <c r="W202" s="303"/>
      <c r="X202" s="303"/>
      <c r="Y202" s="303"/>
      <c r="Z202" s="303"/>
      <c r="AA202" s="303"/>
      <c r="AB202" s="303"/>
      <c r="AC202" s="303"/>
      <c r="AD202" s="303"/>
      <c r="AE202" s="303"/>
      <c r="AF202" s="303"/>
      <c r="AG202" s="303"/>
      <c r="AH202" s="305"/>
      <c r="AI202" s="303"/>
      <c r="AJ202" s="122"/>
    </row>
    <row r="203" spans="1:36" ht="36" customHeight="1" x14ac:dyDescent="0.25">
      <c r="A203" s="300">
        <v>3</v>
      </c>
      <c r="B203" s="300" t="s">
        <v>179</v>
      </c>
      <c r="C203" s="300"/>
      <c r="D203" s="300"/>
      <c r="E203" s="300" t="s">
        <v>718</v>
      </c>
      <c r="F203" s="300"/>
      <c r="G203" s="300" t="s">
        <v>719</v>
      </c>
      <c r="H203" s="300"/>
      <c r="I203" s="301" t="s">
        <v>720</v>
      </c>
      <c r="J203" s="300">
        <v>1</v>
      </c>
      <c r="K203" s="302">
        <f>J203*$K$202</f>
        <v>1</v>
      </c>
      <c r="L203" s="302"/>
      <c r="M203" s="303">
        <v>814</v>
      </c>
      <c r="N203" s="303">
        <f t="shared" ref="N203:N227" si="161">M203*K203</f>
        <v>814</v>
      </c>
      <c r="O203" s="304" t="s">
        <v>21</v>
      </c>
      <c r="P203" s="305" t="s">
        <v>202</v>
      </c>
      <c r="Q203" s="116" t="s">
        <v>573</v>
      </c>
      <c r="R203" s="145"/>
      <c r="S203" s="300">
        <v>10</v>
      </c>
      <c r="T203" s="300">
        <v>800</v>
      </c>
      <c r="U203" s="481">
        <v>13310</v>
      </c>
      <c r="V203" s="113">
        <f t="shared" ref="V203:V207" si="162">S203*T203*U203*0.00000785*(1+$V$1)*K203</f>
        <v>919.45479999999998</v>
      </c>
      <c r="W203" s="113">
        <f>(((T203+U203)*2+(400+400)*2)*(1+$W$1))/1000</f>
        <v>34.292999999999999</v>
      </c>
      <c r="X203" s="113">
        <f t="shared" ref="X203:X204" si="163">W203/1.1</f>
        <v>31.175454545454542</v>
      </c>
      <c r="Y203" s="303"/>
      <c r="Z203" s="303"/>
      <c r="AA203" s="303"/>
      <c r="AB203" s="303"/>
      <c r="AC203" s="303"/>
      <c r="AD203" s="303"/>
      <c r="AE203" s="303"/>
      <c r="AF203" s="303"/>
      <c r="AG203" s="303" t="s">
        <v>721</v>
      </c>
      <c r="AH203" s="305"/>
      <c r="AI203" s="356">
        <f t="shared" ref="AI203:AI207" si="164">(T203*U203*2)/1000000*(1+$AI$1)*K203</f>
        <v>24.490399999999998</v>
      </c>
      <c r="AJ203" s="122"/>
    </row>
    <row r="204" spans="1:36" ht="36" customHeight="1" x14ac:dyDescent="0.25">
      <c r="A204" s="300">
        <v>4</v>
      </c>
      <c r="B204" s="300" t="s">
        <v>179</v>
      </c>
      <c r="C204" s="300"/>
      <c r="D204" s="300"/>
      <c r="E204" s="300" t="s">
        <v>722</v>
      </c>
      <c r="F204" s="300"/>
      <c r="G204" s="300" t="s">
        <v>723</v>
      </c>
      <c r="H204" s="300"/>
      <c r="I204" s="301" t="s">
        <v>724</v>
      </c>
      <c r="J204" s="300">
        <v>14</v>
      </c>
      <c r="K204" s="302">
        <f t="shared" ref="K204:K217" si="165">J204*$K$202</f>
        <v>14</v>
      </c>
      <c r="L204" s="302"/>
      <c r="M204" s="303">
        <v>4</v>
      </c>
      <c r="N204" s="303">
        <f t="shared" si="161"/>
        <v>56</v>
      </c>
      <c r="O204" s="304" t="s">
        <v>21</v>
      </c>
      <c r="P204" s="305" t="s">
        <v>202</v>
      </c>
      <c r="Q204" s="116" t="s">
        <v>573</v>
      </c>
      <c r="R204" s="145"/>
      <c r="S204" s="300">
        <v>10</v>
      </c>
      <c r="T204" s="300">
        <v>144</v>
      </c>
      <c r="U204" s="303">
        <v>332</v>
      </c>
      <c r="V204" s="113">
        <f t="shared" si="162"/>
        <v>57.795091200000002</v>
      </c>
      <c r="W204" s="113">
        <f t="shared" ref="W204:W207" si="166">((T204+U204)*2*(1+$W$1))/1000</f>
        <v>1.0948</v>
      </c>
      <c r="X204" s="113">
        <f t="shared" si="163"/>
        <v>0.9952727272727272</v>
      </c>
      <c r="Y204" s="303"/>
      <c r="Z204" s="303"/>
      <c r="AA204" s="303"/>
      <c r="AB204" s="303"/>
      <c r="AC204" s="303"/>
      <c r="AD204" s="303"/>
      <c r="AE204" s="303"/>
      <c r="AF204" s="303"/>
      <c r="AG204" s="303"/>
      <c r="AH204" s="305"/>
      <c r="AI204" s="356">
        <f t="shared" si="164"/>
        <v>1.5394175999999999</v>
      </c>
      <c r="AJ204" s="122"/>
    </row>
    <row r="205" spans="1:36" ht="36" customHeight="1" x14ac:dyDescent="0.25">
      <c r="A205" s="300">
        <v>5</v>
      </c>
      <c r="B205" s="300" t="s">
        <v>179</v>
      </c>
      <c r="C205" s="300"/>
      <c r="D205" s="300"/>
      <c r="E205" s="300" t="s">
        <v>725</v>
      </c>
      <c r="F205" s="300"/>
      <c r="G205" s="300" t="s">
        <v>726</v>
      </c>
      <c r="H205" s="300"/>
      <c r="I205" s="301" t="s">
        <v>727</v>
      </c>
      <c r="J205" s="300">
        <v>1</v>
      </c>
      <c r="K205" s="302">
        <f t="shared" si="165"/>
        <v>1</v>
      </c>
      <c r="L205" s="302"/>
      <c r="M205" s="303">
        <v>151.1</v>
      </c>
      <c r="N205" s="303">
        <f t="shared" si="161"/>
        <v>151.1</v>
      </c>
      <c r="O205" s="304" t="s">
        <v>21</v>
      </c>
      <c r="P205" s="305" t="s">
        <v>223</v>
      </c>
      <c r="Q205" s="116" t="s">
        <v>777</v>
      </c>
      <c r="R205" s="145"/>
      <c r="S205" s="300">
        <v>20</v>
      </c>
      <c r="T205" s="300">
        <v>889</v>
      </c>
      <c r="U205" s="303">
        <v>1477</v>
      </c>
      <c r="V205" s="113">
        <f t="shared" si="162"/>
        <v>226.76425309999999</v>
      </c>
      <c r="W205" s="113">
        <f>(((T205+U205)*2+(381+914)*2)*(1+$W$1))/1000</f>
        <v>8.4202999999999992</v>
      </c>
      <c r="X205" s="113">
        <f>W205/1.5</f>
        <v>5.6135333333333328</v>
      </c>
      <c r="Y205" s="303"/>
      <c r="Z205" s="303"/>
      <c r="AA205" s="303"/>
      <c r="AB205" s="303"/>
      <c r="AC205" s="303"/>
      <c r="AD205" s="303"/>
      <c r="AE205" s="303"/>
      <c r="AF205" s="303"/>
      <c r="AG205" s="303"/>
      <c r="AH205" s="305"/>
      <c r="AI205" s="356">
        <f t="shared" si="164"/>
        <v>3.0200218999999997</v>
      </c>
      <c r="AJ205" s="122"/>
    </row>
    <row r="206" spans="1:36" ht="36" customHeight="1" x14ac:dyDescent="0.25">
      <c r="A206" s="300">
        <v>6</v>
      </c>
      <c r="B206" s="300" t="s">
        <v>179</v>
      </c>
      <c r="C206" s="300"/>
      <c r="D206" s="300"/>
      <c r="E206" s="300" t="s">
        <v>728</v>
      </c>
      <c r="F206" s="300"/>
      <c r="G206" s="300" t="s">
        <v>729</v>
      </c>
      <c r="H206" s="300"/>
      <c r="I206" s="301" t="s">
        <v>730</v>
      </c>
      <c r="J206" s="300">
        <v>1</v>
      </c>
      <c r="K206" s="302">
        <f t="shared" si="165"/>
        <v>1</v>
      </c>
      <c r="L206" s="302"/>
      <c r="M206" s="303">
        <v>0.7</v>
      </c>
      <c r="N206" s="303">
        <f t="shared" si="161"/>
        <v>0.7</v>
      </c>
      <c r="O206" s="304" t="s">
        <v>21</v>
      </c>
      <c r="P206" s="305" t="s">
        <v>731</v>
      </c>
      <c r="Q206" s="116" t="s">
        <v>573</v>
      </c>
      <c r="R206" s="145"/>
      <c r="S206" s="300">
        <v>6</v>
      </c>
      <c r="T206" s="300">
        <v>127</v>
      </c>
      <c r="U206" s="303">
        <v>191</v>
      </c>
      <c r="V206" s="113">
        <f t="shared" si="162"/>
        <v>1.2567551699999999</v>
      </c>
      <c r="W206" s="113">
        <f t="shared" si="166"/>
        <v>0.73139999999999994</v>
      </c>
      <c r="X206" s="113">
        <f t="shared" ref="X206:X207" si="167">1.5/W206</f>
        <v>2.0508613617719442</v>
      </c>
      <c r="Y206" s="303"/>
      <c r="Z206" s="303"/>
      <c r="AA206" s="303"/>
      <c r="AB206" s="303"/>
      <c r="AC206" s="303"/>
      <c r="AD206" s="303"/>
      <c r="AE206" s="303"/>
      <c r="AF206" s="303"/>
      <c r="AG206" s="303"/>
      <c r="AH206" s="305"/>
      <c r="AI206" s="356">
        <f t="shared" si="164"/>
        <v>5.5791099999999996E-2</v>
      </c>
      <c r="AJ206" s="122"/>
    </row>
    <row r="207" spans="1:36" ht="36" customHeight="1" x14ac:dyDescent="0.25">
      <c r="A207" s="300">
        <v>7</v>
      </c>
      <c r="B207" s="300" t="s">
        <v>179</v>
      </c>
      <c r="C207" s="300"/>
      <c r="D207" s="300"/>
      <c r="E207" s="300" t="s">
        <v>732</v>
      </c>
      <c r="F207" s="300"/>
      <c r="G207" s="300" t="s">
        <v>733</v>
      </c>
      <c r="H207" s="300"/>
      <c r="I207" s="301" t="s">
        <v>734</v>
      </c>
      <c r="J207" s="300">
        <v>1</v>
      </c>
      <c r="K207" s="302">
        <f t="shared" si="165"/>
        <v>1</v>
      </c>
      <c r="L207" s="302"/>
      <c r="M207" s="303">
        <v>0.5</v>
      </c>
      <c r="N207" s="303">
        <f t="shared" si="161"/>
        <v>0.5</v>
      </c>
      <c r="O207" s="304" t="s">
        <v>21</v>
      </c>
      <c r="P207" s="305" t="s">
        <v>731</v>
      </c>
      <c r="Q207" s="116" t="s">
        <v>573</v>
      </c>
      <c r="R207" s="145"/>
      <c r="S207" s="300">
        <v>6</v>
      </c>
      <c r="T207" s="300">
        <v>60</v>
      </c>
      <c r="U207" s="303">
        <v>191</v>
      </c>
      <c r="V207" s="113">
        <f t="shared" si="162"/>
        <v>0.59374260000000001</v>
      </c>
      <c r="W207" s="113">
        <f t="shared" si="166"/>
        <v>0.57729999999999992</v>
      </c>
      <c r="X207" s="113">
        <f t="shared" si="167"/>
        <v>2.5983024424042962</v>
      </c>
      <c r="Y207" s="303"/>
      <c r="Z207" s="303"/>
      <c r="AA207" s="303"/>
      <c r="AB207" s="303"/>
      <c r="AC207" s="303"/>
      <c r="AD207" s="303"/>
      <c r="AE207" s="303"/>
      <c r="AF207" s="303"/>
      <c r="AG207" s="303"/>
      <c r="AH207" s="305"/>
      <c r="AI207" s="356">
        <f t="shared" si="164"/>
        <v>2.6357999999999996E-2</v>
      </c>
      <c r="AJ207" s="122"/>
    </row>
    <row r="208" spans="1:36" ht="36" customHeight="1" x14ac:dyDescent="0.25">
      <c r="A208" s="300">
        <v>8</v>
      </c>
      <c r="B208" s="300" t="s">
        <v>179</v>
      </c>
      <c r="C208" s="300"/>
      <c r="D208" s="300"/>
      <c r="E208" s="300" t="s">
        <v>735</v>
      </c>
      <c r="F208" s="300"/>
      <c r="G208" s="300" t="s">
        <v>736</v>
      </c>
      <c r="H208" s="300"/>
      <c r="I208" s="301" t="s">
        <v>737</v>
      </c>
      <c r="J208" s="300">
        <v>1</v>
      </c>
      <c r="K208" s="302">
        <f t="shared" si="165"/>
        <v>1</v>
      </c>
      <c r="L208" s="302"/>
      <c r="M208" s="303">
        <v>4</v>
      </c>
      <c r="N208" s="303">
        <f t="shared" si="161"/>
        <v>4</v>
      </c>
      <c r="O208" s="304" t="s">
        <v>290</v>
      </c>
      <c r="P208" s="305" t="s">
        <v>262</v>
      </c>
      <c r="Q208" s="116" t="s">
        <v>573</v>
      </c>
      <c r="R208" s="145"/>
      <c r="S208" s="312" t="s">
        <v>738</v>
      </c>
      <c r="T208" s="300"/>
      <c r="U208" s="303">
        <v>324</v>
      </c>
      <c r="V208" s="303">
        <f>18.8*U208/1000*(1+$V$1)*K208</f>
        <v>6.7003200000000005</v>
      </c>
      <c r="W208" s="303"/>
      <c r="X208" s="303">
        <v>3</v>
      </c>
      <c r="Y208" s="303"/>
      <c r="Z208" s="303"/>
      <c r="AA208" s="303"/>
      <c r="AB208" s="303">
        <v>5</v>
      </c>
      <c r="AC208" s="303"/>
      <c r="AD208" s="303"/>
      <c r="AE208" s="303"/>
      <c r="AF208" s="303"/>
      <c r="AG208" s="303"/>
      <c r="AH208" s="305"/>
      <c r="AI208" s="303">
        <f>0.85 *(U208/1000)*K208*(1+$AI$1)</f>
        <v>0.31670999999999994</v>
      </c>
      <c r="AJ208" s="122"/>
    </row>
    <row r="209" spans="1:36" ht="36" customHeight="1" x14ac:dyDescent="0.25">
      <c r="A209" s="300">
        <v>9</v>
      </c>
      <c r="B209" s="300" t="s">
        <v>179</v>
      </c>
      <c r="C209" s="300"/>
      <c r="D209" s="300"/>
      <c r="E209" s="300" t="s">
        <v>739</v>
      </c>
      <c r="F209" s="300"/>
      <c r="G209" s="300" t="s">
        <v>740</v>
      </c>
      <c r="H209" s="300"/>
      <c r="I209" s="301" t="s">
        <v>741</v>
      </c>
      <c r="J209" s="300">
        <v>1</v>
      </c>
      <c r="K209" s="302">
        <f t="shared" si="165"/>
        <v>1</v>
      </c>
      <c r="L209" s="302"/>
      <c r="M209" s="303">
        <v>4</v>
      </c>
      <c r="N209" s="303">
        <f t="shared" si="161"/>
        <v>4</v>
      </c>
      <c r="O209" s="304" t="s">
        <v>290</v>
      </c>
      <c r="P209" s="305" t="s">
        <v>262</v>
      </c>
      <c r="Q209" s="116" t="s">
        <v>573</v>
      </c>
      <c r="R209" s="145"/>
      <c r="S209" s="312" t="s">
        <v>738</v>
      </c>
      <c r="T209" s="300"/>
      <c r="U209" s="303">
        <v>324</v>
      </c>
      <c r="V209" s="303">
        <f t="shared" ref="V209:V211" si="168">18.8*U209/1000*(1+$V$1)*K209</f>
        <v>6.7003200000000005</v>
      </c>
      <c r="W209" s="303"/>
      <c r="X209" s="303">
        <v>3</v>
      </c>
      <c r="Y209" s="303"/>
      <c r="Z209" s="303"/>
      <c r="AA209" s="303"/>
      <c r="AB209" s="303">
        <v>5</v>
      </c>
      <c r="AC209" s="303"/>
      <c r="AD209" s="303"/>
      <c r="AE209" s="303"/>
      <c r="AF209" s="303"/>
      <c r="AG209" s="303"/>
      <c r="AH209" s="305"/>
      <c r="AI209" s="303">
        <f t="shared" ref="AI209:AI211" si="169">0.85 *(U209/1000)*K209*(1+$AI$1)</f>
        <v>0.31670999999999994</v>
      </c>
      <c r="AJ209" s="122"/>
    </row>
    <row r="210" spans="1:36" ht="36" customHeight="1" x14ac:dyDescent="0.25">
      <c r="A210" s="300">
        <v>10</v>
      </c>
      <c r="B210" s="300" t="s">
        <v>179</v>
      </c>
      <c r="C210" s="300"/>
      <c r="D210" s="300"/>
      <c r="E210" s="300" t="s">
        <v>742</v>
      </c>
      <c r="F210" s="300"/>
      <c r="G210" s="300" t="s">
        <v>743</v>
      </c>
      <c r="H210" s="300"/>
      <c r="I210" s="301" t="s">
        <v>744</v>
      </c>
      <c r="J210" s="300">
        <v>2</v>
      </c>
      <c r="K210" s="302">
        <f t="shared" si="165"/>
        <v>2</v>
      </c>
      <c r="L210" s="302"/>
      <c r="M210" s="303">
        <v>167</v>
      </c>
      <c r="N210" s="303">
        <f t="shared" si="161"/>
        <v>334</v>
      </c>
      <c r="O210" s="304" t="s">
        <v>290</v>
      </c>
      <c r="P210" s="305" t="s">
        <v>262</v>
      </c>
      <c r="Q210" s="116" t="s">
        <v>573</v>
      </c>
      <c r="R210" s="145"/>
      <c r="S210" s="312" t="s">
        <v>738</v>
      </c>
      <c r="T210" s="300"/>
      <c r="U210" s="481">
        <v>8763</v>
      </c>
      <c r="V210" s="303">
        <f t="shared" si="168"/>
        <v>362.43768</v>
      </c>
      <c r="W210" s="303"/>
      <c r="X210" s="303">
        <v>3</v>
      </c>
      <c r="Y210" s="303"/>
      <c r="Z210" s="303"/>
      <c r="AA210" s="303"/>
      <c r="AB210" s="303">
        <v>5</v>
      </c>
      <c r="AC210" s="303"/>
      <c r="AD210" s="303"/>
      <c r="AE210" s="303"/>
      <c r="AF210" s="303"/>
      <c r="AG210" s="303" t="s">
        <v>721</v>
      </c>
      <c r="AH210" s="305"/>
      <c r="AI210" s="303">
        <f t="shared" si="169"/>
        <v>17.131664999999998</v>
      </c>
      <c r="AJ210" s="122"/>
    </row>
    <row r="211" spans="1:36" ht="36" customHeight="1" x14ac:dyDescent="0.25">
      <c r="A211" s="300">
        <v>11</v>
      </c>
      <c r="B211" s="300" t="s">
        <v>179</v>
      </c>
      <c r="C211" s="300"/>
      <c r="D211" s="300"/>
      <c r="E211" s="300" t="s">
        <v>745</v>
      </c>
      <c r="F211" s="300"/>
      <c r="G211" s="300" t="s">
        <v>746</v>
      </c>
      <c r="H211" s="300"/>
      <c r="I211" s="301" t="s">
        <v>747</v>
      </c>
      <c r="J211" s="300">
        <v>2</v>
      </c>
      <c r="K211" s="302">
        <f t="shared" si="165"/>
        <v>2</v>
      </c>
      <c r="L211" s="302"/>
      <c r="M211" s="303">
        <v>224</v>
      </c>
      <c r="N211" s="303">
        <f t="shared" si="161"/>
        <v>448</v>
      </c>
      <c r="O211" s="304" t="s">
        <v>290</v>
      </c>
      <c r="P211" s="305" t="s">
        <v>262</v>
      </c>
      <c r="Q211" s="116" t="s">
        <v>573</v>
      </c>
      <c r="R211" s="145"/>
      <c r="S211" s="312" t="s">
        <v>738</v>
      </c>
      <c r="T211" s="300"/>
      <c r="U211" s="481">
        <v>11709</v>
      </c>
      <c r="V211" s="303">
        <f t="shared" si="168"/>
        <v>484.28424000000007</v>
      </c>
      <c r="W211" s="303"/>
      <c r="X211" s="303">
        <v>3</v>
      </c>
      <c r="Y211" s="303"/>
      <c r="Z211" s="303"/>
      <c r="AA211" s="303"/>
      <c r="AB211" s="303"/>
      <c r="AC211" s="303"/>
      <c r="AD211" s="303"/>
      <c r="AE211" s="303"/>
      <c r="AF211" s="303"/>
      <c r="AG211" s="303" t="s">
        <v>721</v>
      </c>
      <c r="AH211" s="305"/>
      <c r="AI211" s="303">
        <f t="shared" si="169"/>
        <v>22.891095</v>
      </c>
      <c r="AJ211" s="122"/>
    </row>
    <row r="212" spans="1:36" ht="36" customHeight="1" x14ac:dyDescent="0.25">
      <c r="A212" s="300">
        <v>12</v>
      </c>
      <c r="B212" s="300" t="s">
        <v>179</v>
      </c>
      <c r="C212" s="300"/>
      <c r="D212" s="300"/>
      <c r="E212" s="300" t="s">
        <v>748</v>
      </c>
      <c r="F212" s="300"/>
      <c r="G212" s="300"/>
      <c r="H212" s="300"/>
      <c r="I212" s="301" t="s">
        <v>749</v>
      </c>
      <c r="J212" s="300">
        <v>6</v>
      </c>
      <c r="K212" s="302">
        <f t="shared" si="165"/>
        <v>6</v>
      </c>
      <c r="L212" s="302"/>
      <c r="M212" s="303">
        <f>61.42*(U212/1000)</f>
        <v>97.289280000000005</v>
      </c>
      <c r="N212" s="303">
        <f t="shared" si="161"/>
        <v>583.73568</v>
      </c>
      <c r="O212" s="304" t="s">
        <v>394</v>
      </c>
      <c r="P212" s="304" t="s">
        <v>395</v>
      </c>
      <c r="Q212" s="110" t="s">
        <v>540</v>
      </c>
      <c r="R212" s="145"/>
      <c r="S212" s="312" t="s">
        <v>545</v>
      </c>
      <c r="T212" s="300"/>
      <c r="U212" s="303">
        <v>1584</v>
      </c>
      <c r="V212" s="113">
        <f t="shared" ref="V212:V213" si="170">61.42*(U212/1000)*K212*(1+$V$1)</f>
        <v>642.10924800000009</v>
      </c>
      <c r="W212" s="303"/>
      <c r="X212" s="303">
        <v>3</v>
      </c>
      <c r="Y212" s="303"/>
      <c r="Z212" s="303"/>
      <c r="AA212" s="303"/>
      <c r="AB212" s="303"/>
      <c r="AC212" s="303"/>
      <c r="AD212" s="303"/>
      <c r="AE212" s="303"/>
      <c r="AF212" s="303"/>
      <c r="AG212" s="303"/>
      <c r="AH212" s="305"/>
      <c r="AI212" s="303">
        <f>0.7*(U212/1000)*K212*(1+$AI$1)</f>
        <v>7.6507199999999997</v>
      </c>
      <c r="AJ212" s="122"/>
    </row>
    <row r="213" spans="1:36" ht="36" customHeight="1" x14ac:dyDescent="0.25">
      <c r="A213" s="300">
        <v>13</v>
      </c>
      <c r="B213" s="300" t="s">
        <v>179</v>
      </c>
      <c r="C213" s="300"/>
      <c r="D213" s="300"/>
      <c r="E213" s="300" t="s">
        <v>750</v>
      </c>
      <c r="F213" s="300"/>
      <c r="G213" s="300"/>
      <c r="H213" s="300"/>
      <c r="I213" s="301" t="s">
        <v>751</v>
      </c>
      <c r="J213" s="300">
        <v>2</v>
      </c>
      <c r="K213" s="302">
        <f t="shared" si="165"/>
        <v>2</v>
      </c>
      <c r="L213" s="302"/>
      <c r="M213" s="303">
        <f>61.42*(U213/1000)</f>
        <v>120.13751999999999</v>
      </c>
      <c r="N213" s="303">
        <f t="shared" si="161"/>
        <v>240.27503999999999</v>
      </c>
      <c r="O213" s="304" t="s">
        <v>394</v>
      </c>
      <c r="P213" s="304" t="s">
        <v>395</v>
      </c>
      <c r="Q213" s="110" t="s">
        <v>540</v>
      </c>
      <c r="R213" s="145"/>
      <c r="S213" s="312" t="s">
        <v>545</v>
      </c>
      <c r="T213" s="300"/>
      <c r="U213" s="303">
        <v>1956</v>
      </c>
      <c r="V213" s="113">
        <f t="shared" si="170"/>
        <v>264.30254400000001</v>
      </c>
      <c r="W213" s="303"/>
      <c r="X213" s="303">
        <v>3</v>
      </c>
      <c r="Y213" s="303"/>
      <c r="Z213" s="303"/>
      <c r="AA213" s="303"/>
      <c r="AB213" s="303"/>
      <c r="AC213" s="303"/>
      <c r="AD213" s="303"/>
      <c r="AE213" s="303"/>
      <c r="AF213" s="303"/>
      <c r="AG213" s="303"/>
      <c r="AH213" s="305"/>
      <c r="AI213" s="303">
        <f>0.7*(U213/1000)*K213*(1+$AI$1)</f>
        <v>3.1491599999999997</v>
      </c>
      <c r="AJ213" s="122"/>
    </row>
    <row r="214" spans="1:36" ht="36" customHeight="1" x14ac:dyDescent="0.25">
      <c r="A214" s="300">
        <v>14</v>
      </c>
      <c r="B214" s="300" t="s">
        <v>179</v>
      </c>
      <c r="C214" s="300"/>
      <c r="D214" s="300"/>
      <c r="E214" s="300" t="s">
        <v>752</v>
      </c>
      <c r="F214" s="300"/>
      <c r="G214" s="300"/>
      <c r="H214" s="300"/>
      <c r="I214" s="301" t="s">
        <v>753</v>
      </c>
      <c r="J214" s="300">
        <v>8</v>
      </c>
      <c r="K214" s="302">
        <f t="shared" si="165"/>
        <v>8</v>
      </c>
      <c r="L214" s="302"/>
      <c r="M214" s="303">
        <f>17.71*(U214/1000)</f>
        <v>4.9942199999999994</v>
      </c>
      <c r="N214" s="303">
        <f t="shared" si="161"/>
        <v>39.953759999999996</v>
      </c>
      <c r="O214" s="304" t="s">
        <v>394</v>
      </c>
      <c r="P214" s="304" t="s">
        <v>395</v>
      </c>
      <c r="Q214" s="110" t="s">
        <v>540</v>
      </c>
      <c r="R214" s="145"/>
      <c r="S214" s="312" t="s">
        <v>774</v>
      </c>
      <c r="T214" s="300"/>
      <c r="U214" s="303">
        <v>282</v>
      </c>
      <c r="V214" s="303">
        <f>17.71*(U214/1000)*K214*(1+$V$1)</f>
        <v>43.949135999999996</v>
      </c>
      <c r="W214" s="303"/>
      <c r="X214" s="303">
        <v>3</v>
      </c>
      <c r="Y214" s="303"/>
      <c r="Z214" s="303"/>
      <c r="AA214" s="303"/>
      <c r="AB214" s="303"/>
      <c r="AC214" s="303"/>
      <c r="AD214" s="303"/>
      <c r="AE214" s="303"/>
      <c r="AF214" s="303"/>
      <c r="AG214" s="303"/>
      <c r="AH214" s="305"/>
      <c r="AI214" s="303">
        <f>0.4*(U214/1000)*K214*(1+$AI$1)</f>
        <v>1.0377599999999998</v>
      </c>
      <c r="AJ214" s="122"/>
    </row>
    <row r="215" spans="1:36" ht="36" customHeight="1" x14ac:dyDescent="0.25">
      <c r="A215" s="300">
        <v>15</v>
      </c>
      <c r="B215" s="300" t="s">
        <v>179</v>
      </c>
      <c r="C215" s="300"/>
      <c r="D215" s="300"/>
      <c r="E215" s="300" t="s">
        <v>754</v>
      </c>
      <c r="F215" s="300"/>
      <c r="G215" s="300"/>
      <c r="H215" s="300"/>
      <c r="I215" s="301" t="s">
        <v>755</v>
      </c>
      <c r="J215" s="300">
        <v>8</v>
      </c>
      <c r="K215" s="302">
        <f t="shared" si="165"/>
        <v>8</v>
      </c>
      <c r="L215" s="302"/>
      <c r="M215" s="303">
        <f>S215*T215*U215*0.00000785</f>
        <v>3.7444499999999996</v>
      </c>
      <c r="N215" s="303">
        <f t="shared" si="161"/>
        <v>29.955599999999997</v>
      </c>
      <c r="O215" s="304" t="s">
        <v>21</v>
      </c>
      <c r="P215" s="304" t="s">
        <v>226</v>
      </c>
      <c r="Q215" s="116" t="s">
        <v>777</v>
      </c>
      <c r="R215" s="145"/>
      <c r="S215" s="300">
        <v>12</v>
      </c>
      <c r="T215" s="300">
        <v>150</v>
      </c>
      <c r="U215" s="303">
        <v>265</v>
      </c>
      <c r="V215" s="113">
        <f t="shared" ref="V215" si="171">S215*T215*U215*0.00000785*(1+$V$1)*K215</f>
        <v>32.951160000000002</v>
      </c>
      <c r="W215" s="113">
        <f t="shared" ref="W215:W221" si="172">((T215+U215)*2*(1+$W$1))/1000</f>
        <v>0.9544999999999999</v>
      </c>
      <c r="X215" s="113">
        <f t="shared" ref="X215" si="173">W215/1.1</f>
        <v>0.86772727272727257</v>
      </c>
      <c r="Y215" s="303"/>
      <c r="Z215" s="303"/>
      <c r="AA215" s="303"/>
      <c r="AB215" s="303"/>
      <c r="AC215" s="303"/>
      <c r="AD215" s="303"/>
      <c r="AE215" s="303"/>
      <c r="AF215" s="303"/>
      <c r="AG215" s="303"/>
      <c r="AH215" s="305"/>
      <c r="AI215" s="356">
        <f t="shared" ref="AI215" si="174">(T215*U215*2)/1000000*(1+$AI$1)*K215</f>
        <v>0.73139999999999994</v>
      </c>
      <c r="AJ215" s="122"/>
    </row>
    <row r="216" spans="1:36" ht="36" customHeight="1" x14ac:dyDescent="0.25">
      <c r="A216" s="300">
        <v>16</v>
      </c>
      <c r="B216" s="300" t="s">
        <v>179</v>
      </c>
      <c r="C216" s="300"/>
      <c r="D216" s="300"/>
      <c r="E216" s="300" t="s">
        <v>756</v>
      </c>
      <c r="F216" s="300"/>
      <c r="G216" s="300"/>
      <c r="H216" s="300"/>
      <c r="I216" s="301" t="s">
        <v>757</v>
      </c>
      <c r="J216" s="300">
        <v>4</v>
      </c>
      <c r="K216" s="302">
        <f t="shared" si="165"/>
        <v>4</v>
      </c>
      <c r="L216" s="302"/>
      <c r="M216" s="303">
        <f>18.8*U216/1000</f>
        <v>244.0052</v>
      </c>
      <c r="N216" s="303">
        <f t="shared" si="161"/>
        <v>976.02080000000001</v>
      </c>
      <c r="O216" s="304" t="s">
        <v>290</v>
      </c>
      <c r="P216" s="304" t="s">
        <v>262</v>
      </c>
      <c r="Q216" s="116" t="s">
        <v>573</v>
      </c>
      <c r="R216" s="145"/>
      <c r="S216" s="312" t="s">
        <v>738</v>
      </c>
      <c r="T216" s="300"/>
      <c r="U216" s="481">
        <v>12979</v>
      </c>
      <c r="V216" s="303">
        <f>18.8*U216/1000*(1+$V$1)*K216</f>
        <v>1073.6228800000001</v>
      </c>
      <c r="W216" s="303"/>
      <c r="X216" s="303">
        <v>3</v>
      </c>
      <c r="Y216" s="303"/>
      <c r="Z216" s="303"/>
      <c r="AA216" s="303"/>
      <c r="AB216" s="303"/>
      <c r="AC216" s="303"/>
      <c r="AD216" s="303"/>
      <c r="AE216" s="303"/>
      <c r="AF216" s="303"/>
      <c r="AG216" s="303" t="s">
        <v>721</v>
      </c>
      <c r="AH216" s="305"/>
      <c r="AI216" s="303">
        <f>0.85 *(U216/1000)*K216*(1+$AI$1)</f>
        <v>50.747889999999991</v>
      </c>
      <c r="AJ216" s="122"/>
    </row>
    <row r="217" spans="1:36" ht="36" customHeight="1" x14ac:dyDescent="0.25">
      <c r="A217" s="300">
        <v>17</v>
      </c>
      <c r="B217" s="300" t="s">
        <v>179</v>
      </c>
      <c r="C217" s="300"/>
      <c r="D217" s="300"/>
      <c r="E217" s="300" t="s">
        <v>758</v>
      </c>
      <c r="F217" s="300"/>
      <c r="G217" s="300"/>
      <c r="H217" s="300"/>
      <c r="I217" s="301" t="s">
        <v>759</v>
      </c>
      <c r="J217" s="300">
        <v>16</v>
      </c>
      <c r="K217" s="302">
        <f t="shared" si="165"/>
        <v>16</v>
      </c>
      <c r="L217" s="302"/>
      <c r="M217" s="303">
        <f>S217*T217*U217*0.00000785</f>
        <v>2.2042799999999998</v>
      </c>
      <c r="N217" s="303">
        <f t="shared" si="161"/>
        <v>35.268479999999997</v>
      </c>
      <c r="O217" s="304" t="s">
        <v>21</v>
      </c>
      <c r="P217" s="304" t="s">
        <v>760</v>
      </c>
      <c r="Q217" s="116" t="s">
        <v>573</v>
      </c>
      <c r="R217" s="145"/>
      <c r="S217" s="300">
        <v>12</v>
      </c>
      <c r="T217" s="300">
        <v>130</v>
      </c>
      <c r="U217" s="303">
        <v>180</v>
      </c>
      <c r="V217" s="113">
        <f t="shared" ref="V217:V221" si="175">S217*T217*U217*0.00000785*(1+$V$1)*K217</f>
        <v>38.795327999999998</v>
      </c>
      <c r="W217" s="113">
        <f t="shared" si="172"/>
        <v>0.71299999999999997</v>
      </c>
      <c r="X217" s="113">
        <f t="shared" ref="X217" si="176">W217/1.1</f>
        <v>0.64818181818181808</v>
      </c>
      <c r="Y217" s="303"/>
      <c r="Z217" s="303"/>
      <c r="AA217" s="303"/>
      <c r="AB217" s="303"/>
      <c r="AC217" s="303"/>
      <c r="AD217" s="303"/>
      <c r="AE217" s="303"/>
      <c r="AF217" s="303"/>
      <c r="AG217" s="303"/>
      <c r="AH217" s="305"/>
      <c r="AI217" s="356">
        <f t="shared" ref="AI217" si="177">(T217*U217*2)/1000000*(1+$AI$1)*K217</f>
        <v>0.86112</v>
      </c>
      <c r="AJ217" s="122"/>
    </row>
    <row r="218" spans="1:36" ht="36" customHeight="1" x14ac:dyDescent="0.25">
      <c r="A218" s="300">
        <v>18</v>
      </c>
      <c r="B218" s="300" t="s">
        <v>179</v>
      </c>
      <c r="C218" s="300"/>
      <c r="D218" s="300">
        <v>14.2</v>
      </c>
      <c r="E218" s="300"/>
      <c r="F218" s="300"/>
      <c r="G218" s="300" t="s">
        <v>761</v>
      </c>
      <c r="H218" s="300"/>
      <c r="I218" s="301" t="s">
        <v>762</v>
      </c>
      <c r="J218" s="300">
        <v>2</v>
      </c>
      <c r="K218" s="302">
        <f t="shared" ref="K218:K227" si="178">J218*$K$201</f>
        <v>2</v>
      </c>
      <c r="L218" s="302"/>
      <c r="M218" s="303">
        <v>152</v>
      </c>
      <c r="N218" s="303">
        <f t="shared" si="161"/>
        <v>304</v>
      </c>
      <c r="O218" s="123" t="s">
        <v>252</v>
      </c>
      <c r="P218" s="304"/>
      <c r="Q218" s="304"/>
      <c r="R218" s="304"/>
      <c r="S218" s="304"/>
      <c r="T218" s="304"/>
      <c r="U218" s="304"/>
      <c r="V218" s="304"/>
      <c r="W218" s="304"/>
      <c r="X218" s="304"/>
      <c r="Y218" s="304"/>
      <c r="Z218" s="304"/>
      <c r="AA218" s="304"/>
      <c r="AB218" s="304"/>
      <c r="AC218" s="304"/>
      <c r="AD218" s="304"/>
      <c r="AE218" s="303"/>
      <c r="AF218" s="303"/>
      <c r="AG218" s="303"/>
      <c r="AH218" s="305"/>
      <c r="AI218" s="303"/>
      <c r="AJ218" s="122"/>
    </row>
    <row r="219" spans="1:36" ht="36" customHeight="1" x14ac:dyDescent="0.25">
      <c r="A219" s="300">
        <v>19</v>
      </c>
      <c r="B219" s="300" t="s">
        <v>179</v>
      </c>
      <c r="C219" s="300"/>
      <c r="D219" s="300"/>
      <c r="E219" s="300" t="s">
        <v>786</v>
      </c>
      <c r="F219" s="300"/>
      <c r="G219" s="300" t="s">
        <v>791</v>
      </c>
      <c r="H219" s="300"/>
      <c r="I219" s="301" t="s">
        <v>781</v>
      </c>
      <c r="J219" s="300">
        <v>2</v>
      </c>
      <c r="K219" s="302">
        <f>J219*$K$218</f>
        <v>4</v>
      </c>
      <c r="L219" s="302"/>
      <c r="M219" s="303">
        <v>50.6</v>
      </c>
      <c r="N219" s="303">
        <f t="shared" si="161"/>
        <v>202.4</v>
      </c>
      <c r="O219" s="304" t="s">
        <v>21</v>
      </c>
      <c r="P219" s="304" t="s">
        <v>763</v>
      </c>
      <c r="Q219" s="116" t="s">
        <v>573</v>
      </c>
      <c r="R219" s="145"/>
      <c r="S219" s="300">
        <v>12</v>
      </c>
      <c r="T219" s="300">
        <v>814</v>
      </c>
      <c r="U219" s="303">
        <v>1321</v>
      </c>
      <c r="V219" s="113">
        <f t="shared" si="175"/>
        <v>445.68785711999999</v>
      </c>
      <c r="W219" s="113">
        <f t="shared" si="172"/>
        <v>4.9104999999999999</v>
      </c>
      <c r="X219" s="113">
        <f t="shared" ref="X219" si="179">W219/1.1</f>
        <v>4.4640909090909089</v>
      </c>
      <c r="Y219" s="303"/>
      <c r="Z219" s="303"/>
      <c r="AA219" s="303"/>
      <c r="AB219" s="303"/>
      <c r="AC219" s="303"/>
      <c r="AD219" s="303"/>
      <c r="AE219" s="303"/>
      <c r="AF219" s="303"/>
      <c r="AG219" s="303"/>
      <c r="AH219" s="305"/>
      <c r="AI219" s="356">
        <f t="shared" ref="AI219" si="180">(T219*U219*2)/1000000*(1+$AI$1)*K219</f>
        <v>9.8927047999999989</v>
      </c>
      <c r="AJ219" s="122"/>
    </row>
    <row r="220" spans="1:36" ht="36" customHeight="1" x14ac:dyDescent="0.25">
      <c r="A220" s="300">
        <v>20</v>
      </c>
      <c r="B220" s="300" t="s">
        <v>179</v>
      </c>
      <c r="C220" s="300"/>
      <c r="D220" s="300"/>
      <c r="E220" s="300" t="s">
        <v>787</v>
      </c>
      <c r="F220" s="300"/>
      <c r="G220" s="300" t="s">
        <v>792</v>
      </c>
      <c r="H220" s="300"/>
      <c r="I220" s="301" t="s">
        <v>782</v>
      </c>
      <c r="J220" s="300">
        <v>1</v>
      </c>
      <c r="K220" s="302">
        <f t="shared" ref="K220:K223" si="181">J220*$K$218</f>
        <v>2</v>
      </c>
      <c r="L220" s="302"/>
      <c r="M220" s="303">
        <v>16.100000000000001</v>
      </c>
      <c r="N220" s="303">
        <f t="shared" si="161"/>
        <v>32.200000000000003</v>
      </c>
      <c r="O220" s="304" t="s">
        <v>44</v>
      </c>
      <c r="P220" s="304" t="s">
        <v>763</v>
      </c>
      <c r="Q220" s="116" t="s">
        <v>573</v>
      </c>
      <c r="R220" s="145"/>
      <c r="S220" s="300" t="s">
        <v>796</v>
      </c>
      <c r="T220" s="300"/>
      <c r="U220" s="303">
        <v>180</v>
      </c>
      <c r="V220" s="303">
        <f>124.32*U220/1000*(1+$V$1)*K220</f>
        <v>49.230719999999998</v>
      </c>
      <c r="W220" s="303"/>
      <c r="X220" s="303">
        <v>5</v>
      </c>
      <c r="Y220" s="303"/>
      <c r="Z220" s="303"/>
      <c r="AA220" s="303"/>
      <c r="AB220" s="303">
        <v>60</v>
      </c>
      <c r="AC220" s="303"/>
      <c r="AD220" s="303"/>
      <c r="AE220" s="303"/>
      <c r="AF220" s="303"/>
      <c r="AG220" s="303"/>
      <c r="AH220" s="305"/>
      <c r="AI220" s="303">
        <f>0.45 *(U220/1000)*K220*(1+$AI$1)</f>
        <v>0.18629999999999999</v>
      </c>
      <c r="AJ220" s="122"/>
    </row>
    <row r="221" spans="1:36" ht="36" customHeight="1" x14ac:dyDescent="0.25">
      <c r="A221" s="300">
        <v>21</v>
      </c>
      <c r="B221" s="300" t="s">
        <v>179</v>
      </c>
      <c r="C221" s="300"/>
      <c r="D221" s="300"/>
      <c r="E221" s="300" t="s">
        <v>788</v>
      </c>
      <c r="F221" s="300"/>
      <c r="G221" s="300" t="s">
        <v>793</v>
      </c>
      <c r="H221" s="300"/>
      <c r="I221" s="301" t="s">
        <v>783</v>
      </c>
      <c r="J221" s="300">
        <v>1</v>
      </c>
      <c r="K221" s="302">
        <f t="shared" si="181"/>
        <v>2</v>
      </c>
      <c r="L221" s="302"/>
      <c r="M221" s="303">
        <v>8</v>
      </c>
      <c r="N221" s="303">
        <f t="shared" si="161"/>
        <v>16</v>
      </c>
      <c r="O221" s="304" t="s">
        <v>21</v>
      </c>
      <c r="P221" s="304" t="s">
        <v>763</v>
      </c>
      <c r="Q221" s="116" t="s">
        <v>573</v>
      </c>
      <c r="R221" s="145"/>
      <c r="S221" s="300">
        <v>10</v>
      </c>
      <c r="T221" s="300">
        <v>152</v>
      </c>
      <c r="U221" s="303">
        <v>743</v>
      </c>
      <c r="V221" s="113">
        <f t="shared" si="175"/>
        <v>19.504047199999999</v>
      </c>
      <c r="W221" s="113">
        <f t="shared" si="172"/>
        <v>2.0585</v>
      </c>
      <c r="X221" s="113">
        <f t="shared" ref="X221:X223" si="182">W221/1.1</f>
        <v>1.8713636363636361</v>
      </c>
      <c r="Y221" s="303"/>
      <c r="Z221" s="303">
        <v>1</v>
      </c>
      <c r="AA221" s="303" t="s">
        <v>797</v>
      </c>
      <c r="AB221" s="303"/>
      <c r="AC221" s="303"/>
      <c r="AD221" s="303"/>
      <c r="AE221" s="303"/>
      <c r="AF221" s="303"/>
      <c r="AG221" s="303"/>
      <c r="AH221" s="305"/>
      <c r="AI221" s="356">
        <f t="shared" ref="AI221:AI223" si="183">(T221*U221*2)/1000000*(1+$AI$1)*K221</f>
        <v>0.5195055999999999</v>
      </c>
      <c r="AJ221" s="122"/>
    </row>
    <row r="222" spans="1:36" ht="36" customHeight="1" x14ac:dyDescent="0.25">
      <c r="A222" s="300">
        <v>22</v>
      </c>
      <c r="B222" s="300" t="s">
        <v>179</v>
      </c>
      <c r="C222" s="300"/>
      <c r="D222" s="300"/>
      <c r="E222" s="300" t="s">
        <v>789</v>
      </c>
      <c r="F222" s="300"/>
      <c r="G222" s="300" t="s">
        <v>794</v>
      </c>
      <c r="H222" s="300"/>
      <c r="I222" s="301" t="s">
        <v>784</v>
      </c>
      <c r="J222" s="300">
        <v>1</v>
      </c>
      <c r="K222" s="302">
        <f t="shared" si="181"/>
        <v>2</v>
      </c>
      <c r="L222" s="302"/>
      <c r="M222" s="303">
        <v>13</v>
      </c>
      <c r="N222" s="303">
        <f t="shared" si="161"/>
        <v>26</v>
      </c>
      <c r="O222" s="304" t="s">
        <v>21</v>
      </c>
      <c r="P222" s="304" t="s">
        <v>763</v>
      </c>
      <c r="Q222" s="116" t="s">
        <v>573</v>
      </c>
      <c r="R222" s="145"/>
      <c r="S222" s="300">
        <v>10</v>
      </c>
      <c r="T222" s="300">
        <v>152</v>
      </c>
      <c r="U222" s="303">
        <v>1194</v>
      </c>
      <c r="V222" s="113">
        <f>S222*T222*U222*0.00000785*(1+$V$1)*K218</f>
        <v>31.342977600000001</v>
      </c>
      <c r="W222" s="113">
        <f>((T222+U222)*2*(1+$W$1))/1000</f>
        <v>3.0957999999999997</v>
      </c>
      <c r="X222" s="113">
        <f t="shared" si="182"/>
        <v>2.8143636363636357</v>
      </c>
      <c r="Y222" s="303"/>
      <c r="Z222" s="303"/>
      <c r="AA222" s="303"/>
      <c r="AB222" s="303"/>
      <c r="AC222" s="303"/>
      <c r="AD222" s="303"/>
      <c r="AE222" s="303"/>
      <c r="AF222" s="303"/>
      <c r="AG222" s="303"/>
      <c r="AH222" s="305"/>
      <c r="AI222" s="356">
        <f t="shared" si="183"/>
        <v>0.83484479999999994</v>
      </c>
      <c r="AJ222" s="122"/>
    </row>
    <row r="223" spans="1:36" ht="36" customHeight="1" x14ac:dyDescent="0.25">
      <c r="A223" s="300">
        <v>23</v>
      </c>
      <c r="B223" s="300" t="s">
        <v>179</v>
      </c>
      <c r="C223" s="300"/>
      <c r="D223" s="300"/>
      <c r="E223" s="300" t="s">
        <v>790</v>
      </c>
      <c r="F223" s="300"/>
      <c r="G223" s="300" t="s">
        <v>795</v>
      </c>
      <c r="H223" s="300"/>
      <c r="I223" s="301" t="s">
        <v>785</v>
      </c>
      <c r="J223" s="300">
        <v>1</v>
      </c>
      <c r="K223" s="302">
        <f t="shared" si="181"/>
        <v>2</v>
      </c>
      <c r="L223" s="302"/>
      <c r="M223" s="303">
        <v>29.2</v>
      </c>
      <c r="N223" s="303">
        <f t="shared" si="161"/>
        <v>58.4</v>
      </c>
      <c r="O223" s="304" t="s">
        <v>21</v>
      </c>
      <c r="P223" s="304" t="s">
        <v>763</v>
      </c>
      <c r="Q223" s="116" t="s">
        <v>573</v>
      </c>
      <c r="R223" s="145"/>
      <c r="S223" s="300">
        <v>10</v>
      </c>
      <c r="T223" s="300">
        <v>152</v>
      </c>
      <c r="U223" s="303">
        <v>1251</v>
      </c>
      <c r="V223" s="113">
        <f>S223*T223*U223*0.00000785*(1+$V$1)*K219</f>
        <v>65.678500799999995</v>
      </c>
      <c r="W223" s="113">
        <f>((T223+U223)*2*(1+$W$1))/1000</f>
        <v>3.2268999999999997</v>
      </c>
      <c r="X223" s="113">
        <f t="shared" si="182"/>
        <v>2.9335454545454538</v>
      </c>
      <c r="Y223" s="303"/>
      <c r="Z223" s="303">
        <v>3</v>
      </c>
      <c r="AA223" s="303" t="s">
        <v>797</v>
      </c>
      <c r="AB223" s="303"/>
      <c r="AC223" s="303"/>
      <c r="AD223" s="303"/>
      <c r="AE223" s="303"/>
      <c r="AF223" s="303"/>
      <c r="AG223" s="303"/>
      <c r="AH223" s="305"/>
      <c r="AI223" s="356">
        <f t="shared" si="183"/>
        <v>0.8746991999999999</v>
      </c>
      <c r="AJ223" s="122"/>
    </row>
    <row r="224" spans="1:36" ht="36" customHeight="1" x14ac:dyDescent="0.25">
      <c r="A224" s="300">
        <v>24</v>
      </c>
      <c r="B224" s="300" t="s">
        <v>179</v>
      </c>
      <c r="C224" s="300"/>
      <c r="D224" s="300">
        <v>14.3</v>
      </c>
      <c r="E224" s="300"/>
      <c r="F224" s="300"/>
      <c r="G224" s="300" t="s">
        <v>764</v>
      </c>
      <c r="H224" s="300"/>
      <c r="I224" s="301" t="s">
        <v>765</v>
      </c>
      <c r="J224" s="300">
        <v>4</v>
      </c>
      <c r="K224" s="302">
        <f t="shared" si="178"/>
        <v>4</v>
      </c>
      <c r="L224" s="302"/>
      <c r="M224" s="303">
        <v>2.8</v>
      </c>
      <c r="N224" s="303">
        <f t="shared" si="161"/>
        <v>11.2</v>
      </c>
      <c r="O224" s="304" t="s">
        <v>44</v>
      </c>
      <c r="P224" s="304" t="s">
        <v>766</v>
      </c>
      <c r="Q224" s="305" t="s">
        <v>447</v>
      </c>
      <c r="R224" s="145"/>
      <c r="S224" s="300" t="s">
        <v>767</v>
      </c>
      <c r="T224" s="300"/>
      <c r="U224" s="303">
        <v>547</v>
      </c>
      <c r="V224" s="303">
        <f>5.55*U224/1000*(1+$V$1)*K224</f>
        <v>13.357740000000002</v>
      </c>
      <c r="W224" s="303"/>
      <c r="X224" s="303">
        <v>3</v>
      </c>
      <c r="Y224" s="303"/>
      <c r="Z224" s="303">
        <v>1</v>
      </c>
      <c r="AA224" s="303"/>
      <c r="AB224" s="303"/>
      <c r="AC224" s="303"/>
      <c r="AD224" s="303"/>
      <c r="AE224" s="303"/>
      <c r="AF224" s="303"/>
      <c r="AG224" s="303"/>
      <c r="AH224" s="305"/>
      <c r="AI224" s="303">
        <f>0.094 *(U224/1000)*K224*(1+$AI$1)</f>
        <v>0.23652280000000001</v>
      </c>
      <c r="AJ224" s="122"/>
    </row>
    <row r="225" spans="1:36" ht="36" customHeight="1" x14ac:dyDescent="0.25">
      <c r="A225" s="300">
        <v>25</v>
      </c>
      <c r="B225" s="300" t="s">
        <v>179</v>
      </c>
      <c r="C225" s="300"/>
      <c r="D225" s="300">
        <v>14.4</v>
      </c>
      <c r="E225" s="300"/>
      <c r="F225" s="300"/>
      <c r="G225" s="300" t="s">
        <v>768</v>
      </c>
      <c r="H225" s="300"/>
      <c r="I225" s="301" t="s">
        <v>769</v>
      </c>
      <c r="J225" s="300">
        <v>2</v>
      </c>
      <c r="K225" s="302">
        <f t="shared" si="178"/>
        <v>2</v>
      </c>
      <c r="L225" s="302"/>
      <c r="M225" s="303">
        <v>7</v>
      </c>
      <c r="N225" s="303">
        <f t="shared" si="161"/>
        <v>14</v>
      </c>
      <c r="O225" s="304" t="s">
        <v>21</v>
      </c>
      <c r="P225" s="304" t="s">
        <v>763</v>
      </c>
      <c r="Q225" s="116" t="s">
        <v>573</v>
      </c>
      <c r="R225" s="145"/>
      <c r="S225" s="300">
        <v>12</v>
      </c>
      <c r="T225" s="300">
        <v>152</v>
      </c>
      <c r="U225" s="303">
        <v>597</v>
      </c>
      <c r="V225" s="113">
        <f t="shared" ref="V225:V227" si="184">S225*T225*U225*0.00000785*(1+$V$1)*K225</f>
        <v>18.805786560000001</v>
      </c>
      <c r="W225" s="113">
        <f t="shared" ref="W225:W227" si="185">((T225+U225)*2*(1+$W$1))/1000</f>
        <v>1.7226999999999999</v>
      </c>
      <c r="X225" s="113">
        <f t="shared" ref="X225" si="186">W225/1.1</f>
        <v>1.566090909090909</v>
      </c>
      <c r="Y225" s="303"/>
      <c r="Z225" s="303"/>
      <c r="AA225" s="303"/>
      <c r="AB225" s="303"/>
      <c r="AC225" s="303"/>
      <c r="AD225" s="303"/>
      <c r="AE225" s="303"/>
      <c r="AF225" s="303"/>
      <c r="AG225" s="303"/>
      <c r="AH225" s="305"/>
      <c r="AI225" s="356">
        <f t="shared" ref="AI225:AI227" si="187">(T225*U225*2)/1000000*(1+$AI$1)*K225</f>
        <v>0.41742239999999997</v>
      </c>
      <c r="AJ225" s="122"/>
    </row>
    <row r="226" spans="1:36" ht="36" customHeight="1" x14ac:dyDescent="0.25">
      <c r="A226" s="300">
        <v>26</v>
      </c>
      <c r="B226" s="300" t="s">
        <v>179</v>
      </c>
      <c r="C226" s="300"/>
      <c r="D226" s="300">
        <v>14.5</v>
      </c>
      <c r="E226" s="300"/>
      <c r="F226" s="300"/>
      <c r="G226" s="300" t="s">
        <v>723</v>
      </c>
      <c r="H226" s="300"/>
      <c r="I226" s="301" t="s">
        <v>770</v>
      </c>
      <c r="J226" s="300">
        <v>2</v>
      </c>
      <c r="K226" s="302">
        <f t="shared" si="178"/>
        <v>2</v>
      </c>
      <c r="L226" s="302"/>
      <c r="M226" s="303">
        <v>4</v>
      </c>
      <c r="N226" s="303">
        <f t="shared" si="161"/>
        <v>8</v>
      </c>
      <c r="O226" s="304" t="s">
        <v>21</v>
      </c>
      <c r="P226" s="304" t="s">
        <v>763</v>
      </c>
      <c r="Q226" s="116" t="s">
        <v>573</v>
      </c>
      <c r="R226" s="145"/>
      <c r="S226" s="300">
        <v>10</v>
      </c>
      <c r="T226" s="300">
        <v>144</v>
      </c>
      <c r="U226" s="303">
        <v>332</v>
      </c>
      <c r="V226" s="113">
        <f t="shared" si="184"/>
        <v>8.2564416000000005</v>
      </c>
      <c r="W226" s="113">
        <f t="shared" si="185"/>
        <v>1.0948</v>
      </c>
      <c r="X226" s="113">
        <f t="shared" ref="X226" si="188">W226/1.1</f>
        <v>0.9952727272727272</v>
      </c>
      <c r="Y226" s="303"/>
      <c r="Z226" s="303"/>
      <c r="AA226" s="303"/>
      <c r="AB226" s="303"/>
      <c r="AC226" s="303"/>
      <c r="AD226" s="303"/>
      <c r="AE226" s="303"/>
      <c r="AF226" s="303"/>
      <c r="AG226" s="303"/>
      <c r="AH226" s="305"/>
      <c r="AI226" s="356">
        <f t="shared" si="187"/>
        <v>0.2199168</v>
      </c>
      <c r="AJ226" s="122"/>
    </row>
    <row r="227" spans="1:36" ht="36" customHeight="1" x14ac:dyDescent="0.25">
      <c r="A227" s="300">
        <v>27</v>
      </c>
      <c r="B227" s="300" t="s">
        <v>179</v>
      </c>
      <c r="C227" s="300"/>
      <c r="D227" s="300">
        <v>14.6</v>
      </c>
      <c r="E227" s="300"/>
      <c r="F227" s="300"/>
      <c r="G227" s="300" t="s">
        <v>771</v>
      </c>
      <c r="H227" s="300"/>
      <c r="I227" s="301" t="s">
        <v>772</v>
      </c>
      <c r="J227" s="300">
        <v>4</v>
      </c>
      <c r="K227" s="302">
        <f t="shared" si="178"/>
        <v>4</v>
      </c>
      <c r="L227" s="302"/>
      <c r="M227" s="303">
        <v>0.1</v>
      </c>
      <c r="N227" s="303">
        <f t="shared" si="161"/>
        <v>0.4</v>
      </c>
      <c r="O227" s="304" t="s">
        <v>21</v>
      </c>
      <c r="P227" s="304" t="s">
        <v>773</v>
      </c>
      <c r="Q227" s="116" t="s">
        <v>573</v>
      </c>
      <c r="R227" s="145"/>
      <c r="S227" s="300">
        <v>6</v>
      </c>
      <c r="T227" s="300">
        <v>54</v>
      </c>
      <c r="U227" s="303">
        <v>64</v>
      </c>
      <c r="V227" s="113">
        <f t="shared" si="184"/>
        <v>0.71622143999999999</v>
      </c>
      <c r="W227" s="113">
        <f t="shared" si="185"/>
        <v>0.27139999999999997</v>
      </c>
      <c r="X227" s="113">
        <f>1.5/W227</f>
        <v>5.5268975681650705</v>
      </c>
      <c r="Y227" s="303"/>
      <c r="Z227" s="303"/>
      <c r="AA227" s="303"/>
      <c r="AB227" s="303"/>
      <c r="AC227" s="303"/>
      <c r="AD227" s="303"/>
      <c r="AE227" s="303"/>
      <c r="AF227" s="303"/>
      <c r="AG227" s="303"/>
      <c r="AH227" s="305"/>
      <c r="AI227" s="356">
        <f t="shared" si="187"/>
        <v>3.1795199999999996E-2</v>
      </c>
      <c r="AJ227" s="122"/>
    </row>
    <row r="228" spans="1:36" x14ac:dyDescent="0.25">
      <c r="H228" s="121"/>
      <c r="I228" s="120"/>
      <c r="O228" s="122"/>
      <c r="P228" s="129"/>
      <c r="Q228" s="120"/>
      <c r="AG228" s="122"/>
    </row>
  </sheetData>
  <autoFilter ref="A2:AL227" xr:uid="{481341FF-1F97-4E29-AA7D-1B92A2311F46}"/>
  <mergeCells count="3">
    <mergeCell ref="A1:A2"/>
    <mergeCell ref="C1:E1"/>
    <mergeCell ref="G1:L1"/>
  </mergeCells>
  <phoneticPr fontId="1" type="noConversion"/>
  <conditionalFormatting sqref="F228 G201">
    <cfRule type="duplicateValues" dxfId="14" priority="1"/>
  </conditionalFormatting>
  <conditionalFormatting sqref="G93:G96">
    <cfRule type="duplicateValues" dxfId="13" priority="15"/>
  </conditionalFormatting>
  <conditionalFormatting sqref="G97:G99">
    <cfRule type="duplicateValues" dxfId="12" priority="14"/>
  </conditionalFormatting>
  <conditionalFormatting sqref="G100:G104">
    <cfRule type="duplicateValues" dxfId="11" priority="13"/>
  </conditionalFormatting>
  <conditionalFormatting sqref="G105:G108">
    <cfRule type="duplicateValues" dxfId="10" priority="12"/>
  </conditionalFormatting>
  <conditionalFormatting sqref="G109:G113">
    <cfRule type="duplicateValues" dxfId="9" priority="11"/>
  </conditionalFormatting>
  <conditionalFormatting sqref="G114:G118">
    <cfRule type="duplicateValues" dxfId="8" priority="10"/>
  </conditionalFormatting>
  <conditionalFormatting sqref="G119:G127">
    <cfRule type="duplicateValues" dxfId="7" priority="9"/>
  </conditionalFormatting>
  <conditionalFormatting sqref="G128:G144">
    <cfRule type="duplicateValues" dxfId="6" priority="8"/>
  </conditionalFormatting>
  <conditionalFormatting sqref="G145:G161">
    <cfRule type="duplicateValues" dxfId="5" priority="7"/>
  </conditionalFormatting>
  <conditionalFormatting sqref="G162:G170">
    <cfRule type="duplicateValues" dxfId="4" priority="6"/>
  </conditionalFormatting>
  <conditionalFormatting sqref="G171:G186">
    <cfRule type="duplicateValues" dxfId="3" priority="5"/>
  </conditionalFormatting>
  <conditionalFormatting sqref="G188:G190">
    <cfRule type="duplicateValues" dxfId="2" priority="3"/>
  </conditionalFormatting>
  <conditionalFormatting sqref="G191:G200">
    <cfRule type="duplicateValues" dxfId="1" priority="4"/>
  </conditionalFormatting>
  <conditionalFormatting sqref="G229:G1048576 G1:G92">
    <cfRule type="duplicateValues" dxfId="0" priority="16"/>
  </conditionalFormatting>
  <pageMargins left="0.7" right="0.7" top="0.75" bottom="0.75" header="0.3" footer="0.3"/>
  <pageSetup paperSize="9" orientation="portrait" r:id="rId1"/>
  <ignoredErrors>
    <ignoredError sqref="AI166 V220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F8F-E820-4C09-B702-7331EC6E8FB5}">
  <dimension ref="A1:AG222"/>
  <sheetViews>
    <sheetView topLeftCell="A8" zoomScale="70" zoomScaleNormal="70" workbookViewId="0">
      <selection activeCell="H20" sqref="H20"/>
    </sheetView>
  </sheetViews>
  <sheetFormatPr defaultRowHeight="15.75" x14ac:dyDescent="0.25"/>
  <cols>
    <col min="1" max="1" width="9.28515625" style="146" bestFit="1" customWidth="1"/>
    <col min="2" max="2" width="12.140625" style="146" bestFit="1" customWidth="1"/>
    <col min="3" max="3" width="25.5703125" style="146" bestFit="1" customWidth="1"/>
    <col min="4" max="4" width="23.28515625" style="146" bestFit="1" customWidth="1"/>
    <col min="5" max="5" width="20.42578125" style="146" bestFit="1" customWidth="1"/>
    <col min="6" max="6" width="22.28515625" style="146" bestFit="1" customWidth="1"/>
    <col min="7" max="7" width="20.85546875" style="146" bestFit="1" customWidth="1"/>
    <col min="8" max="8" width="15.7109375" style="146" bestFit="1" customWidth="1"/>
    <col min="9" max="9" width="19.5703125" style="146" customWidth="1"/>
    <col min="10" max="10" width="13.85546875" style="146" customWidth="1"/>
    <col min="11" max="11" width="15" style="146" bestFit="1" customWidth="1"/>
    <col min="12" max="12" width="19.28515625" style="146" customWidth="1"/>
    <col min="13" max="13" width="17.28515625" style="146" customWidth="1"/>
    <col min="14" max="14" width="12.140625" style="146" customWidth="1"/>
    <col min="15" max="15" width="29.28515625" style="146" bestFit="1" customWidth="1"/>
    <col min="16" max="16" width="23.5703125" style="146" bestFit="1" customWidth="1"/>
    <col min="17" max="17" width="12.140625" style="146" bestFit="1" customWidth="1"/>
    <col min="18" max="19" width="26.5703125" style="146" bestFit="1" customWidth="1"/>
    <col min="20" max="20" width="16.28515625" style="146" bestFit="1" customWidth="1"/>
    <col min="21" max="21" width="31.85546875" style="146" bestFit="1" customWidth="1"/>
    <col min="22" max="22" width="45.140625" style="146" bestFit="1" customWidth="1"/>
    <col min="23" max="23" width="40.140625" style="146" bestFit="1" customWidth="1"/>
    <col min="24" max="24" width="36.7109375" style="146" bestFit="1" customWidth="1"/>
    <col min="25" max="25" width="31.85546875" style="146" bestFit="1" customWidth="1"/>
    <col min="26" max="26" width="45.140625" style="146" bestFit="1" customWidth="1"/>
    <col min="27" max="27" width="40.140625" style="146" bestFit="1" customWidth="1"/>
    <col min="28" max="28" width="45.140625" style="146" bestFit="1" customWidth="1"/>
    <col min="29" max="29" width="40.140625" style="146" bestFit="1" customWidth="1"/>
    <col min="30" max="30" width="33" style="146" bestFit="1" customWidth="1"/>
    <col min="31" max="31" width="28.85546875" style="146" bestFit="1" customWidth="1"/>
    <col min="32" max="16384" width="9.140625" style="146"/>
  </cols>
  <sheetData>
    <row r="1" spans="1:33" ht="19.5" thickBot="1" x14ac:dyDescent="0.3">
      <c r="A1" s="707" t="s">
        <v>685</v>
      </c>
      <c r="B1" s="708"/>
      <c r="C1" s="708"/>
      <c r="D1" s="708"/>
      <c r="E1" s="708"/>
      <c r="F1" s="708"/>
      <c r="G1" s="708"/>
      <c r="H1" s="359" t="str">
        <f>P1</f>
        <v>AY30013</v>
      </c>
      <c r="I1" s="359"/>
      <c r="J1" s="359"/>
      <c r="K1" s="360"/>
      <c r="O1" s="486" t="s">
        <v>128</v>
      </c>
      <c r="P1" s="487" t="s">
        <v>166</v>
      </c>
      <c r="Q1" s="319"/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19"/>
      <c r="AC1" s="319"/>
      <c r="AD1" s="319"/>
      <c r="AE1" s="319"/>
      <c r="AF1" s="319"/>
      <c r="AG1" s="319"/>
    </row>
    <row r="2" spans="1:33" ht="32.25" customHeight="1" thickBot="1" x14ac:dyDescent="0.3">
      <c r="A2" s="363" t="s">
        <v>0</v>
      </c>
      <c r="B2" s="364" t="s">
        <v>13</v>
      </c>
      <c r="C2" s="364" t="s">
        <v>154</v>
      </c>
      <c r="D2" s="364" t="s">
        <v>544</v>
      </c>
      <c r="E2" s="365" t="s">
        <v>551</v>
      </c>
      <c r="F2" s="365" t="s">
        <v>552</v>
      </c>
      <c r="G2" s="364" t="s">
        <v>548</v>
      </c>
      <c r="H2" s="364" t="s">
        <v>34</v>
      </c>
      <c r="I2" s="364" t="s">
        <v>549</v>
      </c>
      <c r="J2" s="364" t="s">
        <v>547</v>
      </c>
      <c r="K2" s="366" t="s">
        <v>156</v>
      </c>
      <c r="O2" s="486" t="s">
        <v>13</v>
      </c>
      <c r="P2" s="487" t="s">
        <v>153</v>
      </c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</row>
    <row r="3" spans="1:33" x14ac:dyDescent="0.25">
      <c r="A3" s="367">
        <v>1</v>
      </c>
      <c r="B3" s="361" t="s">
        <v>21</v>
      </c>
      <c r="C3" s="361">
        <v>6</v>
      </c>
      <c r="D3" s="361" t="s">
        <v>543</v>
      </c>
      <c r="E3" s="362">
        <f>GETPIVOTDATA("Sum of Total Weight 
(Kg)",$O$4,"Alt. Material","IS 2062 
E350 A/BR","IS Thk
(mm)",6)</f>
        <v>107.02365839999999</v>
      </c>
      <c r="F3" s="362">
        <f>GETPIVOTDATA("Sum of Gross Wt 
(kg)",$O$4,"Alt. Material","IS 2062 
E350 A/BR","IS Thk
(mm)",6)</f>
        <v>118.91780834604</v>
      </c>
      <c r="G3" s="362">
        <v>0</v>
      </c>
      <c r="H3" s="362"/>
      <c r="I3" s="362">
        <f>IF(G3&gt;F3,G3,IF(G3&lt;F3,F3))</f>
        <v>118.91780834604</v>
      </c>
      <c r="J3" s="362">
        <v>90</v>
      </c>
      <c r="K3" s="368">
        <f t="shared" ref="K3:K23" si="0">J3*I3</f>
        <v>10702.6027511436</v>
      </c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319"/>
      <c r="AG3" s="319"/>
    </row>
    <row r="4" spans="1:33" x14ac:dyDescent="0.25">
      <c r="A4" s="369">
        <v>2</v>
      </c>
      <c r="B4" s="143" t="s">
        <v>21</v>
      </c>
      <c r="C4" s="143">
        <v>10</v>
      </c>
      <c r="D4" s="143" t="s">
        <v>543</v>
      </c>
      <c r="E4" s="145">
        <f>GETPIVOTDATA("Sum of Total Weight 
(Kg)",$O$4,"Alt. Material","IS 2062 
E350 A/BR","IS Thk
(mm)",10)</f>
        <v>824.37733999999989</v>
      </c>
      <c r="F4" s="145">
        <f>GETPIVOTDATA("Sum of Gross Wt 
(kg)",$O$4,"Alt. Material","IS 2062 
E350 A/BR","IS Thk
(mm)",10)</f>
        <v>1100.4266982500001</v>
      </c>
      <c r="G4" s="145">
        <v>0</v>
      </c>
      <c r="H4" s="145"/>
      <c r="I4" s="145">
        <f t="shared" ref="I4:I23" si="1">IF(G4&gt;F4,G4,IF(G4&lt;F4,F4))</f>
        <v>1100.4266982500001</v>
      </c>
      <c r="J4" s="145">
        <v>90</v>
      </c>
      <c r="K4" s="370">
        <f t="shared" si="0"/>
        <v>99038.4028425</v>
      </c>
      <c r="O4" s="487"/>
      <c r="P4" s="486" t="s">
        <v>129</v>
      </c>
      <c r="Q4" s="487"/>
      <c r="R4" s="487"/>
      <c r="S4" s="487"/>
      <c r="T4" s="487"/>
      <c r="U4" s="487"/>
      <c r="V4" s="487"/>
      <c r="W4" s="487"/>
      <c r="X4" s="487"/>
      <c r="Y4" s="487"/>
      <c r="Z4"/>
      <c r="AA4"/>
      <c r="AB4"/>
      <c r="AC4"/>
      <c r="AD4"/>
      <c r="AE4"/>
      <c r="AF4"/>
      <c r="AG4"/>
    </row>
    <row r="5" spans="1:33" x14ac:dyDescent="0.25">
      <c r="A5" s="369">
        <v>3</v>
      </c>
      <c r="B5" s="143" t="s">
        <v>21</v>
      </c>
      <c r="C5" s="143">
        <v>12</v>
      </c>
      <c r="D5" s="143" t="s">
        <v>543</v>
      </c>
      <c r="E5" s="145">
        <f>GETPIVOTDATA("Sum of Total Weight 
(Kg)",$O$4,"Alt. Material","IS 2062 
E350 A/BR","IS Thk
(mm)",12)</f>
        <v>243.8</v>
      </c>
      <c r="F5" s="145">
        <f>GETPIVOTDATA("Sum of Gross Wt 
(kg)",$O$4,"Alt. Material","IS 2062 
E350 A/BR","IS Thk
(mm)",12)</f>
        <v>331.38795096000001</v>
      </c>
      <c r="G5" s="145">
        <v>0</v>
      </c>
      <c r="H5" s="145"/>
      <c r="I5" s="145">
        <f t="shared" si="1"/>
        <v>331.38795096000001</v>
      </c>
      <c r="J5" s="145">
        <v>90</v>
      </c>
      <c r="K5" s="370">
        <f t="shared" si="0"/>
        <v>29824.915586400002</v>
      </c>
      <c r="O5" s="487"/>
      <c r="P5" s="487" t="s">
        <v>271</v>
      </c>
      <c r="Q5" s="487"/>
      <c r="R5" s="487" t="s">
        <v>540</v>
      </c>
      <c r="S5" s="487"/>
      <c r="T5" s="487" t="s">
        <v>573</v>
      </c>
      <c r="U5" s="487"/>
      <c r="V5" s="487" t="s">
        <v>777</v>
      </c>
      <c r="W5" s="487"/>
      <c r="X5" s="487" t="s">
        <v>130</v>
      </c>
      <c r="Y5" s="487" t="s">
        <v>131</v>
      </c>
      <c r="Z5"/>
      <c r="AA5"/>
      <c r="AB5"/>
      <c r="AC5"/>
      <c r="AD5"/>
      <c r="AE5"/>
      <c r="AF5"/>
      <c r="AG5"/>
    </row>
    <row r="6" spans="1:33" x14ac:dyDescent="0.25">
      <c r="A6" s="369">
        <v>4</v>
      </c>
      <c r="B6" s="143" t="s">
        <v>21</v>
      </c>
      <c r="C6" s="143">
        <v>50</v>
      </c>
      <c r="D6" s="143" t="s">
        <v>543</v>
      </c>
      <c r="E6" s="145">
        <f>GETPIVOTDATA("Sum of Total Weight 
(Kg)",$O$4,"Alt. Material","IS 2062 
E350 A/BR","IS Thk
(mm)",50)</f>
        <v>76</v>
      </c>
      <c r="F6" s="145">
        <f>GETPIVOTDATA("Sum of Gross Wt 
(kg)",$O$4,"Alt. Material","IS 2062 
E350 A/BR","IS Thk
(mm)",50)</f>
        <v>126.89996000000001</v>
      </c>
      <c r="G6" s="145">
        <v>0</v>
      </c>
      <c r="H6" s="145"/>
      <c r="I6" s="145">
        <f t="shared" si="1"/>
        <v>126.89996000000001</v>
      </c>
      <c r="J6" s="145">
        <v>90</v>
      </c>
      <c r="K6" s="370">
        <f t="shared" si="0"/>
        <v>11420.9964</v>
      </c>
      <c r="O6" s="486" t="s">
        <v>41</v>
      </c>
      <c r="P6" s="487" t="s">
        <v>132</v>
      </c>
      <c r="Q6" s="487" t="s">
        <v>43</v>
      </c>
      <c r="R6" s="487" t="s">
        <v>132</v>
      </c>
      <c r="S6" s="487" t="s">
        <v>43</v>
      </c>
      <c r="T6" s="487" t="s">
        <v>132</v>
      </c>
      <c r="U6" s="487" t="s">
        <v>43</v>
      </c>
      <c r="V6" s="487" t="s">
        <v>132</v>
      </c>
      <c r="W6" s="487" t="s">
        <v>43</v>
      </c>
      <c r="X6" s="487"/>
      <c r="Y6" s="487"/>
      <c r="Z6"/>
      <c r="AA6"/>
      <c r="AB6"/>
      <c r="AC6"/>
      <c r="AD6"/>
      <c r="AE6"/>
      <c r="AF6"/>
      <c r="AG6"/>
    </row>
    <row r="7" spans="1:33" x14ac:dyDescent="0.25">
      <c r="A7" s="369">
        <v>5</v>
      </c>
      <c r="B7" s="143" t="s">
        <v>21</v>
      </c>
      <c r="C7" s="143">
        <v>5</v>
      </c>
      <c r="D7" s="143" t="s">
        <v>542</v>
      </c>
      <c r="E7" s="145">
        <f>GETPIVOTDATA("Sum of Total Weight 
(Kg)",$O$4,"Alt. Material","IS 2062
 E250 A/BR","IS Thk
(mm)",5)</f>
        <v>0.19986099999999998</v>
      </c>
      <c r="F7" s="145">
        <f>GETPIVOTDATA("Sum of Total Weight 
(Kg)",$O$4,"Alt. Material","IS 2062
 E250 A/BR","IS Thk
(mm)",5)</f>
        <v>0.19986099999999998</v>
      </c>
      <c r="G7" s="145">
        <v>0</v>
      </c>
      <c r="H7" s="145"/>
      <c r="I7" s="145">
        <f t="shared" si="1"/>
        <v>0.19986099999999998</v>
      </c>
      <c r="J7" s="145">
        <v>110</v>
      </c>
      <c r="K7" s="370">
        <f t="shared" si="0"/>
        <v>21.98471</v>
      </c>
      <c r="O7" s="488">
        <v>5</v>
      </c>
      <c r="P7" s="489"/>
      <c r="Q7" s="489"/>
      <c r="R7" s="489"/>
      <c r="S7" s="489"/>
      <c r="T7" s="489"/>
      <c r="U7" s="489"/>
      <c r="V7" s="489">
        <v>0.19986099999999998</v>
      </c>
      <c r="W7" s="489">
        <v>0.21984709999999999</v>
      </c>
      <c r="X7" s="489">
        <v>0.19986099999999998</v>
      </c>
      <c r="Y7" s="489">
        <v>0.21984709999999999</v>
      </c>
      <c r="Z7"/>
      <c r="AA7"/>
      <c r="AB7"/>
      <c r="AC7"/>
      <c r="AD7"/>
      <c r="AE7"/>
      <c r="AF7"/>
      <c r="AG7"/>
    </row>
    <row r="8" spans="1:33" x14ac:dyDescent="0.25">
      <c r="A8" s="369">
        <v>6</v>
      </c>
      <c r="B8" s="143" t="s">
        <v>21</v>
      </c>
      <c r="C8" s="143">
        <v>6</v>
      </c>
      <c r="D8" s="143" t="s">
        <v>542</v>
      </c>
      <c r="E8" s="145">
        <f>GETPIVOTDATA("Sum of Total Weight 
(Kg)",$O$4,"Alt. Material","IS 2062
 E250 A/BR","IS Thk
(mm)",6)</f>
        <v>36.027967499999995</v>
      </c>
      <c r="F8" s="145">
        <f>GETPIVOTDATA("Sum of Gross Wt 
(kg)",$O$4,"Alt. Material","IS 2062
 E250 A/BR","IS Thk
(mm)",6)</f>
        <v>39.630764249999999</v>
      </c>
      <c r="G8" s="145">
        <v>0</v>
      </c>
      <c r="H8" s="145"/>
      <c r="I8" s="145">
        <f t="shared" si="1"/>
        <v>39.630764249999999</v>
      </c>
      <c r="J8" s="145">
        <v>110</v>
      </c>
      <c r="K8" s="370">
        <f t="shared" si="0"/>
        <v>4359.3840675000001</v>
      </c>
      <c r="O8" s="488">
        <v>6</v>
      </c>
      <c r="P8" s="489"/>
      <c r="Q8" s="489"/>
      <c r="R8" s="489"/>
      <c r="S8" s="489"/>
      <c r="T8" s="489">
        <v>107.02365839999999</v>
      </c>
      <c r="U8" s="489">
        <v>118.91780834604</v>
      </c>
      <c r="V8" s="489">
        <v>36.027967499999995</v>
      </c>
      <c r="W8" s="489">
        <v>39.630764249999999</v>
      </c>
      <c r="X8" s="489">
        <v>143.05162589999998</v>
      </c>
      <c r="Y8" s="489">
        <v>158.54857259604</v>
      </c>
      <c r="Z8"/>
      <c r="AA8"/>
      <c r="AB8"/>
      <c r="AC8"/>
      <c r="AD8"/>
      <c r="AE8"/>
      <c r="AF8"/>
      <c r="AG8"/>
    </row>
    <row r="9" spans="1:33" x14ac:dyDescent="0.25">
      <c r="A9" s="369">
        <v>7</v>
      </c>
      <c r="B9" s="143" t="s">
        <v>21</v>
      </c>
      <c r="C9" s="143">
        <v>12</v>
      </c>
      <c r="D9" s="143" t="s">
        <v>542</v>
      </c>
      <c r="E9" s="145">
        <f>GETPIVOTDATA("Sum of Total Weight 
(Kg)",$O$4,"Alt. Material","IS 2062
 E250 A/BR","IS Thk
(mm)",12)</f>
        <v>5.3835299999999995</v>
      </c>
      <c r="F9" s="145">
        <f>GETPIVOTDATA("Sum of Gross Wt 
(kg)",$O$4,"Alt. Material","IS 2062
 E250 A/BR","IS Thk
(mm)",12)</f>
        <v>5.9218830000000002</v>
      </c>
      <c r="G9" s="145">
        <v>0</v>
      </c>
      <c r="H9" s="145"/>
      <c r="I9" s="145">
        <f t="shared" si="1"/>
        <v>5.9218830000000002</v>
      </c>
      <c r="J9" s="145">
        <v>110</v>
      </c>
      <c r="K9" s="370">
        <f t="shared" si="0"/>
        <v>651.40713000000005</v>
      </c>
      <c r="O9" s="488">
        <v>10</v>
      </c>
      <c r="P9" s="489"/>
      <c r="Q9" s="489"/>
      <c r="R9" s="489"/>
      <c r="S9" s="489"/>
      <c r="T9" s="489">
        <v>824.37733999999989</v>
      </c>
      <c r="U9" s="489">
        <v>1100.4266982500001</v>
      </c>
      <c r="V9" s="489"/>
      <c r="W9" s="489"/>
      <c r="X9" s="489">
        <v>824.37733999999989</v>
      </c>
      <c r="Y9" s="489">
        <v>1100.4266982500001</v>
      </c>
      <c r="Z9"/>
      <c r="AA9"/>
      <c r="AB9"/>
      <c r="AC9"/>
      <c r="AD9"/>
      <c r="AE9"/>
      <c r="AF9"/>
      <c r="AG9"/>
    </row>
    <row r="10" spans="1:33" x14ac:dyDescent="0.25">
      <c r="A10" s="369">
        <v>8</v>
      </c>
      <c r="B10" s="143" t="s">
        <v>21</v>
      </c>
      <c r="C10" s="143">
        <v>20</v>
      </c>
      <c r="D10" s="143" t="s">
        <v>542</v>
      </c>
      <c r="E10" s="145">
        <f>GETPIVOTDATA("Sum of Total Weight 
(Kg)",$O$4,"Alt. Material","IS 2062
 E250 A/BR","IS Thk
(mm)",20)</f>
        <v>315.99559999999997</v>
      </c>
      <c r="F10" s="145">
        <f>GETPIVOTDATA("Sum of Gross Wt 
(kg)",$O$4,"Alt. Material","IS 2062
 E250 A/BR","IS Thk
(mm)",20)</f>
        <v>352.37707999999998</v>
      </c>
      <c r="G10" s="145">
        <v>0</v>
      </c>
      <c r="H10" s="145"/>
      <c r="I10" s="145">
        <f t="shared" si="1"/>
        <v>352.37707999999998</v>
      </c>
      <c r="J10" s="145">
        <v>90</v>
      </c>
      <c r="K10" s="370">
        <f t="shared" si="0"/>
        <v>31713.937199999997</v>
      </c>
      <c r="O10" s="488">
        <v>12</v>
      </c>
      <c r="P10" s="489"/>
      <c r="Q10" s="489"/>
      <c r="R10" s="489"/>
      <c r="S10" s="489"/>
      <c r="T10" s="489">
        <v>243.8</v>
      </c>
      <c r="U10" s="489">
        <v>331.38795096000001</v>
      </c>
      <c r="V10" s="489">
        <v>5.3835299999999995</v>
      </c>
      <c r="W10" s="489">
        <v>5.9218830000000002</v>
      </c>
      <c r="X10" s="489">
        <v>249.18353000000002</v>
      </c>
      <c r="Y10" s="489">
        <v>337.30983395999999</v>
      </c>
      <c r="Z10"/>
      <c r="AA10"/>
      <c r="AB10"/>
      <c r="AC10"/>
      <c r="AD10"/>
      <c r="AE10"/>
      <c r="AF10"/>
      <c r="AG10"/>
    </row>
    <row r="11" spans="1:33" x14ac:dyDescent="0.25">
      <c r="A11" s="369">
        <v>9</v>
      </c>
      <c r="B11" s="143" t="s">
        <v>21</v>
      </c>
      <c r="C11" s="143">
        <v>25</v>
      </c>
      <c r="D11" s="143" t="s">
        <v>542</v>
      </c>
      <c r="E11" s="145">
        <f>GETPIVOTDATA("Sum of Total Weight 
(Kg)",$O$4,"Alt. Material","IS 2062
 E250 A/BR","IS Thk
(mm)",25)</f>
        <v>16.006999999999998</v>
      </c>
      <c r="F11" s="145">
        <f>GETPIVOTDATA("Sum of Gross Wt 
(kg)",$O$4,"Alt. Material","IS 2062
 E250 A/BR","IS Thk
(mm)",25)</f>
        <v>21.630675</v>
      </c>
      <c r="G11" s="145">
        <v>0</v>
      </c>
      <c r="H11" s="145"/>
      <c r="I11" s="145">
        <f t="shared" si="1"/>
        <v>21.630675</v>
      </c>
      <c r="J11" s="145">
        <v>110</v>
      </c>
      <c r="K11" s="370">
        <f t="shared" si="0"/>
        <v>2379.3742499999998</v>
      </c>
      <c r="O11" s="488">
        <v>20</v>
      </c>
      <c r="P11" s="489"/>
      <c r="Q11" s="489"/>
      <c r="R11" s="489"/>
      <c r="S11" s="489"/>
      <c r="T11" s="489"/>
      <c r="U11" s="489"/>
      <c r="V11" s="489">
        <v>315.99559999999997</v>
      </c>
      <c r="W11" s="489">
        <v>352.37707999999998</v>
      </c>
      <c r="X11" s="489">
        <v>315.99559999999997</v>
      </c>
      <c r="Y11" s="489">
        <v>352.37707999999998</v>
      </c>
      <c r="Z11"/>
      <c r="AA11"/>
      <c r="AB11"/>
      <c r="AC11"/>
      <c r="AD11"/>
      <c r="AE11"/>
      <c r="AF11"/>
      <c r="AG11"/>
    </row>
    <row r="12" spans="1:33" x14ac:dyDescent="0.25">
      <c r="A12" s="369">
        <v>10</v>
      </c>
      <c r="B12" s="143" t="s">
        <v>21</v>
      </c>
      <c r="C12" s="143">
        <v>40</v>
      </c>
      <c r="D12" s="143" t="s">
        <v>542</v>
      </c>
      <c r="E12" s="145">
        <f>GETPIVOTDATA("Sum of Total Weight 
(Kg)",$O$4,"Alt. Material","IS 2062
 E250 A/BR","IS Thk
(mm)",40)</f>
        <v>89.2</v>
      </c>
      <c r="F12" s="145">
        <f>GETPIVOTDATA("Sum of Gross Wt 
(kg)",$O$4,"Alt. Material","IS 2062
 E250 A/BR","IS Thk
(mm)",40)</f>
        <v>139.3944596</v>
      </c>
      <c r="G12" s="145">
        <v>0</v>
      </c>
      <c r="H12" s="145"/>
      <c r="I12" s="145">
        <f t="shared" si="1"/>
        <v>139.3944596</v>
      </c>
      <c r="J12" s="145">
        <v>90</v>
      </c>
      <c r="K12" s="370">
        <f t="shared" si="0"/>
        <v>12545.501364</v>
      </c>
      <c r="O12" s="488">
        <v>25</v>
      </c>
      <c r="P12" s="489"/>
      <c r="Q12" s="489"/>
      <c r="R12" s="489"/>
      <c r="S12" s="489"/>
      <c r="T12" s="489"/>
      <c r="U12" s="489"/>
      <c r="V12" s="489">
        <v>16.006999999999998</v>
      </c>
      <c r="W12" s="489">
        <v>21.630675</v>
      </c>
      <c r="X12" s="489">
        <v>16.006999999999998</v>
      </c>
      <c r="Y12" s="489">
        <v>21.630675</v>
      </c>
      <c r="Z12"/>
      <c r="AA12"/>
      <c r="AB12"/>
      <c r="AC12"/>
      <c r="AD12"/>
      <c r="AE12"/>
      <c r="AF12"/>
      <c r="AG12"/>
    </row>
    <row r="13" spans="1:33" ht="31.5" x14ac:dyDescent="0.25">
      <c r="A13" s="369">
        <v>11</v>
      </c>
      <c r="B13" s="143" t="s">
        <v>550</v>
      </c>
      <c r="C13" s="144" t="s">
        <v>558</v>
      </c>
      <c r="D13" s="143" t="s">
        <v>540</v>
      </c>
      <c r="E13" s="145">
        <f>GETPIVOTDATA("Sum of Total Weight 
(Kg)",$O$4,"Alt. Material","YST 310","IS Thk
(mm)","100x80x 5thk")</f>
        <v>23.0688</v>
      </c>
      <c r="F13" s="145">
        <f>GETPIVOTDATA("Sum of Gross Wt 
(kg)",$O$4,"Alt. Material","YST 310","IS Thk
(mm)","100x80x 5thk")</f>
        <v>25.375680000000003</v>
      </c>
      <c r="G13" s="115">
        <f>12.84*6</f>
        <v>77.039999999999992</v>
      </c>
      <c r="H13" s="115" t="s">
        <v>559</v>
      </c>
      <c r="I13" s="145">
        <f t="shared" si="1"/>
        <v>77.039999999999992</v>
      </c>
      <c r="J13" s="145">
        <v>110</v>
      </c>
      <c r="K13" s="370">
        <f t="shared" si="0"/>
        <v>8474.4</v>
      </c>
      <c r="O13" s="488">
        <v>40</v>
      </c>
      <c r="P13" s="489"/>
      <c r="Q13" s="489"/>
      <c r="R13" s="489"/>
      <c r="S13" s="489"/>
      <c r="T13" s="489"/>
      <c r="U13" s="489"/>
      <c r="V13" s="489">
        <v>89.2</v>
      </c>
      <c r="W13" s="489">
        <v>139.3944596</v>
      </c>
      <c r="X13" s="489">
        <v>89.2</v>
      </c>
      <c r="Y13" s="489">
        <v>139.3944596</v>
      </c>
      <c r="Z13"/>
      <c r="AA13"/>
      <c r="AB13"/>
      <c r="AC13"/>
      <c r="AD13"/>
      <c r="AE13"/>
      <c r="AF13"/>
      <c r="AG13"/>
    </row>
    <row r="14" spans="1:33" x14ac:dyDescent="0.25">
      <c r="A14" s="369">
        <v>12</v>
      </c>
      <c r="B14" s="143" t="s">
        <v>329</v>
      </c>
      <c r="C14" s="143" t="s">
        <v>500</v>
      </c>
      <c r="D14" s="143" t="s">
        <v>540</v>
      </c>
      <c r="E14" s="145">
        <f>GETPIVOTDATA("Sum of Total Weight 
(Kg)",$O$4,"Alt. Material","YST 310","IS Thk
(mm)","50x50x 5thk")</f>
        <v>20.446440000000003</v>
      </c>
      <c r="F14" s="145">
        <f>GETPIVOTDATA("Sum of Gross Wt 
(kg)",$O$4,"Alt. Material","YST 310","IS Thk
(mm)","50x50x 5thk")</f>
        <v>22.491084000000004</v>
      </c>
      <c r="G14" s="115">
        <f>6.56*6</f>
        <v>39.36</v>
      </c>
      <c r="H14" s="115" t="s">
        <v>559</v>
      </c>
      <c r="I14" s="145">
        <f t="shared" si="1"/>
        <v>39.36</v>
      </c>
      <c r="J14" s="145">
        <v>110</v>
      </c>
      <c r="K14" s="370">
        <f t="shared" si="0"/>
        <v>4329.6000000000004</v>
      </c>
      <c r="O14" s="488">
        <v>50</v>
      </c>
      <c r="P14" s="489"/>
      <c r="Q14" s="489"/>
      <c r="R14" s="489"/>
      <c r="S14" s="489"/>
      <c r="T14" s="489">
        <v>76</v>
      </c>
      <c r="U14" s="489">
        <v>126.89996000000001</v>
      </c>
      <c r="V14" s="489"/>
      <c r="W14" s="489"/>
      <c r="X14" s="489">
        <v>76</v>
      </c>
      <c r="Y14" s="489">
        <v>126.89996000000001</v>
      </c>
      <c r="Z14"/>
      <c r="AA14"/>
      <c r="AB14"/>
      <c r="AC14"/>
      <c r="AD14"/>
      <c r="AE14"/>
      <c r="AF14"/>
      <c r="AG14"/>
    </row>
    <row r="15" spans="1:33" x14ac:dyDescent="0.25">
      <c r="A15" s="369">
        <v>13</v>
      </c>
      <c r="B15" s="143" t="s">
        <v>329</v>
      </c>
      <c r="C15" s="143" t="s">
        <v>557</v>
      </c>
      <c r="D15" s="143" t="s">
        <v>540</v>
      </c>
      <c r="E15" s="145">
        <f>GETPIVOTDATA("Sum of Total Weight 
(Kg)",$O$4,"Alt. Material","YST 310","IS Thk
(mm)","80x80x 10thk")</f>
        <v>26.815600000000003</v>
      </c>
      <c r="F15" s="145">
        <f>GETPIVOTDATA("Sum of Gross Wt 
(kg)",$O$4,"Alt. Material","YST 310","IS Thk
(mm)","80x80x 10thk")</f>
        <v>29.497160000000004</v>
      </c>
      <c r="G15" s="115">
        <f>13.21*6</f>
        <v>79.260000000000005</v>
      </c>
      <c r="H15" s="115" t="s">
        <v>559</v>
      </c>
      <c r="I15" s="145">
        <f t="shared" si="1"/>
        <v>79.260000000000005</v>
      </c>
      <c r="J15" s="145">
        <v>110</v>
      </c>
      <c r="K15" s="370">
        <f t="shared" si="0"/>
        <v>8718.6</v>
      </c>
      <c r="O15" s="488" t="s">
        <v>503</v>
      </c>
      <c r="P15" s="489"/>
      <c r="Q15" s="489"/>
      <c r="R15" s="489">
        <v>23.0688</v>
      </c>
      <c r="S15" s="489">
        <v>25.375680000000003</v>
      </c>
      <c r="T15" s="489"/>
      <c r="U15" s="489"/>
      <c r="V15" s="489"/>
      <c r="W15" s="489"/>
      <c r="X15" s="489">
        <v>23.0688</v>
      </c>
      <c r="Y15" s="489">
        <v>25.375680000000003</v>
      </c>
      <c r="Z15"/>
      <c r="AA15"/>
      <c r="AB15"/>
      <c r="AC15"/>
      <c r="AD15"/>
      <c r="AE15"/>
      <c r="AF15"/>
      <c r="AG15"/>
    </row>
    <row r="16" spans="1:33" x14ac:dyDescent="0.25">
      <c r="A16" s="369">
        <v>14</v>
      </c>
      <c r="B16" s="143" t="s">
        <v>286</v>
      </c>
      <c r="C16" s="300" t="s">
        <v>321</v>
      </c>
      <c r="D16" s="143" t="s">
        <v>271</v>
      </c>
      <c r="E16" s="145">
        <f>GETPIVOTDATA("Sum of Total Weight 
(Kg)",$O$4,"Alt. Material","ASTM A106 GR.B","IS Thk
(mm)","Dia 101.6 x 8.08 thk")</f>
        <v>9.3032968</v>
      </c>
      <c r="F16" s="145">
        <f>GETPIVOTDATA("Sum of Gross Wt 
(kg)",$O$4,"Alt. Material","ASTM A106 GR.B","IS Thk
(mm)","Dia 101.6 x 8.08 thk")</f>
        <v>10.233626480000002</v>
      </c>
      <c r="G16" s="145">
        <f>18.64*6</f>
        <v>111.84</v>
      </c>
      <c r="H16" s="145" t="s">
        <v>562</v>
      </c>
      <c r="I16" s="145">
        <f t="shared" si="1"/>
        <v>111.84</v>
      </c>
      <c r="J16" s="145">
        <v>110</v>
      </c>
      <c r="K16" s="370">
        <f t="shared" si="0"/>
        <v>12302.4</v>
      </c>
      <c r="O16" s="488" t="s">
        <v>500</v>
      </c>
      <c r="P16" s="489"/>
      <c r="Q16" s="489"/>
      <c r="R16" s="489">
        <v>20.446440000000003</v>
      </c>
      <c r="S16" s="489">
        <v>22.491084000000004</v>
      </c>
      <c r="T16" s="489"/>
      <c r="U16" s="489"/>
      <c r="V16" s="489"/>
      <c r="W16" s="489"/>
      <c r="X16" s="489">
        <v>20.446440000000003</v>
      </c>
      <c r="Y16" s="489">
        <v>22.491084000000004</v>
      </c>
      <c r="Z16"/>
      <c r="AA16"/>
      <c r="AB16"/>
      <c r="AC16"/>
      <c r="AD16"/>
      <c r="AE16"/>
      <c r="AF16"/>
      <c r="AG16"/>
    </row>
    <row r="17" spans="1:33" x14ac:dyDescent="0.25">
      <c r="A17" s="369">
        <v>15</v>
      </c>
      <c r="B17" s="143" t="s">
        <v>286</v>
      </c>
      <c r="C17" s="143" t="s">
        <v>532</v>
      </c>
      <c r="D17" s="143" t="s">
        <v>271</v>
      </c>
      <c r="E17" s="145">
        <f>GETPIVOTDATA("Sum of Total Weight 
(Kg)",$O$4,"Alt. Material","ASTM A106 GR.B","IS Thk
(mm)","Dia 114.3 x 8.56 thk")</f>
        <v>28.046479999999999</v>
      </c>
      <c r="F17" s="145">
        <f>GETPIVOTDATA("Sum of Gross Wt 
(kg)",$O$4,"Alt. Material","ASTM A106 GR.B","IS Thk
(mm)","Dia 114.3 x 8.56 thk")</f>
        <v>30.851128000000003</v>
      </c>
      <c r="G17" s="145">
        <f>22.33*6</f>
        <v>133.97999999999999</v>
      </c>
      <c r="H17" s="145" t="s">
        <v>562</v>
      </c>
      <c r="I17" s="145">
        <f t="shared" si="1"/>
        <v>133.97999999999999</v>
      </c>
      <c r="J17" s="145">
        <v>110</v>
      </c>
      <c r="K17" s="370">
        <f t="shared" si="0"/>
        <v>14737.8</v>
      </c>
      <c r="O17" s="488" t="s">
        <v>530</v>
      </c>
      <c r="P17" s="489"/>
      <c r="Q17" s="489"/>
      <c r="R17" s="489">
        <v>26.815600000000003</v>
      </c>
      <c r="S17" s="489">
        <v>29.497160000000004</v>
      </c>
      <c r="T17" s="489"/>
      <c r="U17" s="489"/>
      <c r="V17" s="489"/>
      <c r="W17" s="489"/>
      <c r="X17" s="489">
        <v>26.815600000000003</v>
      </c>
      <c r="Y17" s="489">
        <v>29.497160000000004</v>
      </c>
      <c r="Z17"/>
      <c r="AA17"/>
      <c r="AB17"/>
      <c r="AC17"/>
      <c r="AD17"/>
      <c r="AE17"/>
      <c r="AF17"/>
      <c r="AG17"/>
    </row>
    <row r="18" spans="1:33" x14ac:dyDescent="0.25">
      <c r="A18" s="369">
        <v>16</v>
      </c>
      <c r="B18" s="143" t="s">
        <v>286</v>
      </c>
      <c r="C18" s="143" t="s">
        <v>299</v>
      </c>
      <c r="D18" s="143" t="s">
        <v>271</v>
      </c>
      <c r="E18" s="145">
        <f>GETPIVOTDATA("Sum of Total Weight 
(Kg)",$O$4,"Alt. Material","ASTM A106 GR.B","IS Thk
(mm)","Dia 168.28 x 10.97thk")</f>
        <v>101.63328</v>
      </c>
      <c r="F18" s="145">
        <f>GETPIVOTDATA("Sum of Gross Wt 
(kg)",$O$4,"Alt. Material","ASTM A106 GR.B","IS Thk
(mm)","Dia 168.28 x 10.97thk")</f>
        <v>111.79660800000001</v>
      </c>
      <c r="G18" s="145">
        <f>42.56*6</f>
        <v>255.36</v>
      </c>
      <c r="H18" s="145" t="s">
        <v>562</v>
      </c>
      <c r="I18" s="145">
        <f t="shared" si="1"/>
        <v>255.36</v>
      </c>
      <c r="J18" s="145">
        <v>110</v>
      </c>
      <c r="K18" s="370">
        <f t="shared" si="0"/>
        <v>28089.600000000002</v>
      </c>
      <c r="O18" s="488" t="s">
        <v>321</v>
      </c>
      <c r="P18" s="489">
        <v>9.3032968</v>
      </c>
      <c r="Q18" s="489">
        <v>10.233626480000002</v>
      </c>
      <c r="R18" s="489"/>
      <c r="S18" s="489"/>
      <c r="T18" s="489"/>
      <c r="U18" s="489"/>
      <c r="V18" s="489"/>
      <c r="W18" s="489"/>
      <c r="X18" s="489">
        <v>9.3032968</v>
      </c>
      <c r="Y18" s="489">
        <v>10.233626480000002</v>
      </c>
      <c r="Z18"/>
      <c r="AA18"/>
      <c r="AB18"/>
      <c r="AC18"/>
      <c r="AD18"/>
      <c r="AE18"/>
      <c r="AF18"/>
      <c r="AG18"/>
    </row>
    <row r="19" spans="1:33" x14ac:dyDescent="0.25">
      <c r="A19" s="369">
        <v>17</v>
      </c>
      <c r="B19" s="143" t="s">
        <v>286</v>
      </c>
      <c r="C19" s="143" t="s">
        <v>298</v>
      </c>
      <c r="D19" s="143" t="s">
        <v>271</v>
      </c>
      <c r="E19" s="145">
        <f>GETPIVOTDATA("Sum of Total Weight 
(Kg)",$O$4,"Alt. Material","ASTM A106 GR.B","IS Thk
(mm)","Dia 21.3 x 2.77 thk")</f>
        <v>0.26289000000000001</v>
      </c>
      <c r="F19" s="145">
        <f>GETPIVOTDATA("Sum of Gross Wt 
(kg)",$O$4,"Alt. Material","ASTM A106 GR.B","IS Thk
(mm)","Dia 21.3 x 2.77 thk")</f>
        <v>0.28917900000000002</v>
      </c>
      <c r="G19" s="145">
        <f>1.27*6</f>
        <v>7.62</v>
      </c>
      <c r="H19" s="145" t="s">
        <v>562</v>
      </c>
      <c r="I19" s="145">
        <f t="shared" si="1"/>
        <v>7.62</v>
      </c>
      <c r="J19" s="145">
        <v>160</v>
      </c>
      <c r="K19" s="370">
        <f t="shared" si="0"/>
        <v>1219.2</v>
      </c>
      <c r="O19" s="488" t="s">
        <v>532</v>
      </c>
      <c r="P19" s="489">
        <v>28.046479999999999</v>
      </c>
      <c r="Q19" s="489">
        <v>30.851128000000003</v>
      </c>
      <c r="R19" s="489"/>
      <c r="S19" s="489"/>
      <c r="T19" s="489"/>
      <c r="U19" s="489"/>
      <c r="V19" s="489"/>
      <c r="W19" s="489"/>
      <c r="X19" s="489">
        <v>28.046479999999999</v>
      </c>
      <c r="Y19" s="489">
        <v>30.851128000000003</v>
      </c>
      <c r="Z19"/>
      <c r="AA19"/>
      <c r="AB19"/>
      <c r="AC19"/>
      <c r="AD19"/>
      <c r="AE19"/>
      <c r="AF19"/>
      <c r="AG19"/>
    </row>
    <row r="20" spans="1:33" x14ac:dyDescent="0.25">
      <c r="A20" s="369">
        <v>18</v>
      </c>
      <c r="B20" s="143" t="s">
        <v>286</v>
      </c>
      <c r="C20" s="143" t="s">
        <v>409</v>
      </c>
      <c r="D20" s="143" t="s">
        <v>271</v>
      </c>
      <c r="E20" s="145">
        <f>GETPIVOTDATA("Sum of Total Weight 
(Kg)",$O$4,"Alt. Material","ASTM A106 GR.B","IS Thk
(mm)","Dia 33.4x 6.35")</f>
        <v>0.36288000000000004</v>
      </c>
      <c r="F20" s="145">
        <f>GETPIVOTDATA("Sum of Gross Wt 
(kg)",$O$4,"Alt. Material","ASTM A106 GR.B","IS Thk
(mm)","Dia 33.4x 6.35")</f>
        <v>0.39916800000000008</v>
      </c>
      <c r="G20" s="145">
        <f>4.24*6</f>
        <v>25.44</v>
      </c>
      <c r="H20" s="145" t="s">
        <v>562</v>
      </c>
      <c r="I20" s="145">
        <f t="shared" si="1"/>
        <v>25.44</v>
      </c>
      <c r="J20" s="145">
        <v>130</v>
      </c>
      <c r="K20" s="370">
        <f t="shared" si="0"/>
        <v>3307.2000000000003</v>
      </c>
      <c r="O20" s="488" t="s">
        <v>326</v>
      </c>
      <c r="P20" s="489"/>
      <c r="Q20" s="489"/>
      <c r="R20" s="489"/>
      <c r="S20" s="489"/>
      <c r="T20" s="489"/>
      <c r="U20" s="489"/>
      <c r="V20" s="489">
        <v>0.04</v>
      </c>
      <c r="W20" s="489">
        <v>0.29315000000000002</v>
      </c>
      <c r="X20" s="489">
        <v>0.04</v>
      </c>
      <c r="Y20" s="489">
        <v>0.29315000000000002</v>
      </c>
      <c r="Z20"/>
      <c r="AA20"/>
      <c r="AB20"/>
      <c r="AC20"/>
      <c r="AD20"/>
      <c r="AE20"/>
      <c r="AF20"/>
      <c r="AG20"/>
    </row>
    <row r="21" spans="1:33" x14ac:dyDescent="0.25">
      <c r="A21" s="369">
        <v>19</v>
      </c>
      <c r="B21" s="143" t="s">
        <v>290</v>
      </c>
      <c r="C21" s="143" t="s">
        <v>537</v>
      </c>
      <c r="D21" s="143" t="s">
        <v>553</v>
      </c>
      <c r="E21" s="145">
        <f>GETPIVOTDATA("Sum of Total Weight 
(Kg)",$O$4,"Alt. Material","IS 2062 
E350 A/BR","IS Thk
(mm)","ISMC 200 x 75")</f>
        <v>982.12069999999994</v>
      </c>
      <c r="F21" s="145">
        <f>GETPIVOTDATA("Sum of Gross Wt 
(kg)",$O$4,"Alt. Material","IS 2062 
E350 A/BR","IS Thk
(mm)","ISMC 200 x 75")</f>
        <v>1080.33277</v>
      </c>
      <c r="G21" s="143">
        <f>22.3*6</f>
        <v>133.80000000000001</v>
      </c>
      <c r="H21" s="143" t="s">
        <v>560</v>
      </c>
      <c r="I21" s="145">
        <f t="shared" si="1"/>
        <v>1080.33277</v>
      </c>
      <c r="J21" s="145">
        <v>110</v>
      </c>
      <c r="K21" s="370">
        <f t="shared" si="0"/>
        <v>118836.6047</v>
      </c>
      <c r="O21" s="488" t="s">
        <v>299</v>
      </c>
      <c r="P21" s="489">
        <v>101.63328</v>
      </c>
      <c r="Q21" s="489">
        <v>111.79660800000001</v>
      </c>
      <c r="R21" s="489"/>
      <c r="S21" s="489"/>
      <c r="T21" s="489"/>
      <c r="U21" s="489"/>
      <c r="V21" s="489"/>
      <c r="W21" s="489"/>
      <c r="X21" s="489">
        <v>101.63328</v>
      </c>
      <c r="Y21" s="489">
        <v>111.79660800000001</v>
      </c>
      <c r="Z21"/>
      <c r="AA21"/>
      <c r="AB21"/>
      <c r="AC21"/>
      <c r="AD21"/>
      <c r="AE21"/>
      <c r="AF21"/>
      <c r="AG21"/>
    </row>
    <row r="22" spans="1:33" x14ac:dyDescent="0.25">
      <c r="A22" s="369">
        <v>20</v>
      </c>
      <c r="B22" s="143" t="s">
        <v>291</v>
      </c>
      <c r="C22" s="143" t="s">
        <v>535</v>
      </c>
      <c r="D22" s="143" t="s">
        <v>553</v>
      </c>
      <c r="E22" s="145">
        <f>GETPIVOTDATA("Sum of Total Weight 
(Kg)",$O$4,"Alt. Material","IS 2062 
E350 A/BR","IS Thk
(mm)","NPB 600x 220x 107.57")</f>
        <v>996</v>
      </c>
      <c r="F22" s="145">
        <f>GETPIVOTDATA("Sum of Gross Wt 
(kg)",$O$4,"Alt. Material","IS 2062 
E350 A/BR","IS Thk
(mm)","NPB 600x 220x 107.57")</f>
        <v>1081.982088</v>
      </c>
      <c r="G22" s="143">
        <f>107.6*6</f>
        <v>645.59999999999991</v>
      </c>
      <c r="H22" s="143" t="s">
        <v>561</v>
      </c>
      <c r="I22" s="145">
        <f t="shared" si="1"/>
        <v>1081.982088</v>
      </c>
      <c r="J22" s="145">
        <v>110</v>
      </c>
      <c r="K22" s="370">
        <f t="shared" si="0"/>
        <v>119018.02967999999</v>
      </c>
      <c r="O22" s="488" t="s">
        <v>298</v>
      </c>
      <c r="P22" s="489">
        <v>0.26289000000000001</v>
      </c>
      <c r="Q22" s="489">
        <v>0.28917900000000002</v>
      </c>
      <c r="R22" s="489"/>
      <c r="S22" s="489"/>
      <c r="T22" s="489"/>
      <c r="U22" s="489"/>
      <c r="V22" s="489"/>
      <c r="W22" s="489"/>
      <c r="X22" s="489">
        <v>0.26289000000000001</v>
      </c>
      <c r="Y22" s="489">
        <v>0.28917900000000002</v>
      </c>
      <c r="Z22"/>
      <c r="AA22"/>
      <c r="AB22"/>
      <c r="AC22"/>
      <c r="AD22"/>
      <c r="AE22"/>
      <c r="AF22"/>
      <c r="AG22"/>
    </row>
    <row r="23" spans="1:33" ht="31.5" x14ac:dyDescent="0.25">
      <c r="A23" s="369">
        <v>21</v>
      </c>
      <c r="B23" s="143" t="s">
        <v>290</v>
      </c>
      <c r="C23" s="144" t="s">
        <v>778</v>
      </c>
      <c r="D23" s="143" t="s">
        <v>556</v>
      </c>
      <c r="E23" s="145">
        <f>GETPIVOTDATA("Sum of Total Weight 
(Kg)",$O$4,"Alt. Material","IS 2062
 E250 A/BR","IS Thk
(mm)","UPN80 X 45")</f>
        <v>149.95104000000003</v>
      </c>
      <c r="F23" s="145">
        <f>GETPIVOTDATA("Sum of Gross Wt 
(kg)",$O$4,"Alt. Material","IS 2062
 E250 A/BR","IS Thk
(mm)","UPN80 X 45")</f>
        <v>166.13942400000002</v>
      </c>
      <c r="G23" s="143">
        <f>7.14*6</f>
        <v>42.839999999999996</v>
      </c>
      <c r="H23" s="143" t="s">
        <v>561</v>
      </c>
      <c r="I23" s="145">
        <f t="shared" si="1"/>
        <v>166.13942400000002</v>
      </c>
      <c r="J23" s="145">
        <v>110</v>
      </c>
      <c r="K23" s="370">
        <f t="shared" si="0"/>
        <v>18275.336640000001</v>
      </c>
      <c r="O23" s="488" t="s">
        <v>409</v>
      </c>
      <c r="P23" s="489">
        <v>0.36288000000000004</v>
      </c>
      <c r="Q23" s="489">
        <v>0.39916800000000008</v>
      </c>
      <c r="R23" s="489"/>
      <c r="S23" s="489"/>
      <c r="T23" s="489"/>
      <c r="U23" s="489"/>
      <c r="V23" s="489"/>
      <c r="W23" s="489"/>
      <c r="X23" s="489">
        <v>0.36288000000000004</v>
      </c>
      <c r="Y23" s="489">
        <v>0.39916800000000008</v>
      </c>
      <c r="Z23"/>
      <c r="AA23"/>
      <c r="AB23"/>
      <c r="AC23"/>
      <c r="AD23"/>
      <c r="AE23"/>
      <c r="AF23"/>
      <c r="AG23"/>
    </row>
    <row r="24" spans="1:33" x14ac:dyDescent="0.25">
      <c r="A24" s="369">
        <v>22</v>
      </c>
      <c r="B24" s="143" t="s">
        <v>44</v>
      </c>
      <c r="C24" s="143" t="s">
        <v>326</v>
      </c>
      <c r="D24" s="143" t="s">
        <v>542</v>
      </c>
      <c r="E24" s="145">
        <f>GETPIVOTDATA("Sum of Total Weight 
(Kg)",$O$4,"Alt. Material","IS 2062
 E250 A/BR","IS Thk
(mm)","Dia 12")</f>
        <v>0.04</v>
      </c>
      <c r="F24" s="145">
        <f>GETPIVOTDATA("Sum of Gross Wt 
(kg)",$O$4,"Alt. Material","IS 2062
 E250 A/BR","IS Thk
(mm)","Dia 12")</f>
        <v>0.29315000000000002</v>
      </c>
      <c r="G24" s="145">
        <v>2.66</v>
      </c>
      <c r="H24" s="145" t="s">
        <v>562</v>
      </c>
      <c r="I24" s="145">
        <f>IF(G24&gt;F24,G24,IF(G24&lt;F24,F24))</f>
        <v>2.66</v>
      </c>
      <c r="J24" s="145">
        <v>110</v>
      </c>
      <c r="K24" s="370">
        <f>J24*I24</f>
        <v>292.60000000000002</v>
      </c>
      <c r="O24" s="488" t="s">
        <v>537</v>
      </c>
      <c r="P24" s="489"/>
      <c r="Q24" s="489"/>
      <c r="R24" s="489"/>
      <c r="S24" s="489"/>
      <c r="T24" s="489">
        <v>982.12069999999994</v>
      </c>
      <c r="U24" s="489">
        <v>1080.33277</v>
      </c>
      <c r="V24" s="489"/>
      <c r="W24" s="489"/>
      <c r="X24" s="489">
        <v>982.12069999999994</v>
      </c>
      <c r="Y24" s="489">
        <v>1080.33277</v>
      </c>
      <c r="Z24"/>
      <c r="AA24"/>
      <c r="AB24"/>
      <c r="AC24"/>
      <c r="AD24"/>
      <c r="AE24"/>
      <c r="AF24"/>
      <c r="AG24"/>
    </row>
    <row r="25" spans="1:33" s="343" customFormat="1" ht="21.75" thickBot="1" x14ac:dyDescent="0.4">
      <c r="A25" s="371"/>
      <c r="B25" s="372"/>
      <c r="C25" s="372" t="s">
        <v>45</v>
      </c>
      <c r="D25" s="372"/>
      <c r="E25" s="373">
        <f>SUM(E3:E24)</f>
        <v>4052.0663636999998</v>
      </c>
      <c r="F25" s="373">
        <f>SUM(F3:F24)</f>
        <v>4796.4682058860408</v>
      </c>
      <c r="G25" s="374"/>
      <c r="H25" s="374"/>
      <c r="I25" s="373">
        <f>SUM(I3:I24)</f>
        <v>5297.8014224060407</v>
      </c>
      <c r="J25" s="375">
        <f>K25/I25</f>
        <v>101.97812908513663</v>
      </c>
      <c r="K25" s="376">
        <f>SUM(K3:K24)</f>
        <v>540259.87732154364</v>
      </c>
      <c r="O25" s="488" t="s">
        <v>535</v>
      </c>
      <c r="P25" s="490"/>
      <c r="Q25" s="490"/>
      <c r="R25" s="490"/>
      <c r="S25" s="490"/>
      <c r="T25" s="490">
        <v>996</v>
      </c>
      <c r="U25" s="490">
        <v>1081.982088</v>
      </c>
      <c r="V25" s="490"/>
      <c r="W25" s="490"/>
      <c r="X25" s="490">
        <v>996</v>
      </c>
      <c r="Y25" s="490">
        <v>1081.982088</v>
      </c>
      <c r="Z25"/>
      <c r="AA25"/>
      <c r="AB25"/>
      <c r="AC25"/>
      <c r="AD25" s="344"/>
      <c r="AE25" s="344"/>
      <c r="AF25" s="344"/>
      <c r="AG25" s="344"/>
    </row>
    <row r="26" spans="1:33" x14ac:dyDescent="0.25">
      <c r="O26" s="488" t="s">
        <v>293</v>
      </c>
      <c r="P26" s="489"/>
      <c r="Q26" s="489"/>
      <c r="R26" s="489"/>
      <c r="S26" s="489"/>
      <c r="T26" s="489"/>
      <c r="U26" s="489"/>
      <c r="V26" s="489">
        <v>149.95104000000003</v>
      </c>
      <c r="W26" s="489">
        <v>166.13942400000002</v>
      </c>
      <c r="X26" s="489">
        <v>149.95104000000003</v>
      </c>
      <c r="Y26" s="489">
        <v>166.13942400000002</v>
      </c>
      <c r="Z26"/>
      <c r="AA26"/>
      <c r="AB26"/>
      <c r="AC26"/>
      <c r="AD26"/>
      <c r="AE26"/>
      <c r="AF26"/>
      <c r="AG26"/>
    </row>
    <row r="27" spans="1:33" x14ac:dyDescent="0.25">
      <c r="O27" s="488" t="s">
        <v>42</v>
      </c>
      <c r="P27" s="489">
        <v>139.60882679999997</v>
      </c>
      <c r="Q27" s="489">
        <v>153.56970948</v>
      </c>
      <c r="R27" s="489">
        <v>70.330840000000009</v>
      </c>
      <c r="S27" s="489">
        <v>77.363924000000011</v>
      </c>
      <c r="T27" s="489">
        <v>3229.3216984000001</v>
      </c>
      <c r="U27" s="489">
        <v>3839.94727555604</v>
      </c>
      <c r="V27" s="489">
        <v>612.80499850000001</v>
      </c>
      <c r="W27" s="489">
        <v>725.6072829499999</v>
      </c>
      <c r="X27" s="489">
        <v>4052.0663636999998</v>
      </c>
      <c r="Y27" s="489">
        <v>4796.48819198604</v>
      </c>
      <c r="Z27"/>
      <c r="AA27"/>
      <c r="AB27"/>
      <c r="AC27"/>
      <c r="AD27"/>
      <c r="AE27"/>
      <c r="AF27"/>
      <c r="AG27"/>
    </row>
    <row r="28" spans="1:33" x14ac:dyDescent="0.25"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</row>
    <row r="29" spans="1:33" ht="16.5" thickBot="1" x14ac:dyDescent="0.3"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</row>
    <row r="30" spans="1:33" ht="19.5" thickBot="1" x14ac:dyDescent="0.3">
      <c r="A30" s="707" t="s">
        <v>685</v>
      </c>
      <c r="B30" s="708"/>
      <c r="C30" s="708"/>
      <c r="D30" s="708"/>
      <c r="E30" s="708"/>
      <c r="F30" s="708"/>
      <c r="G30" s="708"/>
      <c r="H30" s="359" t="str">
        <f>P30</f>
        <v>AY30017</v>
      </c>
      <c r="I30" s="359"/>
      <c r="J30" s="359"/>
      <c r="K30" s="360"/>
      <c r="O30" s="486" t="s">
        <v>128</v>
      </c>
      <c r="P30" s="487" t="s">
        <v>168</v>
      </c>
      <c r="Q30" s="319"/>
      <c r="R30" s="319"/>
      <c r="S30" s="319"/>
      <c r="T30" s="319"/>
      <c r="U30" s="319"/>
      <c r="V30" s="319"/>
      <c r="W30" s="319"/>
      <c r="X30" s="319"/>
      <c r="Y30" s="319"/>
      <c r="Z30" s="319"/>
      <c r="AA30" s="319"/>
      <c r="AB30"/>
      <c r="AC30"/>
      <c r="AD30"/>
      <c r="AE30"/>
      <c r="AF30"/>
      <c r="AG30"/>
    </row>
    <row r="31" spans="1:33" ht="37.5" x14ac:dyDescent="0.25">
      <c r="A31" s="321" t="s">
        <v>0</v>
      </c>
      <c r="B31" s="321" t="s">
        <v>13</v>
      </c>
      <c r="C31" s="321" t="s">
        <v>154</v>
      </c>
      <c r="D31" s="321" t="s">
        <v>544</v>
      </c>
      <c r="E31" s="340" t="s">
        <v>551</v>
      </c>
      <c r="F31" s="340" t="s">
        <v>552</v>
      </c>
      <c r="G31" s="321" t="s">
        <v>548</v>
      </c>
      <c r="H31" s="321" t="s">
        <v>34</v>
      </c>
      <c r="I31" s="321" t="s">
        <v>549</v>
      </c>
      <c r="J31" s="321" t="s">
        <v>547</v>
      </c>
      <c r="K31" s="321" t="s">
        <v>156</v>
      </c>
      <c r="O31" s="486" t="s">
        <v>13</v>
      </c>
      <c r="P31" s="487" t="s">
        <v>153</v>
      </c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/>
      <c r="AC31"/>
      <c r="AD31"/>
      <c r="AE31"/>
      <c r="AF31"/>
      <c r="AG31"/>
    </row>
    <row r="32" spans="1:33" x14ac:dyDescent="0.25">
      <c r="A32" s="143">
        <v>1</v>
      </c>
      <c r="B32" s="143" t="s">
        <v>21</v>
      </c>
      <c r="C32" s="143">
        <v>10</v>
      </c>
      <c r="D32" s="110" t="s">
        <v>542</v>
      </c>
      <c r="E32" s="145">
        <f>GETPIVOTDATA("Sum of Total Weight 
(Kg)",$O$33,"Alt. Material","IS 2062
 E250 A/BR","IS Thk
(mm)",10)</f>
        <v>6</v>
      </c>
      <c r="F32" s="145">
        <f>GETPIVOTDATA("Sum of Gross Wt 
(kg)",$O$33,"Alt. Material","IS 2062
 E250 A/BR","IS Thk
(mm)",10)</f>
        <v>8.2032500000000006</v>
      </c>
      <c r="G32" s="145">
        <v>0</v>
      </c>
      <c r="H32" s="145"/>
      <c r="I32" s="145">
        <f t="shared" ref="I32:I34" si="2">IF(G32&gt;F32,G32,IF(G32&lt;F32,F32))</f>
        <v>8.2032500000000006</v>
      </c>
      <c r="J32" s="145">
        <v>110</v>
      </c>
      <c r="K32" s="145">
        <f t="shared" ref="K32:K34" si="3">J32*I32</f>
        <v>902.35750000000007</v>
      </c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/>
      <c r="AC32"/>
      <c r="AD32"/>
      <c r="AE32"/>
      <c r="AF32"/>
      <c r="AG32"/>
    </row>
    <row r="33" spans="1:33" x14ac:dyDescent="0.25">
      <c r="A33" s="143">
        <v>2</v>
      </c>
      <c r="B33" s="143" t="s">
        <v>21</v>
      </c>
      <c r="C33" s="143">
        <v>16</v>
      </c>
      <c r="D33" s="110" t="s">
        <v>542</v>
      </c>
      <c r="E33" s="145">
        <f>GETPIVOTDATA("Sum of Total Weight 
(Kg)",$O$33,"Alt. Material","IS 2062
 E250 A/BR","IS Thk
(mm)",16)</f>
        <v>12</v>
      </c>
      <c r="F33" s="145">
        <f>GETPIVOTDATA("Sum of Gross Wt 
(kg)",$O$33,"Alt. Material","IS 2062
 E250 A/BR","IS Thk
(mm)",16)</f>
        <v>17.728138559999998</v>
      </c>
      <c r="G33" s="145">
        <v>0</v>
      </c>
      <c r="H33" s="145"/>
      <c r="I33" s="145">
        <f t="shared" si="2"/>
        <v>17.728138559999998</v>
      </c>
      <c r="J33" s="145">
        <v>110</v>
      </c>
      <c r="K33" s="145">
        <f t="shared" si="3"/>
        <v>1950.0952415999998</v>
      </c>
      <c r="O33" s="487"/>
      <c r="P33" s="486" t="s">
        <v>129</v>
      </c>
      <c r="Q33" s="487"/>
      <c r="R33" s="487"/>
      <c r="S33" s="487"/>
      <c r="T33" s="487"/>
      <c r="U33" s="487"/>
      <c r="V33"/>
      <c r="W33"/>
      <c r="X33"/>
      <c r="Y33"/>
      <c r="Z33"/>
      <c r="AA33"/>
      <c r="AB33"/>
      <c r="AC33"/>
      <c r="AD33"/>
      <c r="AE33"/>
      <c r="AF33"/>
      <c r="AG33"/>
    </row>
    <row r="34" spans="1:33" x14ac:dyDescent="0.25">
      <c r="A34" s="143">
        <v>3</v>
      </c>
      <c r="B34" s="143" t="s">
        <v>21</v>
      </c>
      <c r="C34" s="143" t="s">
        <v>569</v>
      </c>
      <c r="D34" s="143" t="s">
        <v>553</v>
      </c>
      <c r="E34" s="145">
        <f>GETPIVOTDATA("Sum of Total Weight 
(Kg)",$O$33,"Alt. Material","IS 2062 
E350 A/BR","IS Thk
(mm)","ISMC 200 x 75")</f>
        <v>112.33200000000001</v>
      </c>
      <c r="F34" s="145">
        <f>GETPIVOTDATA("Sum of Gross Wt 
(kg)",$O$33,"Alt. Material","IS 2062 
E350 A/BR","IS Thk
(mm)","ISMC 200 x 75")</f>
        <v>123.56520000000003</v>
      </c>
      <c r="G34" s="145">
        <f>22.3*6</f>
        <v>133.80000000000001</v>
      </c>
      <c r="H34" s="145" t="s">
        <v>570</v>
      </c>
      <c r="I34" s="145">
        <f t="shared" si="2"/>
        <v>133.80000000000001</v>
      </c>
      <c r="J34" s="145">
        <v>110</v>
      </c>
      <c r="K34" s="145">
        <f t="shared" si="3"/>
        <v>14718.000000000002</v>
      </c>
      <c r="O34" s="487"/>
      <c r="P34" s="487" t="s">
        <v>573</v>
      </c>
      <c r="Q34" s="487"/>
      <c r="R34" s="487" t="s">
        <v>777</v>
      </c>
      <c r="S34" s="487"/>
      <c r="T34" s="487" t="s">
        <v>130</v>
      </c>
      <c r="U34" s="487" t="s">
        <v>131</v>
      </c>
      <c r="V34"/>
      <c r="W34"/>
      <c r="X34"/>
      <c r="Y34"/>
      <c r="Z34"/>
      <c r="AA34"/>
      <c r="AB34"/>
      <c r="AC34"/>
      <c r="AD34"/>
      <c r="AE34"/>
      <c r="AF34"/>
      <c r="AG34"/>
    </row>
    <row r="35" spans="1:33" ht="21" x14ac:dyDescent="0.25">
      <c r="A35" s="341"/>
      <c r="B35" s="341"/>
      <c r="C35" s="341" t="s">
        <v>45</v>
      </c>
      <c r="D35" s="341"/>
      <c r="E35" s="342">
        <f>SUM(E32:E34)</f>
        <v>130.33199999999999</v>
      </c>
      <c r="F35" s="342">
        <f>SUM(F32:F34)</f>
        <v>149.49658856000002</v>
      </c>
      <c r="G35" s="346"/>
      <c r="H35" s="346"/>
      <c r="I35" s="342">
        <f>SUM(I32:I34)</f>
        <v>159.73138856</v>
      </c>
      <c r="J35" s="145">
        <f>K35/I35</f>
        <v>110.00000000000001</v>
      </c>
      <c r="K35" s="342">
        <f>SUM(K32:K34)</f>
        <v>17570.452741600002</v>
      </c>
      <c r="O35" s="486" t="s">
        <v>41</v>
      </c>
      <c r="P35" s="487" t="s">
        <v>132</v>
      </c>
      <c r="Q35" s="487" t="s">
        <v>43</v>
      </c>
      <c r="R35" s="487" t="s">
        <v>132</v>
      </c>
      <c r="S35" s="487" t="s">
        <v>43</v>
      </c>
      <c r="T35" s="487"/>
      <c r="U35" s="487"/>
      <c r="V35"/>
      <c r="W35"/>
      <c r="X35"/>
      <c r="Y35"/>
      <c r="Z35"/>
      <c r="AA35"/>
      <c r="AB35"/>
      <c r="AC35"/>
      <c r="AD35"/>
      <c r="AE35"/>
      <c r="AF35"/>
      <c r="AG35"/>
    </row>
    <row r="36" spans="1:33" x14ac:dyDescent="0.25">
      <c r="O36" s="488">
        <v>10</v>
      </c>
      <c r="P36" s="489"/>
      <c r="Q36" s="489"/>
      <c r="R36" s="489">
        <v>6</v>
      </c>
      <c r="S36" s="489">
        <v>8.2032500000000006</v>
      </c>
      <c r="T36" s="489">
        <v>6</v>
      </c>
      <c r="U36" s="489">
        <v>8.2032500000000006</v>
      </c>
      <c r="V36"/>
      <c r="W36"/>
      <c r="X36"/>
      <c r="Y36"/>
      <c r="Z36"/>
      <c r="AA36"/>
      <c r="AB36"/>
      <c r="AC36"/>
      <c r="AD36"/>
      <c r="AE36"/>
      <c r="AF36"/>
      <c r="AG36"/>
    </row>
    <row r="37" spans="1:33" x14ac:dyDescent="0.25">
      <c r="O37" s="488">
        <v>16</v>
      </c>
      <c r="P37" s="489"/>
      <c r="Q37" s="489"/>
      <c r="R37" s="489">
        <v>12</v>
      </c>
      <c r="S37" s="489">
        <v>17.728138559999998</v>
      </c>
      <c r="T37" s="489">
        <v>12</v>
      </c>
      <c r="U37" s="489">
        <v>17.728138559999998</v>
      </c>
      <c r="V37"/>
      <c r="W37"/>
      <c r="X37"/>
      <c r="Y37"/>
      <c r="Z37"/>
      <c r="AA37"/>
      <c r="AB37"/>
      <c r="AC37"/>
      <c r="AD37"/>
      <c r="AE37"/>
      <c r="AF37"/>
      <c r="AG37"/>
    </row>
    <row r="38" spans="1:33" x14ac:dyDescent="0.25">
      <c r="O38" s="488" t="s">
        <v>537</v>
      </c>
      <c r="P38" s="489">
        <v>112.33200000000001</v>
      </c>
      <c r="Q38" s="489">
        <v>123.56520000000003</v>
      </c>
      <c r="R38" s="489"/>
      <c r="S38" s="489"/>
      <c r="T38" s="489">
        <v>112.33200000000001</v>
      </c>
      <c r="U38" s="489">
        <v>123.56520000000003</v>
      </c>
      <c r="V38"/>
      <c r="W38"/>
      <c r="X38"/>
      <c r="Y38"/>
      <c r="Z38"/>
      <c r="AA38"/>
      <c r="AB38"/>
      <c r="AC38"/>
      <c r="AD38"/>
      <c r="AE38"/>
      <c r="AF38"/>
      <c r="AG38"/>
    </row>
    <row r="39" spans="1:33" x14ac:dyDescent="0.25">
      <c r="O39" s="488" t="s">
        <v>42</v>
      </c>
      <c r="P39" s="489">
        <v>112.33200000000001</v>
      </c>
      <c r="Q39" s="489">
        <v>123.56520000000003</v>
      </c>
      <c r="R39" s="489">
        <v>18</v>
      </c>
      <c r="S39" s="489">
        <v>25.931388559999998</v>
      </c>
      <c r="T39" s="489">
        <v>130.33199999999999</v>
      </c>
      <c r="U39" s="489">
        <v>149.49658856000002</v>
      </c>
      <c r="V39"/>
      <c r="W39"/>
      <c r="X39"/>
      <c r="Y39"/>
      <c r="Z39"/>
      <c r="AA39"/>
      <c r="AB39"/>
      <c r="AC39"/>
      <c r="AD39"/>
      <c r="AE39"/>
      <c r="AF39"/>
      <c r="AG39"/>
    </row>
    <row r="40" spans="1:33" x14ac:dyDescent="0.25"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1:33" ht="16.5" thickBot="1" x14ac:dyDescent="0.3">
      <c r="O41"/>
      <c r="P41"/>
      <c r="Q41"/>
      <c r="R41"/>
      <c r="S41"/>
      <c r="T41"/>
      <c r="U41"/>
      <c r="V41"/>
      <c r="W41"/>
      <c r="X41"/>
      <c r="Y41"/>
      <c r="Z41"/>
      <c r="AA41"/>
      <c r="AB41" s="319"/>
      <c r="AC41" s="319"/>
      <c r="AD41" s="319"/>
      <c r="AE41" s="319"/>
      <c r="AF41" s="319"/>
      <c r="AG41" s="319"/>
    </row>
    <row r="42" spans="1:33" ht="19.5" thickBot="1" x14ac:dyDescent="0.3">
      <c r="A42" s="707" t="s">
        <v>685</v>
      </c>
      <c r="B42" s="708"/>
      <c r="C42" s="708"/>
      <c r="D42" s="708"/>
      <c r="E42" s="708"/>
      <c r="F42" s="708"/>
      <c r="G42" s="708"/>
      <c r="H42" s="359" t="str">
        <f>P42</f>
        <v>AY30018</v>
      </c>
      <c r="I42" s="359"/>
      <c r="J42" s="359"/>
      <c r="K42" s="360"/>
      <c r="O42" s="486" t="s">
        <v>128</v>
      </c>
      <c r="P42" s="487" t="s">
        <v>170</v>
      </c>
      <c r="Q42" s="319"/>
      <c r="R42" s="319"/>
      <c r="S42" s="319"/>
      <c r="T42" s="319"/>
      <c r="U42" s="319"/>
      <c r="V42" s="319"/>
      <c r="W42" s="319"/>
      <c r="X42" s="319"/>
      <c r="Y42" s="319"/>
      <c r="Z42" s="319"/>
      <c r="AA42" s="319"/>
      <c r="AB42"/>
      <c r="AC42"/>
      <c r="AD42"/>
      <c r="AE42"/>
      <c r="AF42"/>
      <c r="AG42"/>
    </row>
    <row r="43" spans="1:33" ht="37.5" x14ac:dyDescent="0.25">
      <c r="A43" s="321" t="s">
        <v>0</v>
      </c>
      <c r="B43" s="321" t="s">
        <v>13</v>
      </c>
      <c r="C43" s="321" t="s">
        <v>154</v>
      </c>
      <c r="D43" s="321" t="s">
        <v>544</v>
      </c>
      <c r="E43" s="340" t="s">
        <v>551</v>
      </c>
      <c r="F43" s="340" t="s">
        <v>552</v>
      </c>
      <c r="G43" s="321" t="s">
        <v>548</v>
      </c>
      <c r="H43" s="321" t="s">
        <v>34</v>
      </c>
      <c r="I43" s="321" t="s">
        <v>549</v>
      </c>
      <c r="J43" s="321" t="s">
        <v>547</v>
      </c>
      <c r="K43" s="321" t="s">
        <v>156</v>
      </c>
      <c r="O43" s="486" t="s">
        <v>13</v>
      </c>
      <c r="P43" s="487" t="s">
        <v>153</v>
      </c>
      <c r="Q43" s="319"/>
      <c r="R43" s="319"/>
      <c r="S43" s="319"/>
      <c r="T43" s="319"/>
      <c r="U43" s="319"/>
      <c r="V43" s="319"/>
      <c r="W43" s="319"/>
      <c r="X43" s="319"/>
      <c r="Y43" s="319"/>
      <c r="Z43" s="319"/>
      <c r="AA43" s="319"/>
      <c r="AB43"/>
      <c r="AC43"/>
      <c r="AD43"/>
      <c r="AE43"/>
      <c r="AF43"/>
      <c r="AG43"/>
    </row>
    <row r="44" spans="1:33" x14ac:dyDescent="0.25">
      <c r="A44" s="143">
        <v>1</v>
      </c>
      <c r="B44" s="143" t="s">
        <v>21</v>
      </c>
      <c r="C44" s="143">
        <v>6</v>
      </c>
      <c r="D44" s="143" t="s">
        <v>543</v>
      </c>
      <c r="E44" s="145">
        <f>GETPIVOTDATA("Sum of Total Weight 
(Kg)",$O$45,"Alt. Material","IS 2062 
E350 A/BR","IS Thk
(mm)",6)</f>
        <v>26</v>
      </c>
      <c r="F44" s="145">
        <f>GETPIVOTDATA("Sum of Gross Wt 
(kg)",$O$45,"Alt. Material","IS 2062 
E350 A/BR","IS Thk
(mm)",6)</f>
        <v>28.6</v>
      </c>
      <c r="G44" s="145">
        <v>0</v>
      </c>
      <c r="H44" s="145"/>
      <c r="I44" s="145">
        <f t="shared" ref="I44:I45" si="4">IF(G44&gt;F44,G44,IF(G44&lt;F44,F44))</f>
        <v>28.6</v>
      </c>
      <c r="J44" s="145">
        <v>110</v>
      </c>
      <c r="K44" s="145">
        <f t="shared" ref="K44:K45" si="5">J44*I44</f>
        <v>3146</v>
      </c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  <c r="AA44" s="319"/>
      <c r="AB44"/>
      <c r="AC44"/>
      <c r="AD44"/>
      <c r="AE44"/>
      <c r="AF44"/>
      <c r="AG44"/>
    </row>
    <row r="45" spans="1:33" x14ac:dyDescent="0.25">
      <c r="A45" s="143">
        <v>2</v>
      </c>
      <c r="B45" s="143" t="s">
        <v>21</v>
      </c>
      <c r="C45" s="143">
        <v>10</v>
      </c>
      <c r="D45" s="143" t="s">
        <v>543</v>
      </c>
      <c r="E45" s="145">
        <f>GETPIVOTDATA("Sum of Total Weight 
(Kg)",$O$45,"Alt. Material","IS 2062 
E350 A/BR","IS Thk
(mm)",10)</f>
        <v>0.8</v>
      </c>
      <c r="F45" s="145">
        <f>GETPIVOTDATA("Sum of Gross Wt 
(kg)",$O$45,"Alt. Material","IS 2062 
E350 A/BR","IS Thk
(mm)",10)</f>
        <v>1.0668715200000001</v>
      </c>
      <c r="G45" s="145">
        <v>0</v>
      </c>
      <c r="H45" s="145"/>
      <c r="I45" s="145">
        <f t="shared" si="4"/>
        <v>1.0668715200000001</v>
      </c>
      <c r="J45" s="145">
        <v>110</v>
      </c>
      <c r="K45" s="145">
        <f t="shared" si="5"/>
        <v>117.35586720000001</v>
      </c>
      <c r="O45" s="487"/>
      <c r="P45" s="486" t="s">
        <v>129</v>
      </c>
      <c r="Q45" s="487"/>
      <c r="R45" s="487"/>
      <c r="S45" s="487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1:33" ht="21" x14ac:dyDescent="0.25">
      <c r="A46" s="341"/>
      <c r="B46" s="341"/>
      <c r="C46" s="341" t="s">
        <v>45</v>
      </c>
      <c r="D46" s="341"/>
      <c r="E46" s="342">
        <f>SUM(E44:E45)</f>
        <v>26.8</v>
      </c>
      <c r="F46" s="342">
        <f>SUM(F44:F45)</f>
        <v>29.666871520000001</v>
      </c>
      <c r="G46" s="346"/>
      <c r="H46" s="346"/>
      <c r="I46" s="342">
        <f>SUM(I44:I45)</f>
        <v>29.666871520000001</v>
      </c>
      <c r="J46" s="145">
        <f>K46/I46</f>
        <v>110</v>
      </c>
      <c r="K46" s="342">
        <f>SUM(K44:K45)</f>
        <v>3263.3558671999999</v>
      </c>
      <c r="O46" s="487"/>
      <c r="P46" s="487" t="s">
        <v>573</v>
      </c>
      <c r="Q46" s="487"/>
      <c r="R46" s="487" t="s">
        <v>130</v>
      </c>
      <c r="S46" s="487" t="s">
        <v>131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 spans="1:33" x14ac:dyDescent="0.25">
      <c r="O47" s="486" t="s">
        <v>41</v>
      </c>
      <c r="P47" s="487" t="s">
        <v>132</v>
      </c>
      <c r="Q47" s="487" t="s">
        <v>43</v>
      </c>
      <c r="R47" s="487"/>
      <c r="S47" s="48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  <row r="48" spans="1:33" x14ac:dyDescent="0.25">
      <c r="O48" s="488">
        <v>6</v>
      </c>
      <c r="P48" s="489">
        <v>26</v>
      </c>
      <c r="Q48" s="489">
        <v>28.6</v>
      </c>
      <c r="R48" s="489">
        <v>26</v>
      </c>
      <c r="S48" s="489">
        <v>28.6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</row>
    <row r="49" spans="1:33" x14ac:dyDescent="0.25">
      <c r="O49" s="488">
        <v>10</v>
      </c>
      <c r="P49" s="489">
        <v>0.8</v>
      </c>
      <c r="Q49" s="489">
        <v>1.0668715200000001</v>
      </c>
      <c r="R49" s="489">
        <v>0.8</v>
      </c>
      <c r="S49" s="489">
        <v>1.0668715200000001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</row>
    <row r="50" spans="1:33" x14ac:dyDescent="0.25">
      <c r="O50" s="488" t="s">
        <v>42</v>
      </c>
      <c r="P50" s="489">
        <v>26.8</v>
      </c>
      <c r="Q50" s="489">
        <v>29.666871520000001</v>
      </c>
      <c r="R50" s="489">
        <v>26.8</v>
      </c>
      <c r="S50" s="489">
        <v>29.666871520000001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</row>
    <row r="51" spans="1:33" x14ac:dyDescent="0.25"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</row>
    <row r="52" spans="1:33" x14ac:dyDescent="0.25"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33" ht="16.5" thickBot="1" x14ac:dyDescent="0.3">
      <c r="O53"/>
      <c r="P53"/>
      <c r="Q53"/>
      <c r="R53"/>
      <c r="S53"/>
      <c r="T53"/>
      <c r="U53"/>
      <c r="V53"/>
      <c r="W53"/>
      <c r="X53"/>
      <c r="Y53"/>
      <c r="Z53"/>
      <c r="AA53"/>
    </row>
    <row r="54" spans="1:33" ht="19.5" thickBot="1" x14ac:dyDescent="0.3">
      <c r="A54" s="707" t="s">
        <v>685</v>
      </c>
      <c r="B54" s="708"/>
      <c r="C54" s="708"/>
      <c r="D54" s="708"/>
      <c r="E54" s="708"/>
      <c r="F54" s="708"/>
      <c r="G54" s="708"/>
      <c r="H54" s="359" t="str">
        <f>P54</f>
        <v>AY30027</v>
      </c>
      <c r="I54" s="359"/>
      <c r="J54" s="359"/>
      <c r="K54" s="360"/>
      <c r="O54" s="486" t="s">
        <v>128</v>
      </c>
      <c r="P54" s="487" t="s">
        <v>172</v>
      </c>
      <c r="Q54" s="319"/>
      <c r="R54" s="319"/>
      <c r="S54" s="319"/>
      <c r="T54" s="319"/>
      <c r="U54" s="319"/>
      <c r="V54" s="319"/>
      <c r="W54" s="319"/>
      <c r="X54" s="319"/>
      <c r="Y54" s="319"/>
      <c r="Z54" s="319"/>
      <c r="AA54" s="319"/>
      <c r="AB54"/>
      <c r="AC54"/>
      <c r="AD54"/>
      <c r="AE54"/>
      <c r="AF54"/>
      <c r="AG54"/>
    </row>
    <row r="55" spans="1:33" ht="37.5" x14ac:dyDescent="0.25">
      <c r="A55" s="321" t="s">
        <v>0</v>
      </c>
      <c r="B55" s="321" t="s">
        <v>13</v>
      </c>
      <c r="C55" s="321" t="s">
        <v>154</v>
      </c>
      <c r="D55" s="321" t="s">
        <v>544</v>
      </c>
      <c r="E55" s="340" t="s">
        <v>551</v>
      </c>
      <c r="F55" s="340" t="s">
        <v>552</v>
      </c>
      <c r="G55" s="321" t="s">
        <v>548</v>
      </c>
      <c r="H55" s="321" t="s">
        <v>34</v>
      </c>
      <c r="I55" s="321" t="s">
        <v>549</v>
      </c>
      <c r="J55" s="321" t="s">
        <v>547</v>
      </c>
      <c r="K55" s="321" t="s">
        <v>156</v>
      </c>
      <c r="O55" s="486" t="s">
        <v>13</v>
      </c>
      <c r="P55" s="487" t="s">
        <v>153</v>
      </c>
      <c r="Q55" s="319"/>
      <c r="R55" s="319"/>
      <c r="S55" s="319"/>
      <c r="T55" s="319"/>
      <c r="U55" s="319"/>
      <c r="V55" s="319"/>
      <c r="W55" s="319"/>
      <c r="X55" s="319"/>
      <c r="Y55" s="319"/>
      <c r="Z55" s="319"/>
      <c r="AA55" s="319"/>
      <c r="AB55"/>
      <c r="AC55"/>
      <c r="AD55"/>
      <c r="AE55"/>
      <c r="AF55"/>
      <c r="AG55"/>
    </row>
    <row r="56" spans="1:33" x14ac:dyDescent="0.25">
      <c r="A56" s="143">
        <v>1</v>
      </c>
      <c r="B56" s="143" t="s">
        <v>21</v>
      </c>
      <c r="C56" s="143">
        <v>6</v>
      </c>
      <c r="D56" s="143" t="s">
        <v>543</v>
      </c>
      <c r="E56" s="145">
        <f>GETPIVOTDATA("Sum of Total Weight 
(Kg)",$O$57,"Alt. Material","IS 2062 
E350 A/BR","IS Thk
(mm)",6)</f>
        <v>391</v>
      </c>
      <c r="F56" s="145">
        <f>GETPIVOTDATA("Sum of Gross Wt 
(kg)",$O$57,"Alt. Material","IS 2062 
E350 A/BR","IS Thk
(mm)",6)</f>
        <v>428.97607533000001</v>
      </c>
      <c r="G56" s="145">
        <v>0</v>
      </c>
      <c r="H56" s="145"/>
      <c r="I56" s="145">
        <f t="shared" ref="I56:I57" si="6">IF(G56&gt;F56,G56,IF(G56&lt;F56,F56))</f>
        <v>428.97607533000001</v>
      </c>
      <c r="J56" s="145">
        <v>90</v>
      </c>
      <c r="K56" s="145">
        <f t="shared" ref="K56:K57" si="7">J56*I56</f>
        <v>38607.846779700005</v>
      </c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319"/>
      <c r="AB56"/>
      <c r="AC56"/>
      <c r="AD56"/>
      <c r="AE56"/>
      <c r="AF56"/>
      <c r="AG56"/>
    </row>
    <row r="57" spans="1:33" x14ac:dyDescent="0.25">
      <c r="A57" s="143">
        <v>2</v>
      </c>
      <c r="B57" s="143" t="s">
        <v>21</v>
      </c>
      <c r="C57" s="143">
        <v>10</v>
      </c>
      <c r="D57" s="143" t="s">
        <v>543</v>
      </c>
      <c r="E57" s="145">
        <f>GETPIVOTDATA("Sum of Total Weight 
(Kg)",$O$57,"Alt. Material","IS 2062 
E350 A/BR","IS Thk
(mm)",10)</f>
        <v>52.058131000000003</v>
      </c>
      <c r="F57" s="145">
        <f>GETPIVOTDATA("Sum of Gross Wt 
(kg)",$O$57,"Alt. Material","IS 2062 
E350 A/BR","IS Thk
(mm)",10)</f>
        <v>61.561989059999995</v>
      </c>
      <c r="G57" s="145">
        <v>0</v>
      </c>
      <c r="H57" s="145"/>
      <c r="I57" s="145">
        <f t="shared" si="6"/>
        <v>61.561989059999995</v>
      </c>
      <c r="J57" s="145">
        <v>110</v>
      </c>
      <c r="K57" s="145">
        <f t="shared" si="7"/>
        <v>6771.8187965999996</v>
      </c>
      <c r="O57" s="487"/>
      <c r="P57" s="486" t="s">
        <v>129</v>
      </c>
      <c r="Q57" s="487"/>
      <c r="R57" s="487"/>
      <c r="S57" s="48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</row>
    <row r="58" spans="1:33" ht="21" x14ac:dyDescent="0.25">
      <c r="A58" s="341"/>
      <c r="B58" s="341"/>
      <c r="C58" s="341" t="s">
        <v>45</v>
      </c>
      <c r="D58" s="341"/>
      <c r="E58" s="342">
        <f>SUM(E56:E57)</f>
        <v>443.058131</v>
      </c>
      <c r="F58" s="342">
        <f>SUM(F56:F57)</f>
        <v>490.53806438999999</v>
      </c>
      <c r="G58" s="346"/>
      <c r="H58" s="346"/>
      <c r="I58" s="342">
        <f>SUM(I56:I57)</f>
        <v>490.53806438999999</v>
      </c>
      <c r="J58" s="145">
        <f>K58/I58</f>
        <v>92.509978064049093</v>
      </c>
      <c r="K58" s="342">
        <f>SUM(K56:K57)</f>
        <v>45379.665576300002</v>
      </c>
      <c r="O58" s="487"/>
      <c r="P58" s="487" t="s">
        <v>573</v>
      </c>
      <c r="Q58" s="487"/>
      <c r="R58" s="487" t="s">
        <v>130</v>
      </c>
      <c r="S58" s="487" t="s">
        <v>131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</row>
    <row r="59" spans="1:33" x14ac:dyDescent="0.25">
      <c r="O59" s="486" t="s">
        <v>41</v>
      </c>
      <c r="P59" s="487" t="s">
        <v>132</v>
      </c>
      <c r="Q59" s="487" t="s">
        <v>43</v>
      </c>
      <c r="R59" s="487"/>
      <c r="S59" s="487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</row>
    <row r="60" spans="1:33" x14ac:dyDescent="0.25">
      <c r="O60" s="488">
        <v>6</v>
      </c>
      <c r="P60" s="489">
        <v>391</v>
      </c>
      <c r="Q60" s="489">
        <v>428.97607533000001</v>
      </c>
      <c r="R60" s="489">
        <v>391</v>
      </c>
      <c r="S60" s="489">
        <v>428.97607533000001</v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</row>
    <row r="61" spans="1:33" x14ac:dyDescent="0.25">
      <c r="O61" s="488">
        <v>10</v>
      </c>
      <c r="P61" s="489">
        <v>52.058131000000003</v>
      </c>
      <c r="Q61" s="489">
        <v>61.561989059999995</v>
      </c>
      <c r="R61" s="489">
        <v>52.058131000000003</v>
      </c>
      <c r="S61" s="489">
        <v>61.561989059999995</v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</row>
    <row r="62" spans="1:33" x14ac:dyDescent="0.25">
      <c r="O62" s="488" t="s">
        <v>42</v>
      </c>
      <c r="P62" s="489">
        <v>443.058131</v>
      </c>
      <c r="Q62" s="489">
        <v>490.53806438999999</v>
      </c>
      <c r="R62" s="489">
        <v>443.058131</v>
      </c>
      <c r="S62" s="489">
        <v>490.53806438999999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</row>
    <row r="64" spans="1:33" ht="16.5" thickBot="1" x14ac:dyDescent="0.3"/>
    <row r="65" spans="1:33" ht="19.5" thickBot="1" x14ac:dyDescent="0.3">
      <c r="A65" s="707" t="s">
        <v>685</v>
      </c>
      <c r="B65" s="708"/>
      <c r="C65" s="708"/>
      <c r="D65" s="708"/>
      <c r="E65" s="708"/>
      <c r="F65" s="708"/>
      <c r="G65" s="708"/>
      <c r="H65" s="359" t="str">
        <f>P65</f>
        <v>AY30062</v>
      </c>
      <c r="I65" s="359"/>
      <c r="J65" s="359"/>
      <c r="K65" s="360"/>
      <c r="O65" s="486" t="s">
        <v>128</v>
      </c>
      <c r="P65" s="487" t="s">
        <v>173</v>
      </c>
      <c r="Q65" s="319"/>
      <c r="R65" s="319"/>
      <c r="S65" s="319"/>
      <c r="T65" s="319"/>
      <c r="U65" s="319"/>
      <c r="V65" s="319"/>
      <c r="W65" s="319"/>
      <c r="X65" s="319"/>
      <c r="Y65" s="319"/>
      <c r="Z65" s="319"/>
      <c r="AA65" s="319"/>
      <c r="AB65"/>
      <c r="AC65"/>
      <c r="AD65"/>
      <c r="AE65"/>
      <c r="AF65"/>
      <c r="AG65"/>
    </row>
    <row r="66" spans="1:33" ht="37.5" x14ac:dyDescent="0.25">
      <c r="A66" s="321" t="s">
        <v>0</v>
      </c>
      <c r="B66" s="321" t="s">
        <v>13</v>
      </c>
      <c r="C66" s="321" t="s">
        <v>154</v>
      </c>
      <c r="D66" s="321" t="s">
        <v>544</v>
      </c>
      <c r="E66" s="340" t="s">
        <v>551</v>
      </c>
      <c r="F66" s="340" t="s">
        <v>552</v>
      </c>
      <c r="G66" s="321" t="s">
        <v>548</v>
      </c>
      <c r="H66" s="321" t="s">
        <v>34</v>
      </c>
      <c r="I66" s="321" t="s">
        <v>549</v>
      </c>
      <c r="J66" s="321" t="s">
        <v>547</v>
      </c>
      <c r="K66" s="321" t="s">
        <v>156</v>
      </c>
      <c r="O66" s="486" t="s">
        <v>13</v>
      </c>
      <c r="P66" s="487" t="s">
        <v>153</v>
      </c>
      <c r="Q66" s="319"/>
      <c r="R66" s="319"/>
      <c r="S66" s="319"/>
      <c r="T66" s="319"/>
      <c r="U66" s="319"/>
      <c r="V66" s="319"/>
      <c r="W66" s="319"/>
      <c r="X66" s="319"/>
      <c r="Y66" s="319"/>
      <c r="Z66" s="319"/>
      <c r="AA66" s="319"/>
      <c r="AB66"/>
      <c r="AC66"/>
      <c r="AD66"/>
      <c r="AE66"/>
      <c r="AF66"/>
      <c r="AG66"/>
    </row>
    <row r="67" spans="1:33" x14ac:dyDescent="0.25">
      <c r="A67" s="143">
        <v>1</v>
      </c>
      <c r="B67" s="143" t="s">
        <v>21</v>
      </c>
      <c r="C67" s="143">
        <v>10</v>
      </c>
      <c r="D67" s="143" t="s">
        <v>543</v>
      </c>
      <c r="E67" s="145">
        <f>GETPIVOTDATA("Sum of Total Weight 
(Kg)",$O$68,"Alt. Material","IS 2062 
E350 A/BR","IS Thk
(mm)",10)</f>
        <v>2.4</v>
      </c>
      <c r="F67" s="145">
        <f>GETPIVOTDATA("Sum of Gross Wt 
(kg)",$O$68,"Alt. Material","IS 2062 
E350 A/BR","IS Thk
(mm)",10)</f>
        <v>3.3849200000000002</v>
      </c>
      <c r="G67" s="145">
        <v>0</v>
      </c>
      <c r="H67" s="145"/>
      <c r="I67" s="145">
        <f t="shared" ref="I67:I69" si="8">IF(G67&gt;F67,G67,IF(G67&lt;F67,F67))</f>
        <v>3.3849200000000002</v>
      </c>
      <c r="J67" s="145">
        <v>90</v>
      </c>
      <c r="K67" s="145">
        <f t="shared" ref="K67" si="9">J67*I67</f>
        <v>304.64280000000002</v>
      </c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/>
      <c r="AC67"/>
      <c r="AD67"/>
      <c r="AE67"/>
      <c r="AF67"/>
      <c r="AG67"/>
    </row>
    <row r="68" spans="1:33" x14ac:dyDescent="0.25">
      <c r="A68" s="143">
        <v>2</v>
      </c>
      <c r="B68" s="143" t="s">
        <v>286</v>
      </c>
      <c r="C68" s="143" t="s">
        <v>321</v>
      </c>
      <c r="D68" s="143" t="s">
        <v>271</v>
      </c>
      <c r="E68" s="145">
        <f>GETPIVOTDATA("Sum of Total Weight 
(Kg)",$O$68,"Alt. Material","ASTM A106 GR.B","IS Thk
(mm)","Dia 101.6 x 8.08 thk")</f>
        <v>17.9876</v>
      </c>
      <c r="F68" s="145">
        <f>GETPIVOTDATA("Sum of Gross Wt 
(kg)",$O$68,"Alt. Material","ASTM A106 GR.B","IS Thk
(mm)","Dia 101.6 x 8.08 thk")</f>
        <v>19.786360000000002</v>
      </c>
      <c r="G68" s="145">
        <f>18.64*6/2</f>
        <v>55.92</v>
      </c>
      <c r="H68" s="145"/>
      <c r="I68" s="145">
        <f t="shared" si="8"/>
        <v>55.92</v>
      </c>
      <c r="J68" s="145">
        <v>110</v>
      </c>
      <c r="K68" s="145">
        <f>J68*I68</f>
        <v>6151.2</v>
      </c>
      <c r="O68" s="487"/>
      <c r="P68" s="486" t="s">
        <v>129</v>
      </c>
      <c r="Q68" s="487"/>
      <c r="R68" s="487"/>
      <c r="S68" s="487"/>
      <c r="T68" s="487"/>
      <c r="U68" s="487"/>
      <c r="V68" s="487"/>
      <c r="W68" s="487"/>
      <c r="X68"/>
      <c r="Y68"/>
      <c r="Z68"/>
      <c r="AA68"/>
      <c r="AB68"/>
      <c r="AC68"/>
      <c r="AD68"/>
      <c r="AE68"/>
      <c r="AF68"/>
      <c r="AG68"/>
    </row>
    <row r="69" spans="1:33" x14ac:dyDescent="0.25">
      <c r="A69" s="143">
        <v>3</v>
      </c>
      <c r="B69" s="143" t="s">
        <v>44</v>
      </c>
      <c r="C69" s="143" t="s">
        <v>326</v>
      </c>
      <c r="D69" s="110" t="s">
        <v>542</v>
      </c>
      <c r="E69" s="145">
        <f>GETPIVOTDATA("Sum of Total Weight 
(Kg)",$O$68,"Alt. Material","IS 2062
 E250 A/BR","IS Thk
(mm)","Dia 12")</f>
        <v>0.3</v>
      </c>
      <c r="F69" s="145">
        <f>GETPIVOTDATA("Sum of Gross Wt 
(kg)",$O$68,"Alt. Material","IS 2062
 E250 A/BR","IS Thk
(mm)","Dia 12")</f>
        <v>2.011009</v>
      </c>
      <c r="G69" s="320">
        <f>0.89*3</f>
        <v>2.67</v>
      </c>
      <c r="H69" s="145"/>
      <c r="I69" s="145">
        <f t="shared" si="8"/>
        <v>2.67</v>
      </c>
      <c r="J69" s="145">
        <v>110</v>
      </c>
      <c r="K69" s="145">
        <f>J69*I69</f>
        <v>293.7</v>
      </c>
      <c r="O69" s="487"/>
      <c r="P69" s="487" t="s">
        <v>271</v>
      </c>
      <c r="Q69" s="487"/>
      <c r="R69" s="487" t="s">
        <v>573</v>
      </c>
      <c r="S69" s="487"/>
      <c r="T69" s="487" t="s">
        <v>777</v>
      </c>
      <c r="U69" s="487"/>
      <c r="V69" s="487" t="s">
        <v>130</v>
      </c>
      <c r="W69" s="487" t="s">
        <v>131</v>
      </c>
      <c r="X69"/>
      <c r="Y69"/>
      <c r="Z69"/>
      <c r="AA69"/>
      <c r="AB69"/>
      <c r="AC69"/>
      <c r="AD69"/>
      <c r="AE69"/>
      <c r="AF69"/>
      <c r="AG69"/>
    </row>
    <row r="70" spans="1:33" ht="21" x14ac:dyDescent="0.25">
      <c r="A70" s="341"/>
      <c r="B70" s="341"/>
      <c r="C70" s="341" t="s">
        <v>45</v>
      </c>
      <c r="D70" s="341"/>
      <c r="E70" s="342">
        <f>SUM(E67:E69)</f>
        <v>20.6876</v>
      </c>
      <c r="F70" s="342">
        <f>SUM(F67:F69)</f>
        <v>25.182289000000004</v>
      </c>
      <c r="G70" s="346"/>
      <c r="H70" s="346"/>
      <c r="I70" s="342">
        <f>SUM(I67:I69)</f>
        <v>61.974920000000004</v>
      </c>
      <c r="J70" s="145">
        <f>K70/I70</f>
        <v>108.90764844875957</v>
      </c>
      <c r="K70" s="342">
        <f>SUM(K67:K69)</f>
        <v>6749.5427999999993</v>
      </c>
      <c r="O70" s="486" t="s">
        <v>41</v>
      </c>
      <c r="P70" s="487" t="s">
        <v>132</v>
      </c>
      <c r="Q70" s="487" t="s">
        <v>43</v>
      </c>
      <c r="R70" s="487" t="s">
        <v>132</v>
      </c>
      <c r="S70" s="487" t="s">
        <v>43</v>
      </c>
      <c r="T70" s="487" t="s">
        <v>132</v>
      </c>
      <c r="U70" s="487" t="s">
        <v>43</v>
      </c>
      <c r="V70" s="487"/>
      <c r="W70" s="487"/>
      <c r="X70"/>
      <c r="Y70"/>
      <c r="Z70"/>
      <c r="AA70"/>
      <c r="AB70"/>
      <c r="AC70"/>
      <c r="AD70"/>
      <c r="AE70"/>
      <c r="AF70"/>
      <c r="AG70"/>
    </row>
    <row r="71" spans="1:33" x14ac:dyDescent="0.25">
      <c r="O71" s="488">
        <v>10</v>
      </c>
      <c r="P71" s="489"/>
      <c r="Q71" s="489"/>
      <c r="R71" s="489">
        <v>2.4</v>
      </c>
      <c r="S71" s="489">
        <v>3.3849200000000002</v>
      </c>
      <c r="T71" s="489"/>
      <c r="U71" s="489"/>
      <c r="V71" s="489">
        <v>2.4</v>
      </c>
      <c r="W71" s="489">
        <v>3.3849200000000002</v>
      </c>
      <c r="X71"/>
      <c r="Y71"/>
      <c r="Z71"/>
      <c r="AA71"/>
      <c r="AB71"/>
      <c r="AC71"/>
      <c r="AD71"/>
      <c r="AE71"/>
      <c r="AF71"/>
      <c r="AG71"/>
    </row>
    <row r="72" spans="1:33" x14ac:dyDescent="0.25">
      <c r="O72" s="488" t="s">
        <v>321</v>
      </c>
      <c r="P72" s="489">
        <v>17.9876</v>
      </c>
      <c r="Q72" s="489">
        <v>19.786360000000002</v>
      </c>
      <c r="R72" s="489"/>
      <c r="S72" s="489"/>
      <c r="T72" s="489"/>
      <c r="U72" s="489"/>
      <c r="V72" s="489">
        <v>17.9876</v>
      </c>
      <c r="W72" s="489">
        <v>19.786360000000002</v>
      </c>
      <c r="X72"/>
      <c r="Y72"/>
      <c r="Z72"/>
      <c r="AA72"/>
      <c r="AB72"/>
      <c r="AC72"/>
      <c r="AD72"/>
      <c r="AE72"/>
      <c r="AF72"/>
      <c r="AG72"/>
    </row>
    <row r="73" spans="1:33" x14ac:dyDescent="0.25">
      <c r="O73" s="488" t="s">
        <v>326</v>
      </c>
      <c r="P73" s="489"/>
      <c r="Q73" s="489"/>
      <c r="R73" s="489"/>
      <c r="S73" s="489"/>
      <c r="T73" s="489">
        <v>0.3</v>
      </c>
      <c r="U73" s="489">
        <v>2.011009</v>
      </c>
      <c r="V73" s="489">
        <v>0.3</v>
      </c>
      <c r="W73" s="489">
        <v>2.011009</v>
      </c>
      <c r="X73"/>
      <c r="Y73"/>
      <c r="Z73"/>
      <c r="AA73"/>
      <c r="AB73"/>
      <c r="AC73"/>
      <c r="AD73"/>
      <c r="AE73"/>
      <c r="AF73"/>
      <c r="AG73"/>
    </row>
    <row r="74" spans="1:33" x14ac:dyDescent="0.25">
      <c r="O74" s="488" t="s">
        <v>42</v>
      </c>
      <c r="P74" s="489">
        <v>17.9876</v>
      </c>
      <c r="Q74" s="489">
        <v>19.786360000000002</v>
      </c>
      <c r="R74" s="489">
        <v>2.4</v>
      </c>
      <c r="S74" s="489">
        <v>3.3849200000000002</v>
      </c>
      <c r="T74" s="489">
        <v>0.3</v>
      </c>
      <c r="U74" s="489">
        <v>2.011009</v>
      </c>
      <c r="V74" s="489">
        <v>20.6876</v>
      </c>
      <c r="W74" s="489">
        <v>25.182289000000004</v>
      </c>
    </row>
    <row r="76" spans="1:33" ht="16.5" thickBot="1" x14ac:dyDescent="0.3"/>
    <row r="77" spans="1:33" ht="19.5" thickBot="1" x14ac:dyDescent="0.3">
      <c r="A77" s="707" t="s">
        <v>685</v>
      </c>
      <c r="B77" s="708"/>
      <c r="C77" s="708"/>
      <c r="D77" s="708"/>
      <c r="E77" s="708"/>
      <c r="F77" s="708"/>
      <c r="G77" s="708"/>
      <c r="H77" s="359" t="str">
        <f>P77</f>
        <v>AY30084</v>
      </c>
      <c r="I77" s="359"/>
      <c r="J77" s="359"/>
      <c r="K77" s="360"/>
      <c r="O77" s="486" t="s">
        <v>128</v>
      </c>
      <c r="P77" s="487" t="s">
        <v>175</v>
      </c>
      <c r="Q77" s="319"/>
      <c r="R77" s="319"/>
      <c r="S77" s="319"/>
      <c r="T77" s="319"/>
      <c r="U77" s="319"/>
      <c r="V77" s="319"/>
      <c r="W77" s="319"/>
      <c r="X77" s="319"/>
      <c r="Y77" s="319"/>
      <c r="Z77" s="319"/>
      <c r="AA77" s="319"/>
      <c r="AB77"/>
      <c r="AC77"/>
      <c r="AD77"/>
      <c r="AE77"/>
      <c r="AF77"/>
      <c r="AG77"/>
    </row>
    <row r="78" spans="1:33" ht="37.5" x14ac:dyDescent="0.25">
      <c r="A78" s="321" t="s">
        <v>0</v>
      </c>
      <c r="B78" s="321" t="s">
        <v>13</v>
      </c>
      <c r="C78" s="321" t="s">
        <v>154</v>
      </c>
      <c r="D78" s="321" t="s">
        <v>544</v>
      </c>
      <c r="E78" s="340" t="s">
        <v>551</v>
      </c>
      <c r="F78" s="340" t="s">
        <v>552</v>
      </c>
      <c r="G78" s="321" t="s">
        <v>548</v>
      </c>
      <c r="H78" s="321" t="s">
        <v>34</v>
      </c>
      <c r="I78" s="321" t="s">
        <v>549</v>
      </c>
      <c r="J78" s="321" t="s">
        <v>547</v>
      </c>
      <c r="K78" s="321" t="s">
        <v>156</v>
      </c>
      <c r="O78" s="486" t="s">
        <v>13</v>
      </c>
      <c r="P78" s="487" t="s">
        <v>153</v>
      </c>
      <c r="Q78" s="319"/>
      <c r="R78" s="319"/>
      <c r="S78" s="319"/>
      <c r="T78" s="319"/>
      <c r="U78" s="319"/>
      <c r="V78" s="319"/>
      <c r="W78" s="319"/>
      <c r="X78" s="319"/>
      <c r="Y78" s="319"/>
      <c r="Z78" s="319"/>
      <c r="AA78" s="319"/>
      <c r="AB78"/>
      <c r="AC78"/>
      <c r="AD78"/>
      <c r="AE78"/>
      <c r="AF78"/>
      <c r="AG78"/>
    </row>
    <row r="79" spans="1:33" x14ac:dyDescent="0.25">
      <c r="A79" s="143">
        <v>1</v>
      </c>
      <c r="B79" s="143" t="s">
        <v>329</v>
      </c>
      <c r="C79" s="143" t="s">
        <v>331</v>
      </c>
      <c r="D79" s="143" t="s">
        <v>540</v>
      </c>
      <c r="E79" s="145">
        <f>GETPIVOTDATA("Sum of Total Weight 
(Kg)",$O$80,"Alt. Material","YST 310","IS Thk
(mm)","40x40x 5thk")</f>
        <v>88.945999999999998</v>
      </c>
      <c r="F79" s="145">
        <f>GETPIVOTDATA("Sum of Gross Wt 
(kg)",$O$80,"Alt. Material","YST 310","IS Thk
(mm)","40x40x 5thk")</f>
        <v>97.840599999999995</v>
      </c>
      <c r="G79" s="145">
        <f>5.5*6</f>
        <v>33</v>
      </c>
      <c r="H79" s="145"/>
      <c r="I79" s="145">
        <f t="shared" ref="I79" si="10">IF(G79&gt;F79,G79,IF(G79&lt;F79,F79))</f>
        <v>97.840599999999995</v>
      </c>
      <c r="J79" s="145">
        <v>110</v>
      </c>
      <c r="K79" s="145">
        <f t="shared" ref="K79" si="11">J79*I79</f>
        <v>10762.466</v>
      </c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  <c r="AA79" s="319"/>
      <c r="AB79"/>
      <c r="AC79"/>
      <c r="AD79"/>
      <c r="AE79"/>
      <c r="AF79"/>
      <c r="AG79"/>
    </row>
    <row r="80" spans="1:33" ht="21" x14ac:dyDescent="0.25">
      <c r="A80" s="341"/>
      <c r="B80" s="341"/>
      <c r="C80" s="341" t="s">
        <v>45</v>
      </c>
      <c r="D80" s="341"/>
      <c r="E80" s="342">
        <f>SUM(E79:E79)</f>
        <v>88.945999999999998</v>
      </c>
      <c r="F80" s="342">
        <f>SUM(F79:F79)</f>
        <v>97.840599999999995</v>
      </c>
      <c r="G80" s="346"/>
      <c r="H80" s="346"/>
      <c r="I80" s="342">
        <f>SUM(I79:I79)</f>
        <v>97.840599999999995</v>
      </c>
      <c r="J80" s="145">
        <f>K80/I80</f>
        <v>110.00000000000001</v>
      </c>
      <c r="K80" s="342">
        <f>SUM(K79:K79)</f>
        <v>10762.466</v>
      </c>
      <c r="O80" s="487"/>
      <c r="P80" s="486" t="s">
        <v>129</v>
      </c>
      <c r="Q80" s="487"/>
      <c r="R80" s="487"/>
      <c r="S80" s="487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</row>
    <row r="81" spans="1:33" x14ac:dyDescent="0.25">
      <c r="O81" s="487"/>
      <c r="P81" s="487" t="s">
        <v>540</v>
      </c>
      <c r="Q81" s="487"/>
      <c r="R81" s="487" t="s">
        <v>130</v>
      </c>
      <c r="S81" s="487" t="s">
        <v>131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</row>
    <row r="82" spans="1:33" x14ac:dyDescent="0.25">
      <c r="O82" s="486" t="s">
        <v>41</v>
      </c>
      <c r="P82" s="487" t="s">
        <v>132</v>
      </c>
      <c r="Q82" s="487" t="s">
        <v>43</v>
      </c>
      <c r="R82" s="487"/>
      <c r="S82" s="487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</row>
    <row r="83" spans="1:33" x14ac:dyDescent="0.25">
      <c r="O83" s="488" t="s">
        <v>331</v>
      </c>
      <c r="P83" s="489">
        <v>88.945999999999998</v>
      </c>
      <c r="Q83" s="489">
        <v>97.840599999999995</v>
      </c>
      <c r="R83" s="489">
        <v>88.945999999999998</v>
      </c>
      <c r="S83" s="489">
        <v>97.840599999999995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</row>
    <row r="84" spans="1:33" x14ac:dyDescent="0.25">
      <c r="O84" s="488" t="s">
        <v>42</v>
      </c>
      <c r="P84" s="489">
        <v>88.945999999999998</v>
      </c>
      <c r="Q84" s="489">
        <v>97.840599999999995</v>
      </c>
      <c r="R84" s="489">
        <v>88.945999999999998</v>
      </c>
      <c r="S84" s="489">
        <v>97.840599999999995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</row>
    <row r="85" spans="1:33" x14ac:dyDescent="0.25"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</row>
    <row r="86" spans="1:33" ht="16.5" thickBot="1" x14ac:dyDescent="0.3">
      <c r="O86"/>
      <c r="P86"/>
      <c r="Q86"/>
      <c r="R86"/>
      <c r="S86"/>
      <c r="T86"/>
      <c r="U86"/>
      <c r="V86"/>
      <c r="W86"/>
    </row>
    <row r="87" spans="1:33" ht="19.5" thickBot="1" x14ac:dyDescent="0.3">
      <c r="A87" s="707" t="s">
        <v>685</v>
      </c>
      <c r="B87" s="708"/>
      <c r="C87" s="708"/>
      <c r="D87" s="708"/>
      <c r="E87" s="708"/>
      <c r="F87" s="708"/>
      <c r="G87" s="708"/>
      <c r="H87" s="359" t="str">
        <f>P87</f>
        <v>AY30107</v>
      </c>
      <c r="I87" s="359"/>
      <c r="J87" s="359"/>
      <c r="K87" s="360"/>
      <c r="O87" s="486" t="s">
        <v>128</v>
      </c>
      <c r="P87" s="487" t="s">
        <v>177</v>
      </c>
      <c r="Q87" s="319"/>
      <c r="R87" s="319"/>
      <c r="S87" s="319"/>
      <c r="T87" s="319"/>
      <c r="U87" s="319"/>
      <c r="V87" s="319"/>
      <c r="W87" s="319"/>
      <c r="X87" s="319"/>
      <c r="Y87" s="319"/>
      <c r="Z87" s="319"/>
      <c r="AA87" s="319"/>
      <c r="AB87"/>
      <c r="AC87"/>
      <c r="AD87"/>
      <c r="AE87"/>
      <c r="AF87"/>
      <c r="AG87"/>
    </row>
    <row r="88" spans="1:33" ht="37.5" x14ac:dyDescent="0.25">
      <c r="A88" s="321" t="s">
        <v>0</v>
      </c>
      <c r="B88" s="321" t="s">
        <v>13</v>
      </c>
      <c r="C88" s="321" t="s">
        <v>154</v>
      </c>
      <c r="D88" s="321" t="s">
        <v>544</v>
      </c>
      <c r="E88" s="340" t="s">
        <v>551</v>
      </c>
      <c r="F88" s="340" t="s">
        <v>552</v>
      </c>
      <c r="G88" s="321" t="s">
        <v>548</v>
      </c>
      <c r="H88" s="321" t="s">
        <v>34</v>
      </c>
      <c r="I88" s="321" t="s">
        <v>549</v>
      </c>
      <c r="J88" s="321" t="s">
        <v>547</v>
      </c>
      <c r="K88" s="321" t="s">
        <v>156</v>
      </c>
      <c r="O88" s="486" t="s">
        <v>13</v>
      </c>
      <c r="P88" s="487" t="s">
        <v>153</v>
      </c>
      <c r="Q88" s="319"/>
      <c r="R88" s="319"/>
      <c r="S88" s="319"/>
      <c r="T88" s="319"/>
      <c r="U88" s="319"/>
      <c r="V88" s="319"/>
      <c r="W88" s="319"/>
      <c r="X88" s="319"/>
      <c r="Y88" s="319"/>
      <c r="Z88" s="319"/>
      <c r="AA88" s="319"/>
      <c r="AB88"/>
      <c r="AC88"/>
      <c r="AD88"/>
      <c r="AE88"/>
      <c r="AF88"/>
      <c r="AG88"/>
    </row>
    <row r="89" spans="1:33" x14ac:dyDescent="0.25">
      <c r="A89" s="143">
        <v>1</v>
      </c>
      <c r="B89" s="143" t="s">
        <v>21</v>
      </c>
      <c r="C89" s="143">
        <v>10</v>
      </c>
      <c r="D89" s="143" t="s">
        <v>543</v>
      </c>
      <c r="E89" s="145">
        <f>GETPIVOTDATA("Sum of Total Weight 
(Kg)",$O$90,"Alt. Material","IS 2062 
E350 A/BR","IS Thk
(mm)",10)</f>
        <v>2</v>
      </c>
      <c r="F89" s="145">
        <f>GETPIVOTDATA("Sum of Gross Wt 
(kg)",$O$90,"Alt. Material","IS 2062 
E350 A/BR","IS Thk
(mm)",10)</f>
        <v>4.1130231999999998</v>
      </c>
      <c r="G89" s="145"/>
      <c r="H89" s="145"/>
      <c r="I89" s="145">
        <f t="shared" ref="I89:I91" si="12">IF(G89&gt;F89,G89,IF(G89&lt;F89,F89))</f>
        <v>4.1130231999999998</v>
      </c>
      <c r="J89" s="145">
        <v>90</v>
      </c>
      <c r="K89" s="145">
        <f t="shared" ref="K89" si="13">J89*I89</f>
        <v>370.17208799999997</v>
      </c>
      <c r="O89" s="319"/>
      <c r="P89" s="319"/>
      <c r="Q89" s="319"/>
      <c r="R89" s="319"/>
      <c r="S89" s="319"/>
      <c r="T89" s="319"/>
      <c r="U89" s="319"/>
      <c r="V89" s="319"/>
      <c r="W89" s="319"/>
      <c r="X89" s="319"/>
      <c r="Y89" s="319"/>
      <c r="Z89" s="319"/>
      <c r="AA89" s="319"/>
      <c r="AB89"/>
      <c r="AC89"/>
      <c r="AD89"/>
      <c r="AE89"/>
      <c r="AF89"/>
      <c r="AG89"/>
    </row>
    <row r="90" spans="1:33" x14ac:dyDescent="0.25">
      <c r="A90" s="143">
        <v>2</v>
      </c>
      <c r="B90" s="143" t="s">
        <v>21</v>
      </c>
      <c r="C90" s="143">
        <v>20</v>
      </c>
      <c r="D90" s="110" t="s">
        <v>542</v>
      </c>
      <c r="E90" s="145">
        <f>GETPIVOTDATA("Sum of Total Weight 
(Kg)",$O$90,"Alt. Material","IS 2062
 E250 A/BR","IS Thk
(mm)",20)</f>
        <v>28</v>
      </c>
      <c r="F90" s="145">
        <f>GETPIVOTDATA("Sum of Gross Wt 
(kg)",$O$90,"Alt. Material","IS 2062
 E250 A/BR","IS Thk
(mm)",20)</f>
        <v>38.745590400000005</v>
      </c>
      <c r="G90" s="145"/>
      <c r="H90" s="145"/>
      <c r="I90" s="145">
        <f t="shared" si="12"/>
        <v>38.745590400000005</v>
      </c>
      <c r="J90" s="145">
        <v>90</v>
      </c>
      <c r="K90" s="145">
        <f>J90*I90</f>
        <v>3487.1031360000006</v>
      </c>
      <c r="O90" s="487"/>
      <c r="P90" s="486" t="s">
        <v>129</v>
      </c>
      <c r="Q90" s="487"/>
      <c r="R90" s="487"/>
      <c r="S90" s="487"/>
      <c r="T90" s="487"/>
      <c r="U90" s="487"/>
      <c r="V90"/>
      <c r="W90"/>
      <c r="X90"/>
      <c r="Y90"/>
      <c r="Z90"/>
      <c r="AA90"/>
      <c r="AB90"/>
      <c r="AC90"/>
      <c r="AD90"/>
      <c r="AE90"/>
      <c r="AF90"/>
      <c r="AG90"/>
    </row>
    <row r="91" spans="1:33" x14ac:dyDescent="0.25">
      <c r="A91" s="143">
        <v>3</v>
      </c>
      <c r="B91" s="143" t="s">
        <v>21</v>
      </c>
      <c r="C91" s="143">
        <v>25</v>
      </c>
      <c r="D91" s="110" t="s">
        <v>542</v>
      </c>
      <c r="E91" s="145">
        <f>GETPIVOTDATA("Sum of Total Weight 
(Kg)",$O$90,"Alt. Material","IS 2062
 E250 A/BR","IS Thk
(mm)",25)</f>
        <v>50.5</v>
      </c>
      <c r="F91" s="145">
        <f>GETPIVOTDATA("Sum of Gross Wt 
(kg)",$O$90,"Alt. Material","IS 2062
 E250 A/BR","IS Thk
(mm)",25)</f>
        <v>94.584120124999998</v>
      </c>
      <c r="G91" s="320"/>
      <c r="H91" s="145"/>
      <c r="I91" s="145">
        <f t="shared" si="12"/>
        <v>94.584120124999998</v>
      </c>
      <c r="J91" s="145">
        <v>90</v>
      </c>
      <c r="K91" s="145">
        <f>J91*I91</f>
        <v>8512.5708112499997</v>
      </c>
      <c r="O91" s="487"/>
      <c r="P91" s="487" t="s">
        <v>573</v>
      </c>
      <c r="Q91" s="487"/>
      <c r="R91" s="487" t="s">
        <v>777</v>
      </c>
      <c r="S91" s="487"/>
      <c r="T91" s="487" t="s">
        <v>130</v>
      </c>
      <c r="U91" s="487" t="s">
        <v>131</v>
      </c>
      <c r="V91"/>
      <c r="W91"/>
      <c r="X91"/>
      <c r="Y91"/>
      <c r="Z91"/>
      <c r="AA91"/>
      <c r="AB91"/>
      <c r="AC91"/>
      <c r="AD91"/>
      <c r="AE91"/>
      <c r="AF91"/>
      <c r="AG91"/>
    </row>
    <row r="92" spans="1:33" ht="21" x14ac:dyDescent="0.25">
      <c r="A92" s="341"/>
      <c r="B92" s="341"/>
      <c r="C92" s="341" t="s">
        <v>45</v>
      </c>
      <c r="D92" s="341"/>
      <c r="E92" s="342">
        <f>SUM(E89:E91)</f>
        <v>80.5</v>
      </c>
      <c r="F92" s="342">
        <f>SUM(F89:F91)</f>
        <v>137.44273372500001</v>
      </c>
      <c r="G92" s="346"/>
      <c r="H92" s="346"/>
      <c r="I92" s="342">
        <f>SUM(I89:I91)</f>
        <v>137.44273372500001</v>
      </c>
      <c r="J92" s="145">
        <f>K92/I92</f>
        <v>90</v>
      </c>
      <c r="K92" s="342">
        <f>SUM(K89:K91)</f>
        <v>12369.846035250001</v>
      </c>
      <c r="O92" s="486" t="s">
        <v>41</v>
      </c>
      <c r="P92" s="487" t="s">
        <v>132</v>
      </c>
      <c r="Q92" s="487" t="s">
        <v>43</v>
      </c>
      <c r="R92" s="487" t="s">
        <v>132</v>
      </c>
      <c r="S92" s="487" t="s">
        <v>43</v>
      </c>
      <c r="T92" s="487"/>
      <c r="U92" s="487"/>
      <c r="V92"/>
      <c r="W92"/>
      <c r="X92"/>
      <c r="Y92"/>
      <c r="Z92"/>
      <c r="AA92"/>
      <c r="AB92"/>
      <c r="AC92"/>
      <c r="AD92"/>
      <c r="AE92"/>
      <c r="AF92"/>
      <c r="AG92"/>
    </row>
    <row r="93" spans="1:33" x14ac:dyDescent="0.25">
      <c r="O93" s="488">
        <v>10</v>
      </c>
      <c r="P93" s="489">
        <v>2</v>
      </c>
      <c r="Q93" s="489">
        <v>4.1130231999999998</v>
      </c>
      <c r="R93" s="489"/>
      <c r="S93" s="489"/>
      <c r="T93" s="489">
        <v>2</v>
      </c>
      <c r="U93" s="489">
        <v>4.1130231999999998</v>
      </c>
      <c r="V93"/>
      <c r="W93"/>
      <c r="X93"/>
      <c r="Y93"/>
      <c r="Z93"/>
      <c r="AA93"/>
      <c r="AB93"/>
      <c r="AC93"/>
      <c r="AD93"/>
      <c r="AE93"/>
      <c r="AF93"/>
      <c r="AG93"/>
    </row>
    <row r="94" spans="1:33" x14ac:dyDescent="0.25">
      <c r="O94" s="488">
        <v>20</v>
      </c>
      <c r="P94" s="489"/>
      <c r="Q94" s="489"/>
      <c r="R94" s="489">
        <v>28</v>
      </c>
      <c r="S94" s="489">
        <v>38.745590400000005</v>
      </c>
      <c r="T94" s="489">
        <v>28</v>
      </c>
      <c r="U94" s="489">
        <v>38.745590400000005</v>
      </c>
      <c r="V94"/>
      <c r="W94"/>
      <c r="X94"/>
      <c r="Y94"/>
      <c r="Z94"/>
      <c r="AA94"/>
      <c r="AB94"/>
      <c r="AC94"/>
      <c r="AD94"/>
      <c r="AE94"/>
      <c r="AF94"/>
      <c r="AG94"/>
    </row>
    <row r="95" spans="1:33" x14ac:dyDescent="0.25">
      <c r="O95" s="488">
        <v>25</v>
      </c>
      <c r="P95" s="489"/>
      <c r="Q95" s="489"/>
      <c r="R95" s="489">
        <v>50.5</v>
      </c>
      <c r="S95" s="489">
        <v>94.584120124999998</v>
      </c>
      <c r="T95" s="489">
        <v>50.5</v>
      </c>
      <c r="U95" s="489">
        <v>94.584120124999998</v>
      </c>
    </row>
    <row r="96" spans="1:33" x14ac:dyDescent="0.25">
      <c r="O96" s="488" t="s">
        <v>42</v>
      </c>
      <c r="P96" s="489">
        <v>2</v>
      </c>
      <c r="Q96" s="489">
        <v>4.1130231999999998</v>
      </c>
      <c r="R96" s="489">
        <v>78.5</v>
      </c>
      <c r="S96" s="489">
        <v>133.329710525</v>
      </c>
      <c r="T96" s="489">
        <v>80.5</v>
      </c>
      <c r="U96" s="489">
        <v>137.44273372500001</v>
      </c>
    </row>
    <row r="97" spans="1:33" ht="16.5" thickBot="1" x14ac:dyDescent="0.3"/>
    <row r="98" spans="1:33" ht="19.5" thickBot="1" x14ac:dyDescent="0.3">
      <c r="A98" s="707" t="s">
        <v>685</v>
      </c>
      <c r="B98" s="708"/>
      <c r="C98" s="708"/>
      <c r="D98" s="708"/>
      <c r="E98" s="708"/>
      <c r="F98" s="708"/>
      <c r="G98" s="708"/>
      <c r="H98" s="359" t="str">
        <f>P98</f>
        <v>AY30133</v>
      </c>
      <c r="I98" s="359"/>
      <c r="J98" s="359"/>
      <c r="K98" s="360"/>
      <c r="O98" s="486" t="s">
        <v>128</v>
      </c>
      <c r="P98" s="487" t="s">
        <v>181</v>
      </c>
      <c r="Q98" s="319"/>
      <c r="R98" s="319"/>
      <c r="S98" s="319"/>
      <c r="T98" s="319"/>
      <c r="U98" s="319"/>
      <c r="V98" s="319"/>
      <c r="W98" s="319"/>
      <c r="X98" s="319"/>
      <c r="Y98" s="319"/>
      <c r="Z98" s="319"/>
      <c r="AA98" s="319"/>
      <c r="AB98"/>
      <c r="AC98"/>
      <c r="AD98"/>
      <c r="AE98"/>
      <c r="AF98"/>
      <c r="AG98"/>
    </row>
    <row r="99" spans="1:33" ht="37.5" x14ac:dyDescent="0.25">
      <c r="A99" s="321" t="s">
        <v>0</v>
      </c>
      <c r="B99" s="321" t="s">
        <v>13</v>
      </c>
      <c r="C99" s="321" t="s">
        <v>154</v>
      </c>
      <c r="D99" s="321" t="s">
        <v>544</v>
      </c>
      <c r="E99" s="340" t="s">
        <v>551</v>
      </c>
      <c r="F99" s="340" t="s">
        <v>552</v>
      </c>
      <c r="G99" s="321" t="s">
        <v>548</v>
      </c>
      <c r="H99" s="321" t="s">
        <v>34</v>
      </c>
      <c r="I99" s="321" t="s">
        <v>549</v>
      </c>
      <c r="J99" s="321" t="s">
        <v>547</v>
      </c>
      <c r="K99" s="321" t="s">
        <v>156</v>
      </c>
      <c r="O99" s="486" t="s">
        <v>13</v>
      </c>
      <c r="P99" s="487" t="s">
        <v>153</v>
      </c>
      <c r="Q99" s="319"/>
      <c r="R99" s="319"/>
      <c r="S99" s="319"/>
      <c r="T99" s="319"/>
      <c r="U99" s="319"/>
      <c r="V99" s="319"/>
      <c r="W99" s="319"/>
      <c r="X99" s="319"/>
      <c r="Y99" s="319"/>
      <c r="Z99" s="319"/>
      <c r="AA99" s="319"/>
      <c r="AB99"/>
      <c r="AC99"/>
      <c r="AD99"/>
      <c r="AE99"/>
      <c r="AF99"/>
      <c r="AG99"/>
    </row>
    <row r="100" spans="1:33" ht="30.75" customHeight="1" x14ac:dyDescent="0.25">
      <c r="A100" s="143">
        <v>1</v>
      </c>
      <c r="B100" s="143" t="s">
        <v>329</v>
      </c>
      <c r="C100" s="143" t="s">
        <v>500</v>
      </c>
      <c r="D100" s="143" t="s">
        <v>540</v>
      </c>
      <c r="E100" s="145">
        <f>GETPIVOTDATA("Sum of Total Weight 
(Kg)",$O$101,"Alt. Material","YST 310","IS Thk
(mm)","50x50x 5thk")</f>
        <v>124.57339999999999</v>
      </c>
      <c r="F100" s="145">
        <f>GETPIVOTDATA("Sum of Gross Wt 
(kg)",$O$101,"Alt. Material","YST 310","IS Thk
(mm)","50x50x 5thk")</f>
        <v>137.03074000000001</v>
      </c>
      <c r="G100" s="145">
        <f>6.56*6</f>
        <v>39.36</v>
      </c>
      <c r="H100" s="145"/>
      <c r="I100" s="145">
        <f t="shared" ref="I100" si="14">IF(G100&gt;F100,G100,IF(G100&lt;F100,F100))</f>
        <v>137.03074000000001</v>
      </c>
      <c r="J100" s="145">
        <v>110</v>
      </c>
      <c r="K100" s="145">
        <f t="shared" ref="K100" si="15">J100*I100</f>
        <v>15073.3814</v>
      </c>
      <c r="O100" s="319"/>
      <c r="P100" s="319"/>
      <c r="Q100" s="319"/>
      <c r="R100" s="319"/>
      <c r="S100" s="319"/>
      <c r="T100" s="319"/>
      <c r="U100" s="319"/>
      <c r="V100" s="319"/>
      <c r="W100" s="319"/>
      <c r="X100" s="319"/>
      <c r="Y100" s="319"/>
      <c r="Z100" s="319"/>
      <c r="AA100" s="319"/>
      <c r="AB100"/>
      <c r="AC100"/>
      <c r="AD100"/>
      <c r="AE100"/>
      <c r="AF100"/>
      <c r="AG100"/>
    </row>
    <row r="101" spans="1:33" ht="30.75" customHeight="1" x14ac:dyDescent="0.25">
      <c r="A101" s="341"/>
      <c r="B101" s="341"/>
      <c r="C101" s="341" t="s">
        <v>45</v>
      </c>
      <c r="D101" s="341"/>
      <c r="E101" s="342">
        <f>SUM(E100:E100)</f>
        <v>124.57339999999999</v>
      </c>
      <c r="F101" s="342">
        <f>SUM(F100:F100)</f>
        <v>137.03074000000001</v>
      </c>
      <c r="G101" s="346"/>
      <c r="H101" s="346"/>
      <c r="I101" s="342">
        <f>SUM(I100:I100)</f>
        <v>137.03074000000001</v>
      </c>
      <c r="J101" s="145">
        <f>K101/I101</f>
        <v>110</v>
      </c>
      <c r="K101" s="342">
        <f>SUM(K100:K100)</f>
        <v>15073.3814</v>
      </c>
      <c r="O101" s="487"/>
      <c r="P101" s="486" t="s">
        <v>129</v>
      </c>
      <c r="Q101" s="487"/>
      <c r="R101" s="487"/>
      <c r="S101" s="487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</row>
    <row r="102" spans="1:33" x14ac:dyDescent="0.25">
      <c r="O102" s="487"/>
      <c r="P102" s="487" t="s">
        <v>540</v>
      </c>
      <c r="Q102" s="487"/>
      <c r="R102" s="487" t="s">
        <v>130</v>
      </c>
      <c r="S102" s="487" t="s">
        <v>131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</row>
    <row r="103" spans="1:33" x14ac:dyDescent="0.25">
      <c r="O103" s="486" t="s">
        <v>41</v>
      </c>
      <c r="P103" s="487" t="s">
        <v>132</v>
      </c>
      <c r="Q103" s="487" t="s">
        <v>43</v>
      </c>
      <c r="R103" s="487"/>
      <c r="S103" s="487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</row>
    <row r="104" spans="1:33" x14ac:dyDescent="0.25">
      <c r="O104" s="488" t="s">
        <v>500</v>
      </c>
      <c r="P104" s="489">
        <v>124.57339999999999</v>
      </c>
      <c r="Q104" s="489">
        <v>137.03074000000001</v>
      </c>
      <c r="R104" s="489">
        <v>124.57339999999999</v>
      </c>
      <c r="S104" s="489">
        <v>137.03074000000001</v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</row>
    <row r="105" spans="1:33" x14ac:dyDescent="0.25">
      <c r="O105" s="488" t="s">
        <v>42</v>
      </c>
      <c r="P105" s="489">
        <v>124.57339999999999</v>
      </c>
      <c r="Q105" s="489">
        <v>137.03074000000001</v>
      </c>
      <c r="R105" s="489">
        <v>124.57339999999999</v>
      </c>
      <c r="S105" s="489">
        <v>137.03074000000001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</row>
    <row r="106" spans="1:33" x14ac:dyDescent="0.25">
      <c r="O106"/>
      <c r="P106"/>
      <c r="Q106"/>
      <c r="R106"/>
      <c r="S106"/>
      <c r="T106"/>
      <c r="U106"/>
    </row>
    <row r="107" spans="1:33" ht="16.5" thickBot="1" x14ac:dyDescent="0.3">
      <c r="O107"/>
      <c r="P107"/>
      <c r="Q107"/>
      <c r="R107"/>
      <c r="S107"/>
      <c r="T107"/>
      <c r="U107"/>
    </row>
    <row r="108" spans="1:33" ht="19.5" thickBot="1" x14ac:dyDescent="0.3">
      <c r="A108" s="707" t="s">
        <v>685</v>
      </c>
      <c r="B108" s="708"/>
      <c r="C108" s="708"/>
      <c r="D108" s="708"/>
      <c r="E108" s="708"/>
      <c r="F108" s="708"/>
      <c r="G108" s="708"/>
      <c r="H108" s="359" t="str">
        <f>P108</f>
        <v>AY30134</v>
      </c>
      <c r="I108" s="359"/>
      <c r="J108" s="359"/>
      <c r="K108" s="360"/>
      <c r="O108" s="486" t="s">
        <v>128</v>
      </c>
      <c r="P108" s="487" t="s">
        <v>183</v>
      </c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319"/>
      <c r="AB108"/>
      <c r="AC108"/>
      <c r="AD108"/>
      <c r="AE108"/>
      <c r="AF108"/>
      <c r="AG108"/>
    </row>
    <row r="109" spans="1:33" ht="38.25" thickBot="1" x14ac:dyDescent="0.3">
      <c r="A109" s="383" t="s">
        <v>0</v>
      </c>
      <c r="B109" s="383" t="s">
        <v>13</v>
      </c>
      <c r="C109" s="383" t="s">
        <v>154</v>
      </c>
      <c r="D109" s="383" t="s">
        <v>544</v>
      </c>
      <c r="E109" s="384" t="s">
        <v>551</v>
      </c>
      <c r="F109" s="384" t="s">
        <v>552</v>
      </c>
      <c r="G109" s="383" t="s">
        <v>548</v>
      </c>
      <c r="H109" s="383" t="s">
        <v>34</v>
      </c>
      <c r="I109" s="383" t="s">
        <v>549</v>
      </c>
      <c r="J109" s="383" t="s">
        <v>547</v>
      </c>
      <c r="K109" s="383" t="s">
        <v>156</v>
      </c>
      <c r="O109" s="486" t="s">
        <v>13</v>
      </c>
      <c r="P109" s="487" t="s">
        <v>153</v>
      </c>
      <c r="Q109" s="319"/>
      <c r="R109" s="319"/>
      <c r="S109" s="319"/>
      <c r="T109" s="319"/>
      <c r="U109" s="319"/>
      <c r="V109" s="319"/>
      <c r="W109" s="319"/>
      <c r="X109" s="319"/>
      <c r="Y109" s="319"/>
      <c r="Z109" s="319"/>
      <c r="AA109" s="319"/>
      <c r="AB109"/>
      <c r="AC109"/>
      <c r="AD109"/>
      <c r="AE109"/>
      <c r="AF109"/>
      <c r="AG109"/>
    </row>
    <row r="110" spans="1:33" ht="30.75" customHeight="1" x14ac:dyDescent="0.25">
      <c r="A110" s="385">
        <v>1</v>
      </c>
      <c r="B110" s="386" t="s">
        <v>21</v>
      </c>
      <c r="C110" s="386">
        <v>12</v>
      </c>
      <c r="D110" s="386" t="s">
        <v>543</v>
      </c>
      <c r="E110" s="387">
        <f>GETPIVOTDATA("Sum of Total Weight 
(Kg)",$O$111,"Alt. Material","IS 2062 
E350 A/BR","IS Thk
(mm)",12)</f>
        <v>96.25744358</v>
      </c>
      <c r="F110" s="387">
        <f>GETPIVOTDATA("Sum of Gross Wt 
(kg)",$O$111,"Alt. Material","IS 2062 
E350 A/BR","IS Thk
(mm)",12)</f>
        <v>153.65011926</v>
      </c>
      <c r="G110" s="387"/>
      <c r="H110" s="387"/>
      <c r="I110" s="387">
        <f t="shared" ref="I110:I113" si="16">IF(G110&gt;F110,G110,IF(G110&lt;F110,F110))</f>
        <v>153.65011926</v>
      </c>
      <c r="J110" s="387">
        <v>90</v>
      </c>
      <c r="K110" s="388">
        <f t="shared" ref="K110:K113" si="17">J110*I110</f>
        <v>13828.5107334</v>
      </c>
      <c r="O110" s="319"/>
      <c r="P110" s="319"/>
      <c r="Q110" s="319"/>
      <c r="R110" s="319"/>
      <c r="S110" s="319"/>
      <c r="T110" s="319"/>
      <c r="U110" s="319"/>
      <c r="V110" s="319"/>
      <c r="W110" s="319"/>
      <c r="X110" s="319"/>
      <c r="Y110" s="319"/>
      <c r="Z110" s="319"/>
      <c r="AA110" s="319"/>
      <c r="AB110"/>
      <c r="AC110"/>
      <c r="AD110"/>
      <c r="AE110"/>
      <c r="AF110"/>
      <c r="AG110"/>
    </row>
    <row r="111" spans="1:33" ht="30.75" customHeight="1" x14ac:dyDescent="0.25">
      <c r="A111" s="369">
        <v>2</v>
      </c>
      <c r="B111" s="143" t="s">
        <v>21</v>
      </c>
      <c r="C111" s="143">
        <v>20</v>
      </c>
      <c r="D111" s="143" t="s">
        <v>543</v>
      </c>
      <c r="E111" s="145">
        <f>GETPIVOTDATA("Sum of Total Weight 
(Kg)",$O$111,"Alt. Material","IS 2062 
E350 A/BR","IS Thk
(mm)",20)</f>
        <v>168.89231039999999</v>
      </c>
      <c r="F111" s="145">
        <f>GETPIVOTDATA("Sum of Gross Wt 
(kg)",$O$111,"Alt. Material","IS 2062 
E350 A/BR","IS Thk
(mm)",20)</f>
        <v>387.04487800000004</v>
      </c>
      <c r="G111" s="145"/>
      <c r="H111" s="145"/>
      <c r="I111" s="145">
        <f t="shared" si="16"/>
        <v>387.04487800000004</v>
      </c>
      <c r="J111" s="145">
        <v>90</v>
      </c>
      <c r="K111" s="370">
        <f t="shared" si="17"/>
        <v>34834.039020000004</v>
      </c>
      <c r="O111" s="487"/>
      <c r="P111" s="486" t="s">
        <v>129</v>
      </c>
      <c r="Q111" s="487"/>
      <c r="R111" s="487"/>
      <c r="S111" s="487"/>
      <c r="T111" s="487"/>
      <c r="U111" s="487"/>
      <c r="V111" s="487"/>
      <c r="W111" s="487"/>
      <c r="X111"/>
      <c r="Y111"/>
      <c r="Z111"/>
      <c r="AA111"/>
      <c r="AB111"/>
      <c r="AC111"/>
      <c r="AD111"/>
      <c r="AE111"/>
      <c r="AF111"/>
      <c r="AG111"/>
    </row>
    <row r="112" spans="1:33" ht="22.5" customHeight="1" x14ac:dyDescent="0.25">
      <c r="A112" s="369">
        <v>3</v>
      </c>
      <c r="B112" s="143" t="s">
        <v>21</v>
      </c>
      <c r="C112" s="143">
        <v>20</v>
      </c>
      <c r="D112" s="143" t="s">
        <v>542</v>
      </c>
      <c r="E112" s="145">
        <f>GETPIVOTDATA("Sum of Total Weight 
(Kg)",$O$111,"Alt. Material","IS 2062
 E250 A/BR","IS Thk
(mm)",20)</f>
        <v>42</v>
      </c>
      <c r="F112" s="145">
        <f>GETPIVOTDATA("Sum of Gross Wt 
(kg)",$O$111,"Alt. Material","IS 2062
 E250 A/BR","IS Thk
(mm)",20)</f>
        <v>63.824739000000001</v>
      </c>
      <c r="G112" s="145"/>
      <c r="H112" s="145"/>
      <c r="I112" s="145">
        <f t="shared" si="16"/>
        <v>63.824739000000001</v>
      </c>
      <c r="J112" s="145">
        <v>90</v>
      </c>
      <c r="K112" s="370">
        <f t="shared" si="17"/>
        <v>5744.2265100000004</v>
      </c>
      <c r="O112" s="487"/>
      <c r="P112" s="487" t="s">
        <v>271</v>
      </c>
      <c r="Q112" s="487"/>
      <c r="R112" s="487" t="s">
        <v>573</v>
      </c>
      <c r="S112" s="487"/>
      <c r="T112" s="487" t="s">
        <v>777</v>
      </c>
      <c r="U112" s="487"/>
      <c r="V112" s="487" t="s">
        <v>130</v>
      </c>
      <c r="W112" s="487" t="s">
        <v>131</v>
      </c>
      <c r="X112"/>
      <c r="Y112"/>
      <c r="Z112"/>
      <c r="AA112"/>
      <c r="AB112"/>
      <c r="AC112"/>
      <c r="AD112"/>
      <c r="AE112"/>
      <c r="AF112"/>
      <c r="AG112"/>
    </row>
    <row r="113" spans="1:33" ht="22.5" customHeight="1" x14ac:dyDescent="0.25">
      <c r="A113" s="369">
        <v>4</v>
      </c>
      <c r="B113" s="143" t="s">
        <v>21</v>
      </c>
      <c r="C113" s="143">
        <v>25</v>
      </c>
      <c r="D113" s="143" t="s">
        <v>542</v>
      </c>
      <c r="E113" s="145">
        <f>GETPIVOTDATA("Sum of Total Weight 
(Kg)",$O$111,"Alt. Material","IS 2062
 E250 A/BR","IS Thk
(mm)",25)</f>
        <v>4.5999999999999996</v>
      </c>
      <c r="F113" s="145">
        <f>GETPIVOTDATA("Sum of Gross Wt 
(kg)",$O$111,"Alt. Material","IS 2062
 E250 A/BR","IS Thk
(mm)",25)</f>
        <v>7.7870429999999997</v>
      </c>
      <c r="G113" s="145"/>
      <c r="H113" s="145"/>
      <c r="I113" s="145">
        <f t="shared" si="16"/>
        <v>7.7870429999999997</v>
      </c>
      <c r="J113" s="145">
        <v>90</v>
      </c>
      <c r="K113" s="370">
        <f t="shared" si="17"/>
        <v>700.83386999999993</v>
      </c>
      <c r="O113" s="486" t="s">
        <v>41</v>
      </c>
      <c r="P113" s="487" t="s">
        <v>132</v>
      </c>
      <c r="Q113" s="487" t="s">
        <v>43</v>
      </c>
      <c r="R113" s="487" t="s">
        <v>132</v>
      </c>
      <c r="S113" s="487" t="s">
        <v>43</v>
      </c>
      <c r="T113" s="487" t="s">
        <v>132</v>
      </c>
      <c r="U113" s="487" t="s">
        <v>43</v>
      </c>
      <c r="V113" s="487"/>
      <c r="W113" s="487"/>
      <c r="X113"/>
      <c r="Y113"/>
      <c r="Z113"/>
      <c r="AA113"/>
      <c r="AB113"/>
      <c r="AC113"/>
      <c r="AD113"/>
      <c r="AE113"/>
      <c r="AF113"/>
      <c r="AG113"/>
    </row>
    <row r="114" spans="1:33" ht="34.5" customHeight="1" x14ac:dyDescent="0.25">
      <c r="A114" s="369">
        <v>5</v>
      </c>
      <c r="B114" s="143" t="s">
        <v>286</v>
      </c>
      <c r="C114" s="143" t="s">
        <v>299</v>
      </c>
      <c r="D114" s="143" t="s">
        <v>271</v>
      </c>
      <c r="E114" s="145">
        <f>GETPIVOTDATA("Sum of Total Weight 
(Kg)",$O$111,"Alt. Material","ASTM A106 GR.B","IS Thk
(mm)","Dia 168.28 x 10.97thk")</f>
        <v>58.4</v>
      </c>
      <c r="F114" s="145">
        <f>GETPIVOTDATA("Sum of Gross Wt 
(kg)",$O$111,"Alt. Material","ASTM A106 GR.B","IS Thk
(mm)","Dia 168.28 x 10.97thk")</f>
        <v>64.240000000000009</v>
      </c>
      <c r="G114" s="145">
        <f>42.56*6</f>
        <v>255.36</v>
      </c>
      <c r="H114" s="145"/>
      <c r="I114" s="145">
        <f t="shared" ref="I114:I115" si="18">IF(G114&gt;F114,G114,IF(G114&lt;F114,F114))</f>
        <v>255.36</v>
      </c>
      <c r="J114" s="145">
        <v>110</v>
      </c>
      <c r="K114" s="370">
        <f t="shared" ref="K114" si="19">J114*I114</f>
        <v>28089.600000000002</v>
      </c>
      <c r="O114" s="488">
        <v>12</v>
      </c>
      <c r="P114" s="489"/>
      <c r="Q114" s="489"/>
      <c r="R114" s="489">
        <v>96.25744358</v>
      </c>
      <c r="S114" s="489">
        <v>153.65011926</v>
      </c>
      <c r="T114" s="489"/>
      <c r="U114" s="489"/>
      <c r="V114" s="489">
        <v>96.25744358</v>
      </c>
      <c r="W114" s="489">
        <v>153.65011926</v>
      </c>
      <c r="X114"/>
      <c r="Y114"/>
      <c r="Z114"/>
      <c r="AA114"/>
      <c r="AB114"/>
      <c r="AC114"/>
      <c r="AD114"/>
      <c r="AE114"/>
      <c r="AF114"/>
      <c r="AG114"/>
    </row>
    <row r="115" spans="1:33" ht="39" customHeight="1" x14ac:dyDescent="0.25">
      <c r="A115" s="369">
        <v>6</v>
      </c>
      <c r="B115" s="143" t="s">
        <v>286</v>
      </c>
      <c r="C115" s="143" t="s">
        <v>377</v>
      </c>
      <c r="D115" s="143" t="s">
        <v>271</v>
      </c>
      <c r="E115" s="145">
        <f>GETPIVOTDATA("Sum of Total Weight 
(Kg)",$O$111,"Alt. Material","ASTM A106 GR.B","IS Thk
(mm)","Dia 60.3 x 3.91 thk")</f>
        <v>0.27635200000000004</v>
      </c>
      <c r="F115" s="145">
        <f>GETPIVOTDATA("Sum of Gross Wt 
(kg)",$O$111,"Alt. Material","ASTM A106 GR.B","IS Thk
(mm)","Dia 60.3 x 3.91 thk")</f>
        <v>0.30398720000000007</v>
      </c>
      <c r="G115" s="145">
        <f>5.44*6</f>
        <v>32.64</v>
      </c>
      <c r="H115" s="145"/>
      <c r="I115" s="145">
        <f t="shared" si="18"/>
        <v>32.64</v>
      </c>
      <c r="J115" s="145">
        <v>110</v>
      </c>
      <c r="K115" s="370">
        <f t="shared" ref="K115" si="20">J115*I115</f>
        <v>3590.4</v>
      </c>
      <c r="O115" s="488">
        <v>20</v>
      </c>
      <c r="P115" s="489"/>
      <c r="Q115" s="489"/>
      <c r="R115" s="489">
        <v>168.89231039999999</v>
      </c>
      <c r="S115" s="489">
        <v>387.04487800000004</v>
      </c>
      <c r="T115" s="489">
        <v>42</v>
      </c>
      <c r="U115" s="489">
        <v>63.824739000000001</v>
      </c>
      <c r="V115" s="489">
        <v>210.89231039999999</v>
      </c>
      <c r="W115" s="489">
        <v>450.86961700000006</v>
      </c>
      <c r="X115"/>
      <c r="Y115"/>
      <c r="Z115"/>
      <c r="AA115"/>
      <c r="AB115"/>
      <c r="AC115"/>
      <c r="AD115"/>
      <c r="AE115"/>
      <c r="AF115"/>
      <c r="AG115"/>
    </row>
    <row r="116" spans="1:33" ht="36" customHeight="1" thickBot="1" x14ac:dyDescent="0.3">
      <c r="A116" s="371"/>
      <c r="B116" s="372"/>
      <c r="C116" s="372" t="s">
        <v>45</v>
      </c>
      <c r="D116" s="372"/>
      <c r="E116" s="373">
        <f>SUM(E110:E115)</f>
        <v>370.42610597999999</v>
      </c>
      <c r="F116" s="373">
        <f>SUM(F110:F115)</f>
        <v>676.85076646000016</v>
      </c>
      <c r="G116" s="374"/>
      <c r="H116" s="374"/>
      <c r="I116" s="373">
        <f>SUM(I110:I115)</f>
        <v>900.3067792600001</v>
      </c>
      <c r="J116" s="375">
        <f>K116/I116</f>
        <v>96.397819201955116</v>
      </c>
      <c r="K116" s="376">
        <f>SUM(K110:K115)</f>
        <v>86787.610133399998</v>
      </c>
      <c r="O116" s="488">
        <v>25</v>
      </c>
      <c r="P116" s="489"/>
      <c r="Q116" s="489"/>
      <c r="R116" s="489"/>
      <c r="S116" s="489"/>
      <c r="T116" s="489">
        <v>4.5999999999999996</v>
      </c>
      <c r="U116" s="489">
        <v>7.7870429999999997</v>
      </c>
      <c r="V116" s="489">
        <v>4.5999999999999996</v>
      </c>
      <c r="W116" s="489">
        <v>7.7870429999999997</v>
      </c>
    </row>
    <row r="117" spans="1:33" x14ac:dyDescent="0.25">
      <c r="O117" s="488" t="s">
        <v>299</v>
      </c>
      <c r="P117" s="489">
        <v>58.4</v>
      </c>
      <c r="Q117" s="489">
        <v>64.240000000000009</v>
      </c>
      <c r="R117" s="489"/>
      <c r="S117" s="489"/>
      <c r="T117" s="489"/>
      <c r="U117" s="489"/>
      <c r="V117" s="489">
        <v>58.4</v>
      </c>
      <c r="W117" s="489">
        <v>64.240000000000009</v>
      </c>
    </row>
    <row r="118" spans="1:33" x14ac:dyDescent="0.25">
      <c r="O118" s="488" t="s">
        <v>377</v>
      </c>
      <c r="P118" s="489">
        <v>0.27635200000000004</v>
      </c>
      <c r="Q118" s="489">
        <v>0.30398720000000007</v>
      </c>
      <c r="R118" s="489"/>
      <c r="S118" s="489"/>
      <c r="T118" s="489"/>
      <c r="U118" s="489"/>
      <c r="V118" s="489">
        <v>0.27635200000000004</v>
      </c>
      <c r="W118" s="489">
        <v>0.30398720000000007</v>
      </c>
    </row>
    <row r="119" spans="1:33" x14ac:dyDescent="0.25">
      <c r="O119" s="488" t="s">
        <v>42</v>
      </c>
      <c r="P119" s="489">
        <v>58.676352000000001</v>
      </c>
      <c r="Q119" s="489">
        <v>64.543987200000004</v>
      </c>
      <c r="R119" s="489">
        <v>265.14975398000001</v>
      </c>
      <c r="S119" s="489">
        <v>540.69499726000004</v>
      </c>
      <c r="T119" s="489">
        <v>46.6</v>
      </c>
      <c r="U119" s="489">
        <v>71.611782000000005</v>
      </c>
      <c r="V119" s="489">
        <v>370.42610597999999</v>
      </c>
      <c r="W119" s="489">
        <v>676.85076646000016</v>
      </c>
    </row>
    <row r="122" spans="1:33" ht="16.5" thickBot="1" x14ac:dyDescent="0.3"/>
    <row r="123" spans="1:33" ht="19.5" thickBot="1" x14ac:dyDescent="0.3">
      <c r="A123" s="707" t="s">
        <v>685</v>
      </c>
      <c r="B123" s="708"/>
      <c r="C123" s="708"/>
      <c r="D123" s="708"/>
      <c r="E123" s="708"/>
      <c r="F123" s="708"/>
      <c r="G123" s="708"/>
      <c r="H123" s="359" t="str">
        <f>P123</f>
        <v>AY30144</v>
      </c>
      <c r="I123" s="359"/>
      <c r="J123" s="359"/>
      <c r="K123" s="360"/>
      <c r="O123" s="486" t="s">
        <v>128</v>
      </c>
      <c r="P123" s="487" t="s">
        <v>185</v>
      </c>
      <c r="Q123" s="319"/>
      <c r="R123" s="319"/>
      <c r="S123" s="319"/>
      <c r="T123" s="319"/>
      <c r="U123" s="319"/>
      <c r="V123" s="319"/>
      <c r="W123" s="319"/>
      <c r="X123" s="319"/>
      <c r="Y123" s="319"/>
      <c r="Z123" s="319"/>
      <c r="AA123" s="319"/>
      <c r="AB123"/>
      <c r="AC123"/>
      <c r="AD123"/>
      <c r="AE123"/>
      <c r="AF123"/>
      <c r="AG123"/>
    </row>
    <row r="124" spans="1:33" ht="37.5" x14ac:dyDescent="0.25">
      <c r="A124" s="383" t="s">
        <v>0</v>
      </c>
      <c r="B124" s="383" t="s">
        <v>13</v>
      </c>
      <c r="C124" s="383" t="s">
        <v>154</v>
      </c>
      <c r="D124" s="383" t="s">
        <v>544</v>
      </c>
      <c r="E124" s="384" t="s">
        <v>551</v>
      </c>
      <c r="F124" s="384" t="s">
        <v>552</v>
      </c>
      <c r="G124" s="383" t="s">
        <v>548</v>
      </c>
      <c r="H124" s="383" t="s">
        <v>34</v>
      </c>
      <c r="I124" s="383" t="s">
        <v>549</v>
      </c>
      <c r="J124" s="383" t="s">
        <v>547</v>
      </c>
      <c r="K124" s="383" t="s">
        <v>156</v>
      </c>
      <c r="O124" s="486" t="s">
        <v>13</v>
      </c>
      <c r="P124" s="487" t="s">
        <v>153</v>
      </c>
      <c r="Q124" s="319"/>
      <c r="R124" s="319"/>
      <c r="S124" s="319"/>
      <c r="T124" s="319"/>
      <c r="U124" s="319"/>
      <c r="V124" s="319"/>
      <c r="W124" s="319"/>
      <c r="X124" s="319"/>
      <c r="Y124" s="319"/>
      <c r="Z124" s="319"/>
      <c r="AA124" s="319"/>
      <c r="AB124"/>
      <c r="AC124"/>
      <c r="AD124"/>
      <c r="AE124"/>
      <c r="AF124"/>
      <c r="AG124"/>
    </row>
    <row r="125" spans="1:33" ht="27.75" customHeight="1" x14ac:dyDescent="0.25">
      <c r="A125" s="143">
        <v>1</v>
      </c>
      <c r="B125" s="143" t="s">
        <v>21</v>
      </c>
      <c r="C125" s="143">
        <v>6</v>
      </c>
      <c r="D125" s="143" t="s">
        <v>542</v>
      </c>
      <c r="E125" s="145">
        <f>GETPIVOTDATA("Sum of Total Weight 
(Kg)",$O$126,"Alt. Material","IS 2062
 E250 A/BR","IS Thk
(mm)",6)</f>
        <v>1.173732</v>
      </c>
      <c r="F125" s="145">
        <f>GETPIVOTDATA("Sum of Gross Wt 
(kg)",$O$126,"Alt. Material","IS 2062
 E250 A/BR","IS Thk
(mm)",6)</f>
        <v>1.2911052000000001</v>
      </c>
      <c r="G125" s="145"/>
      <c r="H125" s="145"/>
      <c r="I125" s="145">
        <f t="shared" ref="I125:I131" si="21">IF(G125&gt;F125,G125,IF(G125&lt;F125,F125))</f>
        <v>1.2911052000000001</v>
      </c>
      <c r="J125" s="145">
        <v>100</v>
      </c>
      <c r="K125" s="145">
        <f t="shared" ref="K125:K130" si="22">J125*I125</f>
        <v>129.11052000000001</v>
      </c>
      <c r="O125" s="319"/>
      <c r="P125" s="319"/>
      <c r="Q125" s="319"/>
      <c r="R125" s="319"/>
      <c r="S125" s="319"/>
      <c r="T125" s="319"/>
      <c r="U125" s="319"/>
      <c r="V125" s="319"/>
      <c r="W125" s="319"/>
      <c r="X125" s="319"/>
      <c r="Y125" s="319"/>
      <c r="Z125" s="319"/>
      <c r="AA125" s="319"/>
      <c r="AB125"/>
      <c r="AC125"/>
      <c r="AD125"/>
      <c r="AE125"/>
      <c r="AF125"/>
      <c r="AG125"/>
    </row>
    <row r="126" spans="1:33" ht="27.75" customHeight="1" x14ac:dyDescent="0.25">
      <c r="A126" s="143">
        <v>2</v>
      </c>
      <c r="B126" s="143" t="s">
        <v>286</v>
      </c>
      <c r="C126" s="143">
        <v>25</v>
      </c>
      <c r="D126" s="143" t="s">
        <v>542</v>
      </c>
      <c r="E126" s="145">
        <f>GETPIVOTDATA("Sum of Total Weight 
(Kg)",$O$126,"Alt. Material","IS 2062
 E250 A/BR","IS Thk
(mm)",25)</f>
        <v>104</v>
      </c>
      <c r="F126" s="145">
        <f>GETPIVOTDATA("Sum of Gross Wt 
(kg)",$O$126,"Alt. Material","IS 2062
 E250 A/BR","IS Thk
(mm)",25)</f>
        <v>154.3938</v>
      </c>
      <c r="G126" s="145"/>
      <c r="H126" s="145"/>
      <c r="I126" s="145">
        <f>IF(G126&gt;F126,G126,IF(G126&lt;F126,F126))</f>
        <v>154.3938</v>
      </c>
      <c r="J126" s="145">
        <v>90</v>
      </c>
      <c r="K126" s="145">
        <f>J126*I126</f>
        <v>13895.441999999999</v>
      </c>
      <c r="O126" s="487"/>
      <c r="P126" s="486" t="s">
        <v>129</v>
      </c>
      <c r="Q126" s="487"/>
      <c r="R126" s="487"/>
      <c r="S126" s="487"/>
      <c r="T126" s="487"/>
      <c r="U126" s="487"/>
      <c r="V126" s="487"/>
      <c r="W126" s="487"/>
      <c r="X126" s="487"/>
      <c r="Y126" s="487"/>
      <c r="Z126" s="487"/>
      <c r="AA126" s="487"/>
      <c r="AB126"/>
      <c r="AC126"/>
      <c r="AD126"/>
      <c r="AE126"/>
      <c r="AF126"/>
      <c r="AG126"/>
    </row>
    <row r="127" spans="1:33" ht="27.75" customHeight="1" x14ac:dyDescent="0.25">
      <c r="A127" s="143">
        <v>3</v>
      </c>
      <c r="B127" s="143" t="s">
        <v>21</v>
      </c>
      <c r="C127" s="143">
        <v>10</v>
      </c>
      <c r="D127" s="143" t="s">
        <v>543</v>
      </c>
      <c r="E127" s="145">
        <f>GETPIVOTDATA("Sum of Total Weight 
(Kg)",$O$126,"Alt. Material","IS 2062 
E350 A/BR","IS Thk
(mm)",10)</f>
        <v>85.734849999999994</v>
      </c>
      <c r="F127" s="145">
        <f>GETPIVOTDATA("Sum of Gross Wt 
(kg)",$O$126,"Alt. Material","IS 2062 
E350 A/BR","IS Thk
(mm)",10)</f>
        <v>138.7654862</v>
      </c>
      <c r="G127" s="145"/>
      <c r="H127" s="145"/>
      <c r="I127" s="145">
        <f t="shared" si="21"/>
        <v>138.7654862</v>
      </c>
      <c r="J127" s="145">
        <v>90</v>
      </c>
      <c r="K127" s="145">
        <f t="shared" si="22"/>
        <v>12488.893758</v>
      </c>
      <c r="O127" s="487"/>
      <c r="P127" s="487" t="s">
        <v>271</v>
      </c>
      <c r="Q127" s="487"/>
      <c r="R127" s="487" t="s">
        <v>540</v>
      </c>
      <c r="S127" s="487"/>
      <c r="T127" s="487" t="s">
        <v>388</v>
      </c>
      <c r="U127" s="487"/>
      <c r="V127" s="487" t="s">
        <v>573</v>
      </c>
      <c r="W127" s="487"/>
      <c r="X127" s="487" t="s">
        <v>777</v>
      </c>
      <c r="Y127" s="487"/>
      <c r="Z127" s="487" t="s">
        <v>130</v>
      </c>
      <c r="AA127" s="487" t="s">
        <v>131</v>
      </c>
      <c r="AB127"/>
      <c r="AC127"/>
      <c r="AD127"/>
      <c r="AE127"/>
      <c r="AF127"/>
      <c r="AG127"/>
    </row>
    <row r="128" spans="1:33" ht="27.75" customHeight="1" x14ac:dyDescent="0.25">
      <c r="A128" s="143">
        <v>4</v>
      </c>
      <c r="B128" s="143" t="s">
        <v>21</v>
      </c>
      <c r="C128" s="143">
        <v>12</v>
      </c>
      <c r="D128" s="143" t="s">
        <v>543</v>
      </c>
      <c r="E128" s="145">
        <f>GETPIVOTDATA("Sum of Total Weight 
(Kg)",$O$126,"Alt. Material","IS 2062 
E350 A/BR","IS Thk
(mm)",12)</f>
        <v>4</v>
      </c>
      <c r="F128" s="145">
        <f>GETPIVOTDATA("Sum of Gross Wt 
(kg)",$O$126,"Alt. Material","IS 2062 
E350 A/BR","IS Thk
(mm)",12)</f>
        <v>4.7872440000000003</v>
      </c>
      <c r="G128" s="145"/>
      <c r="H128" s="145"/>
      <c r="I128" s="145">
        <f t="shared" si="21"/>
        <v>4.7872440000000003</v>
      </c>
      <c r="J128" s="145">
        <v>100</v>
      </c>
      <c r="K128" s="145">
        <f t="shared" si="22"/>
        <v>478.7244</v>
      </c>
      <c r="O128" s="486" t="s">
        <v>41</v>
      </c>
      <c r="P128" s="487" t="s">
        <v>132</v>
      </c>
      <c r="Q128" s="487" t="s">
        <v>43</v>
      </c>
      <c r="R128" s="487" t="s">
        <v>132</v>
      </c>
      <c r="S128" s="487" t="s">
        <v>43</v>
      </c>
      <c r="T128" s="487" t="s">
        <v>132</v>
      </c>
      <c r="U128" s="487" t="s">
        <v>43</v>
      </c>
      <c r="V128" s="487" t="s">
        <v>132</v>
      </c>
      <c r="W128" s="487" t="s">
        <v>43</v>
      </c>
      <c r="X128" s="487" t="s">
        <v>132</v>
      </c>
      <c r="Y128" s="487" t="s">
        <v>43</v>
      </c>
      <c r="Z128" s="487"/>
      <c r="AA128" s="487"/>
      <c r="AB128"/>
      <c r="AC128"/>
      <c r="AD128"/>
      <c r="AE128"/>
      <c r="AF128"/>
      <c r="AG128"/>
    </row>
    <row r="129" spans="1:33" ht="27.75" customHeight="1" x14ac:dyDescent="0.25">
      <c r="A129" s="143">
        <v>5</v>
      </c>
      <c r="B129" s="143" t="s">
        <v>21</v>
      </c>
      <c r="C129" s="143">
        <v>20</v>
      </c>
      <c r="D129" s="143" t="s">
        <v>543</v>
      </c>
      <c r="E129" s="145">
        <f>GETPIVOTDATA("Sum of Total Weight 
(Kg)",$O$126,"Alt. Material","IS 2062 
E350 A/BR","IS Thk
(mm)",20)</f>
        <v>0.90720000000000001</v>
      </c>
      <c r="F129" s="145">
        <f>GETPIVOTDATA("Sum of Gross Wt 
(kg)",$O$126,"Alt. Material","IS 2062 
E350 A/BR","IS Thk
(mm)",20)</f>
        <v>6.2096011999999998</v>
      </c>
      <c r="G129" s="145"/>
      <c r="H129" s="145"/>
      <c r="I129" s="145">
        <f t="shared" si="21"/>
        <v>6.2096011999999998</v>
      </c>
      <c r="J129" s="145">
        <v>100</v>
      </c>
      <c r="K129" s="145">
        <f t="shared" si="22"/>
        <v>620.96011999999996</v>
      </c>
      <c r="O129" s="488">
        <v>6</v>
      </c>
      <c r="P129" s="489"/>
      <c r="Q129" s="489"/>
      <c r="R129" s="489"/>
      <c r="S129" s="489"/>
      <c r="T129" s="489"/>
      <c r="U129" s="489"/>
      <c r="V129" s="489"/>
      <c r="W129" s="489"/>
      <c r="X129" s="489">
        <v>1.173732</v>
      </c>
      <c r="Y129" s="489">
        <v>1.2911052000000001</v>
      </c>
      <c r="Z129" s="489">
        <v>1.173732</v>
      </c>
      <c r="AA129" s="489">
        <v>1.2911052000000001</v>
      </c>
      <c r="AB129"/>
      <c r="AC129"/>
      <c r="AD129"/>
      <c r="AE129"/>
      <c r="AF129"/>
      <c r="AG129"/>
    </row>
    <row r="130" spans="1:33" ht="31.5" x14ac:dyDescent="0.25">
      <c r="A130" s="143">
        <v>6</v>
      </c>
      <c r="B130" s="143" t="s">
        <v>550</v>
      </c>
      <c r="C130" s="144" t="s">
        <v>776</v>
      </c>
      <c r="D130" s="143" t="s">
        <v>540</v>
      </c>
      <c r="E130" s="145">
        <f>GETPIVOTDATA("Sum of Total Weight 
(Kg)",$O$126,"Alt. Material","YST 310","IS Thk
(mm)","150x100x 12thk")</f>
        <v>739.35911999999996</v>
      </c>
      <c r="F130" s="145">
        <f>GETPIVOTDATA("Sum of Gross Wt 
(kg)",$O$126,"Alt. Material","YST 310","IS Thk
(mm)","150x100x 12thk")</f>
        <v>813.29503199999999</v>
      </c>
      <c r="G130" s="145">
        <f>28.1*6</f>
        <v>168.60000000000002</v>
      </c>
      <c r="H130" s="145" t="s">
        <v>541</v>
      </c>
      <c r="I130" s="145">
        <f t="shared" si="21"/>
        <v>813.29503199999999</v>
      </c>
      <c r="J130" s="145">
        <v>110</v>
      </c>
      <c r="K130" s="145">
        <f t="shared" si="22"/>
        <v>89462.453519999995</v>
      </c>
      <c r="O130" s="488">
        <v>10</v>
      </c>
      <c r="P130" s="489"/>
      <c r="Q130" s="489"/>
      <c r="R130" s="489"/>
      <c r="S130" s="489"/>
      <c r="T130" s="489"/>
      <c r="U130" s="489"/>
      <c r="V130" s="489">
        <v>85.734849999999994</v>
      </c>
      <c r="W130" s="489">
        <v>138.7654862</v>
      </c>
      <c r="X130" s="489"/>
      <c r="Y130" s="489"/>
      <c r="Z130" s="489">
        <v>85.734849999999994</v>
      </c>
      <c r="AA130" s="489">
        <v>138.7654862</v>
      </c>
      <c r="AB130"/>
      <c r="AC130"/>
      <c r="AD130"/>
      <c r="AE130"/>
      <c r="AF130"/>
      <c r="AG130"/>
    </row>
    <row r="131" spans="1:33" ht="42.75" customHeight="1" x14ac:dyDescent="0.25">
      <c r="A131" s="143">
        <v>7</v>
      </c>
      <c r="B131" s="143" t="s">
        <v>550</v>
      </c>
      <c r="C131" s="144" t="s">
        <v>690</v>
      </c>
      <c r="D131" s="143" t="s">
        <v>540</v>
      </c>
      <c r="E131" s="145">
        <f>GETPIVOTDATA("Sum of Total Weight 
(Kg)",$O$126,"Alt. Material","YST 310","IS Thk
(mm)","150x80x 10thk")</f>
        <v>111.26515000000001</v>
      </c>
      <c r="F131" s="145">
        <f>GETPIVOTDATA("Sum of Gross Wt 
(kg)",$O$126,"Alt. Material","YST 310","IS Thk
(mm)","150x80x 10thk")</f>
        <v>122.39166500000002</v>
      </c>
      <c r="G131" s="145">
        <f>28.1*6</f>
        <v>168.60000000000002</v>
      </c>
      <c r="H131" s="145" t="s">
        <v>541</v>
      </c>
      <c r="I131" s="145">
        <f t="shared" si="21"/>
        <v>168.60000000000002</v>
      </c>
      <c r="J131" s="145">
        <v>110</v>
      </c>
      <c r="K131" s="145">
        <f t="shared" ref="K131:K133" si="23">J131*I131</f>
        <v>18546.000000000004</v>
      </c>
      <c r="O131" s="488">
        <v>12</v>
      </c>
      <c r="P131" s="489"/>
      <c r="Q131" s="489"/>
      <c r="R131" s="489"/>
      <c r="S131" s="489"/>
      <c r="T131" s="489"/>
      <c r="U131" s="489"/>
      <c r="V131" s="489">
        <v>4</v>
      </c>
      <c r="W131" s="489">
        <v>4.7872440000000003</v>
      </c>
      <c r="X131" s="489"/>
      <c r="Y131" s="489"/>
      <c r="Z131" s="489">
        <v>4</v>
      </c>
      <c r="AA131" s="489">
        <v>4.7872440000000003</v>
      </c>
    </row>
    <row r="132" spans="1:33" ht="27.75" customHeight="1" x14ac:dyDescent="0.25">
      <c r="A132" s="143">
        <v>8</v>
      </c>
      <c r="B132" s="143" t="s">
        <v>286</v>
      </c>
      <c r="C132" s="143" t="s">
        <v>409</v>
      </c>
      <c r="D132" s="143" t="s">
        <v>271</v>
      </c>
      <c r="E132" s="145">
        <f>GETPIVOTDATA("Sum of Total Weight 
(Kg)",$O$126,"Alt. Material","ASTM A106 GR.B","IS Thk
(mm)","Dia 33.4x 6.35")</f>
        <v>100.80600000000001</v>
      </c>
      <c r="F132" s="145">
        <f>GETPIVOTDATA("Sum of Gross Wt 
(kg)",$O$126,"Alt. Material","ASTM A106 GR.B","IS Thk
(mm)","Dia 33.4x 6.35")</f>
        <v>110.88660000000002</v>
      </c>
      <c r="G132" s="145">
        <f>4.24*6</f>
        <v>25.44</v>
      </c>
      <c r="H132" s="145" t="s">
        <v>689</v>
      </c>
      <c r="I132" s="145">
        <f t="shared" ref="I132:I133" si="24">IF(G132&lt;F132,F132,IF(G132&gt;F132,G132))</f>
        <v>110.88660000000002</v>
      </c>
      <c r="J132" s="145">
        <v>130</v>
      </c>
      <c r="K132" s="145">
        <f t="shared" si="23"/>
        <v>14415.258000000002</v>
      </c>
      <c r="O132" s="488">
        <v>20</v>
      </c>
      <c r="P132" s="489"/>
      <c r="Q132" s="489"/>
      <c r="R132" s="489"/>
      <c r="S132" s="489"/>
      <c r="T132" s="489"/>
      <c r="U132" s="489"/>
      <c r="V132" s="489">
        <v>0.90720000000000001</v>
      </c>
      <c r="W132" s="489">
        <v>6.2096011999999998</v>
      </c>
      <c r="X132" s="489"/>
      <c r="Y132" s="489"/>
      <c r="Z132" s="489">
        <v>0.90720000000000001</v>
      </c>
      <c r="AA132" s="489">
        <v>6.2096011999999998</v>
      </c>
    </row>
    <row r="133" spans="1:33" ht="27.75" customHeight="1" x14ac:dyDescent="0.25">
      <c r="A133" s="143">
        <v>9</v>
      </c>
      <c r="B133" s="143" t="s">
        <v>44</v>
      </c>
      <c r="C133" s="143" t="s">
        <v>389</v>
      </c>
      <c r="D133" s="393" t="s">
        <v>388</v>
      </c>
      <c r="E133" s="145">
        <f>GETPIVOTDATA("Sum of Total Weight 
(Kg)",$O$126,"Alt. Material","BROWNING SCS-2","IS Thk
(mm)","Dia 76")</f>
        <v>2.4000000000000004</v>
      </c>
      <c r="F133" s="145">
        <f>GETPIVOTDATA("Sum of Gross Wt 
(kg)",$O$126,"Alt. Material","BROWNING SCS-2","IS Thk
(mm)","Dia 76")</f>
        <v>2.6400000000000006</v>
      </c>
      <c r="G133" s="143">
        <f>35.61*1</f>
        <v>35.61</v>
      </c>
      <c r="H133" s="143"/>
      <c r="I133" s="145">
        <f t="shared" si="24"/>
        <v>35.61</v>
      </c>
      <c r="J133" s="145">
        <v>250</v>
      </c>
      <c r="K133" s="145">
        <f t="shared" si="23"/>
        <v>8902.5</v>
      </c>
      <c r="O133" s="488">
        <v>25</v>
      </c>
      <c r="P133" s="489"/>
      <c r="Q133" s="489"/>
      <c r="R133" s="489"/>
      <c r="S133" s="489"/>
      <c r="T133" s="489"/>
      <c r="U133" s="489"/>
      <c r="V133" s="489"/>
      <c r="W133" s="489"/>
      <c r="X133" s="489">
        <v>104</v>
      </c>
      <c r="Y133" s="489">
        <v>154.3938</v>
      </c>
      <c r="Z133" s="489">
        <v>104</v>
      </c>
      <c r="AA133" s="489">
        <v>154.3938</v>
      </c>
    </row>
    <row r="134" spans="1:33" ht="27.75" customHeight="1" thickBot="1" x14ac:dyDescent="0.3">
      <c r="A134" s="371"/>
      <c r="B134" s="372"/>
      <c r="C134" s="372" t="s">
        <v>45</v>
      </c>
      <c r="D134" s="372"/>
      <c r="E134" s="373">
        <f>SUM(E125:E133)</f>
        <v>1149.6460520000001</v>
      </c>
      <c r="F134" s="373">
        <f>SUM(F125:F133)</f>
        <v>1354.6605336000002</v>
      </c>
      <c r="G134" s="372"/>
      <c r="H134" s="372"/>
      <c r="I134" s="373">
        <f>SUM(I125:I133)</f>
        <v>1433.8388685999998</v>
      </c>
      <c r="J134" s="375">
        <f>K134/I134</f>
        <v>110.84881697563993</v>
      </c>
      <c r="K134" s="373">
        <f>SUM(K125:K133)</f>
        <v>158939.34231800001</v>
      </c>
      <c r="O134" s="488" t="s">
        <v>396</v>
      </c>
      <c r="P134" s="489"/>
      <c r="Q134" s="489"/>
      <c r="R134" s="489">
        <v>111.26515000000001</v>
      </c>
      <c r="S134" s="489">
        <v>122.39166500000002</v>
      </c>
      <c r="T134" s="489"/>
      <c r="U134" s="489"/>
      <c r="V134" s="489"/>
      <c r="W134" s="489"/>
      <c r="X134" s="489"/>
      <c r="Y134" s="489"/>
      <c r="Z134" s="489">
        <v>111.26515000000001</v>
      </c>
      <c r="AA134" s="489">
        <v>122.39166500000002</v>
      </c>
    </row>
    <row r="135" spans="1:33" x14ac:dyDescent="0.25">
      <c r="O135" s="488" t="s">
        <v>409</v>
      </c>
      <c r="P135" s="489">
        <v>100.80600000000001</v>
      </c>
      <c r="Q135" s="489">
        <v>110.88660000000002</v>
      </c>
      <c r="R135" s="489"/>
      <c r="S135" s="489"/>
      <c r="T135" s="489"/>
      <c r="U135" s="489"/>
      <c r="V135" s="489"/>
      <c r="W135" s="489"/>
      <c r="X135" s="489"/>
      <c r="Y135" s="489"/>
      <c r="Z135" s="489">
        <v>100.80600000000001</v>
      </c>
      <c r="AA135" s="489">
        <v>110.88660000000002</v>
      </c>
    </row>
    <row r="136" spans="1:33" x14ac:dyDescent="0.25">
      <c r="O136" s="488" t="s">
        <v>389</v>
      </c>
      <c r="P136" s="489"/>
      <c r="Q136" s="489"/>
      <c r="R136" s="489"/>
      <c r="S136" s="489"/>
      <c r="T136" s="489">
        <v>2.4000000000000004</v>
      </c>
      <c r="U136" s="489">
        <v>2.6400000000000006</v>
      </c>
      <c r="V136" s="489"/>
      <c r="W136" s="489"/>
      <c r="X136" s="489"/>
      <c r="Y136" s="489"/>
      <c r="Z136" s="489">
        <v>2.4000000000000004</v>
      </c>
      <c r="AA136" s="489">
        <v>2.6400000000000006</v>
      </c>
    </row>
    <row r="137" spans="1:33" x14ac:dyDescent="0.25">
      <c r="O137" s="488" t="s">
        <v>775</v>
      </c>
      <c r="P137" s="489"/>
      <c r="Q137" s="489"/>
      <c r="R137" s="489">
        <v>739.35911999999996</v>
      </c>
      <c r="S137" s="489">
        <v>813.29503199999999</v>
      </c>
      <c r="T137" s="489"/>
      <c r="U137" s="489"/>
      <c r="V137" s="489"/>
      <c r="W137" s="489"/>
      <c r="X137" s="489"/>
      <c r="Y137" s="489"/>
      <c r="Z137" s="489">
        <v>739.35911999999996</v>
      </c>
      <c r="AA137" s="489">
        <v>813.29503199999999</v>
      </c>
    </row>
    <row r="138" spans="1:33" x14ac:dyDescent="0.25">
      <c r="O138" s="488" t="s">
        <v>42</v>
      </c>
      <c r="P138" s="489">
        <v>100.80600000000001</v>
      </c>
      <c r="Q138" s="489">
        <v>110.88660000000002</v>
      </c>
      <c r="R138" s="489">
        <v>850.62427000000002</v>
      </c>
      <c r="S138" s="489">
        <v>935.68669699999998</v>
      </c>
      <c r="T138" s="489">
        <v>2.4000000000000004</v>
      </c>
      <c r="U138" s="489">
        <v>2.6400000000000006</v>
      </c>
      <c r="V138" s="489">
        <v>90.642049999999998</v>
      </c>
      <c r="W138" s="489">
        <v>149.76233139999999</v>
      </c>
      <c r="X138" s="489">
        <v>105.173732</v>
      </c>
      <c r="Y138" s="489">
        <v>155.6849052</v>
      </c>
      <c r="Z138" s="489">
        <v>1149.6460520000001</v>
      </c>
      <c r="AA138" s="489">
        <v>1354.6605336</v>
      </c>
    </row>
    <row r="140" spans="1:33" ht="16.5" thickBot="1" x14ac:dyDescent="0.3"/>
    <row r="141" spans="1:33" ht="19.5" thickBot="1" x14ac:dyDescent="0.3">
      <c r="A141" s="707" t="s">
        <v>685</v>
      </c>
      <c r="B141" s="708"/>
      <c r="C141" s="708"/>
      <c r="D141" s="708"/>
      <c r="E141" s="708"/>
      <c r="F141" s="708"/>
      <c r="G141" s="708"/>
      <c r="H141" s="359" t="str">
        <f>P141</f>
        <v>AY30150</v>
      </c>
      <c r="I141" s="359"/>
      <c r="J141" s="359"/>
      <c r="K141" s="360"/>
      <c r="O141" s="486" t="s">
        <v>128</v>
      </c>
      <c r="P141" s="487" t="s">
        <v>187</v>
      </c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/>
      <c r="AC141"/>
      <c r="AD141"/>
      <c r="AE141"/>
      <c r="AF141"/>
      <c r="AG141"/>
    </row>
    <row r="142" spans="1:33" ht="37.5" x14ac:dyDescent="0.25">
      <c r="A142" s="383" t="s">
        <v>0</v>
      </c>
      <c r="B142" s="383" t="s">
        <v>13</v>
      </c>
      <c r="C142" s="383" t="s">
        <v>154</v>
      </c>
      <c r="D142" s="383" t="s">
        <v>544</v>
      </c>
      <c r="E142" s="384" t="s">
        <v>551</v>
      </c>
      <c r="F142" s="384" t="s">
        <v>552</v>
      </c>
      <c r="G142" s="383" t="s">
        <v>548</v>
      </c>
      <c r="H142" s="383" t="s">
        <v>34</v>
      </c>
      <c r="I142" s="383" t="s">
        <v>549</v>
      </c>
      <c r="J142" s="383" t="s">
        <v>547</v>
      </c>
      <c r="K142" s="383" t="s">
        <v>156</v>
      </c>
      <c r="O142" s="486" t="s">
        <v>13</v>
      </c>
      <c r="P142" s="487" t="s">
        <v>153</v>
      </c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  <c r="AA142" s="319"/>
      <c r="AB142"/>
      <c r="AC142"/>
      <c r="AD142"/>
      <c r="AE142"/>
      <c r="AF142"/>
      <c r="AG142"/>
    </row>
    <row r="143" spans="1:33" ht="27.75" customHeight="1" x14ac:dyDescent="0.25">
      <c r="A143" s="143">
        <v>1</v>
      </c>
      <c r="B143" s="143" t="s">
        <v>21</v>
      </c>
      <c r="C143" s="143">
        <v>12</v>
      </c>
      <c r="D143" s="143" t="s">
        <v>543</v>
      </c>
      <c r="E143" s="145">
        <f>GETPIVOTDATA("Sum of Total Weight 
(Kg)",$O$144,"Alt. Material","IS 2062 
E350 A/BR","IS Thk
(mm)",12)</f>
        <v>4.4000000000000004</v>
      </c>
      <c r="F143" s="145">
        <f>GETPIVOTDATA("Sum of Gross Wt 
(kg)",$O$144,"Alt. Material","IS 2062 
E350 A/BR","IS Thk
(mm)",12)</f>
        <v>8.433010079999999</v>
      </c>
      <c r="G143" s="145"/>
      <c r="H143" s="145"/>
      <c r="I143" s="145">
        <f t="shared" ref="I143" si="25">IF(G143&gt;F143,G143,IF(G143&lt;F143,F143))</f>
        <v>8.433010079999999</v>
      </c>
      <c r="J143" s="145">
        <v>90</v>
      </c>
      <c r="K143" s="145">
        <f t="shared" ref="K143" si="26">J143*I143</f>
        <v>758.97090719999994</v>
      </c>
      <c r="O143" s="319"/>
      <c r="P143" s="319"/>
      <c r="Q143" s="319"/>
      <c r="R143" s="319"/>
      <c r="S143" s="319"/>
      <c r="T143" s="319"/>
      <c r="U143" s="319"/>
      <c r="V143" s="319"/>
      <c r="W143" s="319"/>
      <c r="X143" s="319"/>
      <c r="Y143" s="319"/>
      <c r="Z143" s="319"/>
      <c r="AA143" s="319"/>
      <c r="AB143"/>
      <c r="AC143"/>
      <c r="AD143"/>
      <c r="AE143"/>
      <c r="AF143"/>
      <c r="AG143"/>
    </row>
    <row r="144" spans="1:33" ht="27.75" customHeight="1" x14ac:dyDescent="0.25">
      <c r="A144" s="143">
        <v>2</v>
      </c>
      <c r="B144" s="143" t="s">
        <v>286</v>
      </c>
      <c r="C144" s="143">
        <v>20</v>
      </c>
      <c r="D144" s="143" t="s">
        <v>542</v>
      </c>
      <c r="E144" s="145">
        <f>GETPIVOTDATA("Sum of Total Weight 
(Kg)",$O$144,"Alt. Material","IS 2062
 E250 A/BR","IS Thk
(mm)",20)</f>
        <v>6</v>
      </c>
      <c r="F144" s="145">
        <f>GETPIVOTDATA("Sum of Gross Wt 
(kg)",$O$144,"Alt. Material","IS 2062
 E250 A/BR","IS Thk
(mm)",20)</f>
        <v>12.841972</v>
      </c>
      <c r="G144" s="145"/>
      <c r="H144" s="145"/>
      <c r="I144" s="145">
        <f>IF(G144&gt;F144,G144,IF(G144&lt;F144,F144))</f>
        <v>12.841972</v>
      </c>
      <c r="J144" s="145">
        <v>90</v>
      </c>
      <c r="K144" s="145">
        <f>J144*I144</f>
        <v>1155.77748</v>
      </c>
      <c r="O144" s="487"/>
      <c r="P144" s="486" t="s">
        <v>129</v>
      </c>
      <c r="Q144" s="487"/>
      <c r="R144" s="487"/>
      <c r="S144" s="487"/>
      <c r="T144" s="487"/>
      <c r="U144" s="487"/>
      <c r="V144" s="487"/>
      <c r="W144" s="487"/>
      <c r="X144"/>
      <c r="Y144"/>
      <c r="Z144"/>
      <c r="AA144"/>
      <c r="AB144"/>
      <c r="AC144"/>
      <c r="AD144"/>
      <c r="AE144"/>
      <c r="AF144"/>
      <c r="AG144"/>
    </row>
    <row r="145" spans="1:33" ht="31.5" x14ac:dyDescent="0.25">
      <c r="A145" s="143">
        <v>3</v>
      </c>
      <c r="B145" s="143" t="s">
        <v>21</v>
      </c>
      <c r="C145" s="144" t="s">
        <v>692</v>
      </c>
      <c r="D145" s="143" t="s">
        <v>540</v>
      </c>
      <c r="E145" s="145">
        <f>GETPIVOTDATA("Sum of Total Weight 
(Kg)",$O$144,"Alt. Material","YST 310","IS Thk
(mm)","120x80x 5thk")</f>
        <v>54.730000000000004</v>
      </c>
      <c r="F145" s="145">
        <f>GETPIVOTDATA("Sum of Gross Wt 
(kg)",$O$144,"Alt. Material","YST 310","IS Thk
(mm)","120x80x 5thk")</f>
        <v>60.203000000000003</v>
      </c>
      <c r="G145" s="145">
        <f>12.84*6</f>
        <v>77.039999999999992</v>
      </c>
      <c r="H145" s="145"/>
      <c r="I145" s="145">
        <f t="shared" ref="I145:I146" si="27">IF(G145&gt;F145,G145,IF(G145&lt;F145,F145))</f>
        <v>77.039999999999992</v>
      </c>
      <c r="J145" s="145">
        <v>110</v>
      </c>
      <c r="K145" s="145">
        <f t="shared" ref="K145:K146" si="28">J145*I145</f>
        <v>8474.4</v>
      </c>
      <c r="O145" s="487"/>
      <c r="P145" s="487" t="s">
        <v>540</v>
      </c>
      <c r="Q145" s="487"/>
      <c r="R145" s="487" t="s">
        <v>573</v>
      </c>
      <c r="S145" s="487"/>
      <c r="T145" s="487" t="s">
        <v>777</v>
      </c>
      <c r="U145" s="487"/>
      <c r="V145" s="487" t="s">
        <v>130</v>
      </c>
      <c r="W145" s="487" t="s">
        <v>131</v>
      </c>
      <c r="X145"/>
      <c r="Y145"/>
      <c r="Z145"/>
      <c r="AA145"/>
      <c r="AB145"/>
      <c r="AC145"/>
      <c r="AD145"/>
      <c r="AE145"/>
      <c r="AF145"/>
      <c r="AG145"/>
    </row>
    <row r="146" spans="1:33" ht="27.75" customHeight="1" x14ac:dyDescent="0.25">
      <c r="A146" s="143">
        <v>4</v>
      </c>
      <c r="B146" s="143" t="s">
        <v>21</v>
      </c>
      <c r="C146" s="143" t="s">
        <v>326</v>
      </c>
      <c r="D146" s="143" t="s">
        <v>542</v>
      </c>
      <c r="E146" s="145">
        <f>GETPIVOTDATA("Sum of Total Weight 
(Kg)",$O$144,"Alt. Material","IS 2062
 E250 A/BR","IS Thk
(mm)","Dia 12")</f>
        <v>0.4</v>
      </c>
      <c r="F146" s="145">
        <f>GETPIVOTDATA("Sum of Gross Wt 
(kg)",$O$144,"Alt. Material","IS 2062
 E250 A/BR","IS Thk
(mm)","Dia 12")</f>
        <v>2.5093640000000006</v>
      </c>
      <c r="G146" s="320">
        <f>0.89*3</f>
        <v>2.67</v>
      </c>
      <c r="H146" s="145"/>
      <c r="I146" s="145">
        <f t="shared" si="27"/>
        <v>2.67</v>
      </c>
      <c r="J146" s="145">
        <v>110</v>
      </c>
      <c r="K146" s="145">
        <f t="shared" si="28"/>
        <v>293.7</v>
      </c>
      <c r="O146" s="486" t="s">
        <v>41</v>
      </c>
      <c r="P146" s="487" t="s">
        <v>132</v>
      </c>
      <c r="Q146" s="487" t="s">
        <v>43</v>
      </c>
      <c r="R146" s="487" t="s">
        <v>132</v>
      </c>
      <c r="S146" s="487" t="s">
        <v>43</v>
      </c>
      <c r="T146" s="487" t="s">
        <v>132</v>
      </c>
      <c r="U146" s="487" t="s">
        <v>43</v>
      </c>
      <c r="V146" s="487"/>
      <c r="W146" s="487"/>
      <c r="X146"/>
      <c r="Y146"/>
      <c r="Z146"/>
      <c r="AA146"/>
      <c r="AB146"/>
      <c r="AC146"/>
      <c r="AD146"/>
      <c r="AE146"/>
      <c r="AF146"/>
      <c r="AG146"/>
    </row>
    <row r="147" spans="1:33" ht="27.75" customHeight="1" thickBot="1" x14ac:dyDescent="0.3">
      <c r="A147" s="371"/>
      <c r="B147" s="372"/>
      <c r="C147" s="372" t="s">
        <v>45</v>
      </c>
      <c r="D147" s="372"/>
      <c r="E147" s="373">
        <f>SUM(E143:E146)</f>
        <v>65.530000000000015</v>
      </c>
      <c r="F147" s="373">
        <f>SUM(F143:F146)</f>
        <v>83.987346080000009</v>
      </c>
      <c r="G147" s="372"/>
      <c r="H147" s="372"/>
      <c r="I147" s="373">
        <f>SUM(I143:I146)</f>
        <v>100.98498207999999</v>
      </c>
      <c r="J147" s="375">
        <f>K147/I147</f>
        <v>105.78650574733062</v>
      </c>
      <c r="K147" s="376">
        <f>SUM(K143:K146)</f>
        <v>10682.8483872</v>
      </c>
      <c r="O147" s="488">
        <v>12</v>
      </c>
      <c r="P147" s="489"/>
      <c r="Q147" s="489"/>
      <c r="R147" s="489">
        <v>4.4000000000000004</v>
      </c>
      <c r="S147" s="489">
        <v>8.433010079999999</v>
      </c>
      <c r="T147" s="489"/>
      <c r="U147" s="489"/>
      <c r="V147" s="489">
        <v>4.4000000000000004</v>
      </c>
      <c r="W147" s="489">
        <v>8.433010079999999</v>
      </c>
      <c r="X147"/>
      <c r="Y147"/>
      <c r="Z147"/>
      <c r="AA147"/>
      <c r="AB147"/>
      <c r="AC147"/>
      <c r="AD147"/>
      <c r="AE147"/>
      <c r="AF147"/>
      <c r="AG147"/>
    </row>
    <row r="148" spans="1:33" ht="27.75" customHeight="1" x14ac:dyDescent="0.25">
      <c r="O148" s="488">
        <v>20</v>
      </c>
      <c r="P148" s="489"/>
      <c r="Q148" s="489"/>
      <c r="R148" s="489"/>
      <c r="S148" s="489"/>
      <c r="T148" s="489">
        <v>6</v>
      </c>
      <c r="U148" s="489">
        <v>12.841972</v>
      </c>
      <c r="V148" s="489">
        <v>6</v>
      </c>
      <c r="W148" s="489">
        <v>12.841972</v>
      </c>
      <c r="X148"/>
      <c r="Y148"/>
      <c r="Z148"/>
      <c r="AA148"/>
      <c r="AB148"/>
      <c r="AC148"/>
      <c r="AD148"/>
      <c r="AE148"/>
      <c r="AF148"/>
      <c r="AG148"/>
    </row>
    <row r="149" spans="1:33" ht="42.75" customHeight="1" x14ac:dyDescent="0.25">
      <c r="O149" s="488" t="s">
        <v>418</v>
      </c>
      <c r="P149" s="489">
        <v>54.730000000000004</v>
      </c>
      <c r="Q149" s="489">
        <v>60.203000000000003</v>
      </c>
      <c r="R149" s="489"/>
      <c r="S149" s="489"/>
      <c r="T149" s="489"/>
      <c r="U149" s="489"/>
      <c r="V149" s="489">
        <v>54.730000000000004</v>
      </c>
      <c r="W149" s="489">
        <v>60.203000000000003</v>
      </c>
      <c r="X149"/>
      <c r="Y149"/>
      <c r="Z149"/>
      <c r="AA149"/>
    </row>
    <row r="150" spans="1:33" ht="27.75" customHeight="1" x14ac:dyDescent="0.25">
      <c r="O150" s="488" t="s">
        <v>326</v>
      </c>
      <c r="P150" s="489"/>
      <c r="Q150" s="489"/>
      <c r="R150" s="489"/>
      <c r="S150" s="489"/>
      <c r="T150" s="489">
        <v>0.4</v>
      </c>
      <c r="U150" s="489">
        <v>2.5093640000000006</v>
      </c>
      <c r="V150" s="489">
        <v>0.4</v>
      </c>
      <c r="W150" s="489">
        <v>2.5093640000000006</v>
      </c>
      <c r="X150"/>
      <c r="Y150"/>
      <c r="Z150"/>
      <c r="AA150"/>
    </row>
    <row r="151" spans="1:33" ht="27.75" customHeight="1" x14ac:dyDescent="0.25">
      <c r="O151" s="488" t="s">
        <v>42</v>
      </c>
      <c r="P151" s="489">
        <v>54.730000000000004</v>
      </c>
      <c r="Q151" s="489">
        <v>60.203000000000003</v>
      </c>
      <c r="R151" s="489">
        <v>4.4000000000000004</v>
      </c>
      <c r="S151" s="489">
        <v>8.433010079999999</v>
      </c>
      <c r="T151" s="489">
        <v>6.4</v>
      </c>
      <c r="U151" s="489">
        <v>15.351336</v>
      </c>
      <c r="V151" s="489">
        <v>65.530000000000015</v>
      </c>
      <c r="W151" s="489">
        <v>83.987346080000009</v>
      </c>
      <c r="X151"/>
      <c r="Y151"/>
      <c r="Z151"/>
      <c r="AA151"/>
    </row>
    <row r="152" spans="1:33" ht="27.75" customHeight="1" x14ac:dyDescent="0.25"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33" ht="16.5" thickBot="1" x14ac:dyDescent="0.3"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33" ht="19.5" thickBot="1" x14ac:dyDescent="0.3">
      <c r="A154" s="707" t="s">
        <v>685</v>
      </c>
      <c r="B154" s="708"/>
      <c r="C154" s="708"/>
      <c r="D154" s="708"/>
      <c r="E154" s="708"/>
      <c r="F154" s="708"/>
      <c r="G154" s="708"/>
      <c r="H154" s="359" t="str">
        <f>P154</f>
        <v>AY30160</v>
      </c>
      <c r="I154" s="359"/>
      <c r="J154" s="359"/>
      <c r="K154" s="360"/>
      <c r="O154" s="486" t="s">
        <v>128</v>
      </c>
      <c r="P154" s="487" t="s">
        <v>189</v>
      </c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  <c r="AA154" s="319"/>
      <c r="AB154"/>
      <c r="AC154"/>
      <c r="AD154"/>
      <c r="AE154"/>
      <c r="AF154"/>
      <c r="AG154"/>
    </row>
    <row r="155" spans="1:33" ht="37.5" x14ac:dyDescent="0.25">
      <c r="A155" s="383" t="s">
        <v>0</v>
      </c>
      <c r="B155" s="383" t="s">
        <v>13</v>
      </c>
      <c r="C155" s="383" t="s">
        <v>154</v>
      </c>
      <c r="D155" s="383" t="s">
        <v>544</v>
      </c>
      <c r="E155" s="384" t="s">
        <v>551</v>
      </c>
      <c r="F155" s="384" t="s">
        <v>552</v>
      </c>
      <c r="G155" s="383" t="s">
        <v>548</v>
      </c>
      <c r="H155" s="383" t="s">
        <v>34</v>
      </c>
      <c r="I155" s="383" t="s">
        <v>549</v>
      </c>
      <c r="J155" s="383" t="s">
        <v>547</v>
      </c>
      <c r="K155" s="383" t="s">
        <v>156</v>
      </c>
      <c r="O155" s="486" t="s">
        <v>13</v>
      </c>
      <c r="P155" s="487" t="s">
        <v>153</v>
      </c>
      <c r="Q155" s="319"/>
      <c r="R155" s="319"/>
      <c r="S155" s="319"/>
      <c r="T155" s="319"/>
      <c r="U155" s="319"/>
      <c r="V155" s="319"/>
      <c r="W155" s="319"/>
      <c r="X155" s="319"/>
      <c r="Y155" s="319"/>
      <c r="Z155" s="319"/>
      <c r="AA155" s="319"/>
      <c r="AB155"/>
      <c r="AC155"/>
      <c r="AD155"/>
      <c r="AE155"/>
      <c r="AF155"/>
      <c r="AG155"/>
    </row>
    <row r="156" spans="1:33" ht="27.75" customHeight="1" x14ac:dyDescent="0.25">
      <c r="A156" s="143">
        <v>1</v>
      </c>
      <c r="B156" s="143" t="s">
        <v>21</v>
      </c>
      <c r="C156" s="143">
        <v>6</v>
      </c>
      <c r="D156" s="143" t="s">
        <v>543</v>
      </c>
      <c r="E156" s="145">
        <f>GETPIVOTDATA("Sum of Total Weight 
(Kg)",$O$157,"Alt. Material","IS 2062 
E350 A/BR","IS Thk
(mm)",6)</f>
        <v>1.2</v>
      </c>
      <c r="F156" s="145">
        <f>GETPIVOTDATA("Sum of Gross Wt 
(kg)",$O$157,"Alt. Material","IS 2062 
E350 A/BR","IS Thk
(mm)",6)</f>
        <v>1.2045825000000001</v>
      </c>
      <c r="G156" s="145"/>
      <c r="H156" s="145"/>
      <c r="I156" s="145">
        <f t="shared" ref="I156" si="29">IF(G156&gt;F156,G156,IF(G156&lt;F156,F156))</f>
        <v>1.2045825000000001</v>
      </c>
      <c r="J156" s="145">
        <v>90</v>
      </c>
      <c r="K156" s="145">
        <f t="shared" ref="K156" si="30">J156*I156</f>
        <v>108.41242500000001</v>
      </c>
      <c r="O156" s="319"/>
      <c r="P156" s="319"/>
      <c r="Q156" s="319"/>
      <c r="R156" s="319"/>
      <c r="S156" s="319"/>
      <c r="T156" s="319"/>
      <c r="U156" s="319"/>
      <c r="V156" s="319"/>
      <c r="W156" s="319"/>
      <c r="X156" s="319"/>
      <c r="Y156" s="319"/>
      <c r="Z156" s="319"/>
      <c r="AA156" s="319"/>
      <c r="AB156"/>
      <c r="AC156"/>
      <c r="AD156"/>
      <c r="AE156"/>
      <c r="AF156"/>
      <c r="AG156"/>
    </row>
    <row r="157" spans="1:33" ht="27.75" customHeight="1" x14ac:dyDescent="0.25">
      <c r="A157" s="143">
        <v>2</v>
      </c>
      <c r="B157" s="143" t="s">
        <v>21</v>
      </c>
      <c r="C157" s="143">
        <v>10</v>
      </c>
      <c r="D157" s="143" t="s">
        <v>543</v>
      </c>
      <c r="E157" s="145">
        <f>GETPIVOTDATA("Sum of Total Weight 
(Kg)",$O$157,"Alt. Material","IS 2062 
E350 A/BR","IS Thk
(mm)",10)</f>
        <v>46</v>
      </c>
      <c r="F157" s="145">
        <f>GETPIVOTDATA("Sum of Gross Wt 
(kg)",$O$157,"Alt. Material","IS 2062 
E350 A/BR","IS Thk
(mm)",10)</f>
        <v>68.055025499999999</v>
      </c>
      <c r="G157" s="145"/>
      <c r="H157" s="145"/>
      <c r="I157" s="145">
        <f>IF(G157&gt;F157,G157,IF(G157&lt;F157,F157))</f>
        <v>68.055025499999999</v>
      </c>
      <c r="J157" s="145">
        <v>90</v>
      </c>
      <c r="K157" s="145">
        <f>J157*I157</f>
        <v>6124.952295</v>
      </c>
      <c r="O157" s="487"/>
      <c r="P157" s="486" t="s">
        <v>129</v>
      </c>
      <c r="Q157" s="487"/>
      <c r="R157" s="487"/>
      <c r="S157" s="487"/>
      <c r="T157" s="487"/>
      <c r="U157" s="487"/>
      <c r="V157" s="487"/>
      <c r="W157" s="487"/>
      <c r="X157" s="487"/>
      <c r="Y157" s="487"/>
      <c r="Z157"/>
      <c r="AA157"/>
      <c r="AB157"/>
      <c r="AC157"/>
      <c r="AD157"/>
      <c r="AE157"/>
      <c r="AF157"/>
      <c r="AG157"/>
    </row>
    <row r="158" spans="1:33" ht="29.25" customHeight="1" x14ac:dyDescent="0.25">
      <c r="A158" s="143">
        <v>3</v>
      </c>
      <c r="B158" s="143" t="s">
        <v>21</v>
      </c>
      <c r="C158" s="143">
        <v>12</v>
      </c>
      <c r="D158" s="143" t="s">
        <v>543</v>
      </c>
      <c r="E158" s="145">
        <f>GETPIVOTDATA("Sum of Total Weight 
(Kg)",$O$157,"Alt. Material","IS 2062 
E350 A/BR","IS Thk
(mm)",12)</f>
        <v>149.6</v>
      </c>
      <c r="F158" s="145">
        <f>GETPIVOTDATA("Sum of Gross Wt 
(kg)",$O$157,"Alt. Material","IS 2062 
E350 A/BR","IS Thk
(mm)",12)</f>
        <v>199.55098151999999</v>
      </c>
      <c r="G158" s="145"/>
      <c r="H158" s="145"/>
      <c r="I158" s="145">
        <f t="shared" ref="I158:I161" si="31">IF(G158&gt;F158,G158,IF(G158&lt;F158,F158))</f>
        <v>199.55098151999999</v>
      </c>
      <c r="J158" s="145">
        <v>90</v>
      </c>
      <c r="K158" s="145">
        <f t="shared" ref="K158:K161" si="32">J158*I158</f>
        <v>17959.5883368</v>
      </c>
      <c r="O158" s="487"/>
      <c r="P158" s="487" t="s">
        <v>540</v>
      </c>
      <c r="Q158" s="487"/>
      <c r="R158" s="487" t="s">
        <v>447</v>
      </c>
      <c r="S158" s="487"/>
      <c r="T158" s="487" t="s">
        <v>573</v>
      </c>
      <c r="U158" s="487"/>
      <c r="V158" s="487" t="s">
        <v>777</v>
      </c>
      <c r="W158" s="487"/>
      <c r="X158" s="487" t="s">
        <v>130</v>
      </c>
      <c r="Y158" s="487" t="s">
        <v>131</v>
      </c>
      <c r="Z158"/>
      <c r="AA158"/>
      <c r="AB158"/>
      <c r="AC158"/>
      <c r="AD158"/>
      <c r="AE158"/>
      <c r="AF158"/>
      <c r="AG158"/>
    </row>
    <row r="159" spans="1:33" ht="27.75" customHeight="1" x14ac:dyDescent="0.25">
      <c r="A159" s="143">
        <v>3</v>
      </c>
      <c r="B159" s="143" t="s">
        <v>21</v>
      </c>
      <c r="C159" s="143">
        <v>25</v>
      </c>
      <c r="D159" s="143" t="s">
        <v>543</v>
      </c>
      <c r="E159" s="145">
        <f>GETPIVOTDATA("Sum of Total Weight 
(Kg)",$O$157,"Alt. Material","IS 2062 
E350 A/BR","IS Thk
(mm)",25)</f>
        <v>0.98124999999999996</v>
      </c>
      <c r="F159" s="145">
        <f>GETPIVOTDATA("Sum of Gross Wt 
(kg)",$O$157,"Alt. Material","IS 2062 
E350 A/BR","IS Thk
(mm)",25)</f>
        <v>1.079375</v>
      </c>
      <c r="G159" s="145"/>
      <c r="H159" s="145"/>
      <c r="I159" s="145">
        <f t="shared" ref="I159" si="33">IF(G159&gt;F159,G159,IF(G159&lt;F159,F159))</f>
        <v>1.079375</v>
      </c>
      <c r="J159" s="145">
        <v>90</v>
      </c>
      <c r="K159" s="145">
        <f t="shared" ref="K159" si="34">J159*I159</f>
        <v>97.143749999999997</v>
      </c>
      <c r="O159" s="486" t="s">
        <v>41</v>
      </c>
      <c r="P159" s="487" t="s">
        <v>132</v>
      </c>
      <c r="Q159" s="487" t="s">
        <v>43</v>
      </c>
      <c r="R159" s="487" t="s">
        <v>132</v>
      </c>
      <c r="S159" s="487" t="s">
        <v>43</v>
      </c>
      <c r="T159" s="487" t="s">
        <v>132</v>
      </c>
      <c r="U159" s="487" t="s">
        <v>43</v>
      </c>
      <c r="V159" s="487" t="s">
        <v>132</v>
      </c>
      <c r="W159" s="487" t="s">
        <v>43</v>
      </c>
      <c r="X159" s="487"/>
      <c r="Y159" s="487"/>
      <c r="Z159"/>
      <c r="AA159"/>
      <c r="AB159"/>
      <c r="AC159"/>
      <c r="AD159"/>
      <c r="AE159"/>
      <c r="AF159"/>
      <c r="AG159"/>
    </row>
    <row r="160" spans="1:33" ht="27.75" customHeight="1" x14ac:dyDescent="0.25">
      <c r="A160" s="143">
        <v>4</v>
      </c>
      <c r="B160" s="143" t="s">
        <v>21</v>
      </c>
      <c r="C160" s="143">
        <v>20</v>
      </c>
      <c r="D160" s="143" t="s">
        <v>542</v>
      </c>
      <c r="E160" s="145">
        <f>GETPIVOTDATA("Sum of Total Weight 
(Kg)",$O$157,"Alt. Material","IS 2062
 E250 A/BR","IS Thk
(mm)",20)</f>
        <v>47</v>
      </c>
      <c r="F160" s="145">
        <f>GETPIVOTDATA("Sum of Gross Wt 
(kg)",$O$157,"Alt. Material","IS 2062
 E250 A/BR","IS Thk
(mm)",20)</f>
        <v>54.871971000000002</v>
      </c>
      <c r="G160" s="320"/>
      <c r="H160" s="145"/>
      <c r="I160" s="145">
        <f t="shared" si="31"/>
        <v>54.871971000000002</v>
      </c>
      <c r="J160" s="145">
        <v>90</v>
      </c>
      <c r="K160" s="145">
        <f t="shared" si="32"/>
        <v>4938.47739</v>
      </c>
      <c r="O160" s="488">
        <v>6</v>
      </c>
      <c r="P160" s="489"/>
      <c r="Q160" s="489"/>
      <c r="R160" s="489"/>
      <c r="S160" s="489"/>
      <c r="T160" s="489">
        <v>1.2</v>
      </c>
      <c r="U160" s="489">
        <v>1.2045825000000001</v>
      </c>
      <c r="V160" s="489"/>
      <c r="W160" s="489"/>
      <c r="X160" s="489">
        <v>1.2</v>
      </c>
      <c r="Y160" s="489">
        <v>1.2045825000000001</v>
      </c>
      <c r="Z160"/>
      <c r="AA160"/>
      <c r="AB160"/>
      <c r="AC160"/>
      <c r="AD160"/>
      <c r="AE160"/>
      <c r="AF160"/>
      <c r="AG160"/>
    </row>
    <row r="161" spans="1:33" ht="27.75" customHeight="1" x14ac:dyDescent="0.25">
      <c r="A161" s="143">
        <v>5</v>
      </c>
      <c r="B161" s="143" t="s">
        <v>21</v>
      </c>
      <c r="C161" s="143">
        <v>25</v>
      </c>
      <c r="D161" s="143" t="s">
        <v>542</v>
      </c>
      <c r="E161" s="145">
        <f>GETPIVOTDATA("Sum of Total Weight 
(Kg)",$O$157,"Alt. Material","IS 2062
 E250 A/BR","IS Thk
(mm)",25)</f>
        <v>24</v>
      </c>
      <c r="F161" s="145">
        <f>GETPIVOTDATA("Sum of Gross Wt 
(kg)",$O$157,"Alt. Material","IS 2062
 E250 A/BR","IS Thk
(mm)",25)</f>
        <v>45.0254805</v>
      </c>
      <c r="G161" s="145"/>
      <c r="H161" s="145"/>
      <c r="I161" s="145">
        <f t="shared" si="31"/>
        <v>45.0254805</v>
      </c>
      <c r="J161" s="145">
        <v>90</v>
      </c>
      <c r="K161" s="145">
        <f t="shared" si="32"/>
        <v>4052.2932449999998</v>
      </c>
      <c r="O161" s="488">
        <v>10</v>
      </c>
      <c r="P161" s="489"/>
      <c r="Q161" s="489"/>
      <c r="R161" s="489"/>
      <c r="S161" s="489"/>
      <c r="T161" s="489">
        <v>46</v>
      </c>
      <c r="U161" s="489">
        <v>68.055025499999999</v>
      </c>
      <c r="V161" s="489"/>
      <c r="W161" s="489"/>
      <c r="X161" s="489">
        <v>46</v>
      </c>
      <c r="Y161" s="489">
        <v>68.055025499999999</v>
      </c>
      <c r="Z161"/>
      <c r="AA161"/>
      <c r="AB161"/>
      <c r="AC161"/>
      <c r="AD161"/>
      <c r="AE161"/>
      <c r="AF161"/>
      <c r="AG161"/>
    </row>
    <row r="162" spans="1:33" ht="42.75" customHeight="1" x14ac:dyDescent="0.25">
      <c r="A162" s="143">
        <v>6</v>
      </c>
      <c r="B162" s="143" t="s">
        <v>21</v>
      </c>
      <c r="C162" s="143" t="s">
        <v>545</v>
      </c>
      <c r="D162" s="143" t="s">
        <v>540</v>
      </c>
      <c r="E162" s="145">
        <f>GETPIVOTDATA("Sum of Total Weight 
(Kg)",$O$157,"Alt. Material","YST 310","IS Thk
(mm)","200x150x 12thk")</f>
        <v>25</v>
      </c>
      <c r="F162" s="145">
        <f>GETPIVOTDATA("Sum of Gross Wt 
(kg)",$O$157,"Alt. Material","YST 310","IS Thk
(mm)","200x150x 12thk")</f>
        <v>38.848150000000004</v>
      </c>
      <c r="G162" s="145">
        <f>61.42*6</f>
        <v>368.52</v>
      </c>
      <c r="H162" s="145"/>
      <c r="I162" s="145">
        <f>IF(G162&gt;F162,G162,IF(G162&lt;F162,F162))</f>
        <v>368.52</v>
      </c>
      <c r="J162" s="145">
        <v>150</v>
      </c>
      <c r="K162" s="145">
        <f>J162*I162</f>
        <v>55278</v>
      </c>
      <c r="O162" s="488">
        <v>12</v>
      </c>
      <c r="P162" s="489"/>
      <c r="Q162" s="489"/>
      <c r="R162" s="489"/>
      <c r="S162" s="489"/>
      <c r="T162" s="489">
        <v>149.6</v>
      </c>
      <c r="U162" s="489">
        <v>199.55098151999999</v>
      </c>
      <c r="V162" s="489"/>
      <c r="W162" s="489"/>
      <c r="X162" s="489">
        <v>149.6</v>
      </c>
      <c r="Y162" s="489">
        <v>199.55098151999999</v>
      </c>
      <c r="Z162"/>
      <c r="AA162"/>
    </row>
    <row r="163" spans="1:33" ht="27.75" customHeight="1" x14ac:dyDescent="0.25">
      <c r="A163" s="143">
        <v>7</v>
      </c>
      <c r="B163" s="143" t="s">
        <v>21</v>
      </c>
      <c r="C163" s="143" t="s">
        <v>448</v>
      </c>
      <c r="D163" s="143" t="s">
        <v>447</v>
      </c>
      <c r="E163" s="145">
        <f>GETPIVOTDATA("Sum of Total Weight 
(Kg)",$O$157,"Alt. Material","AISI C1045","IS Thk
(mm)","Dia 72")</f>
        <v>1.6</v>
      </c>
      <c r="F163" s="145">
        <f>GETPIVOTDATA("Sum of Gross Wt 
(kg)",$O$157,"Alt. Material","AISI C1045","IS Thk
(mm)","Dia 72")</f>
        <v>1.7600000000000002</v>
      </c>
      <c r="G163" s="320">
        <f>31.96*1</f>
        <v>31.96</v>
      </c>
      <c r="H163" s="145"/>
      <c r="I163" s="145">
        <f t="shared" ref="I163:I164" si="35">IF(G163&gt;F163,G163,IF(G163&lt;F163,F163))</f>
        <v>31.96</v>
      </c>
      <c r="J163" s="145">
        <v>110</v>
      </c>
      <c r="K163" s="145">
        <f t="shared" ref="K163:K164" si="36">J163*I163</f>
        <v>3515.6</v>
      </c>
      <c r="O163" s="488">
        <v>20</v>
      </c>
      <c r="P163" s="489"/>
      <c r="Q163" s="489"/>
      <c r="R163" s="489"/>
      <c r="S163" s="489"/>
      <c r="T163" s="489"/>
      <c r="U163" s="489"/>
      <c r="V163" s="489">
        <v>47</v>
      </c>
      <c r="W163" s="489">
        <v>54.871971000000002</v>
      </c>
      <c r="X163" s="489">
        <v>47</v>
      </c>
      <c r="Y163" s="489">
        <v>54.871971000000002</v>
      </c>
      <c r="Z163"/>
      <c r="AA163"/>
    </row>
    <row r="164" spans="1:33" ht="27.75" customHeight="1" x14ac:dyDescent="0.25">
      <c r="A164" s="143">
        <v>8</v>
      </c>
      <c r="B164" s="143" t="s">
        <v>21</v>
      </c>
      <c r="C164" s="143" t="s">
        <v>534</v>
      </c>
      <c r="D164" s="143" t="s">
        <v>536</v>
      </c>
      <c r="E164" s="145">
        <f>GETPIVOTDATA("Sum of Total Weight 
(Kg)",$O$157,"Alt. Material","IS 2062 
E350 A/BR","IS Thk
(mm)","NPB 450x190x67.16")</f>
        <v>482</v>
      </c>
      <c r="F164" s="145">
        <f>GETPIVOTDATA("Sum of Gross Wt 
(kg)",$O$157,"Alt. Material","IS 2062 
E350 A/BR","IS Thk
(mm)","NPB 450x190x67.16")</f>
        <v>531.9072000000001</v>
      </c>
      <c r="G164" s="320">
        <f>67.16*6</f>
        <v>402.96</v>
      </c>
      <c r="H164" s="145"/>
      <c r="I164" s="145">
        <f t="shared" si="35"/>
        <v>531.9072000000001</v>
      </c>
      <c r="J164" s="145">
        <v>110</v>
      </c>
      <c r="K164" s="145">
        <f t="shared" si="36"/>
        <v>58509.792000000009</v>
      </c>
      <c r="O164" s="488">
        <v>25</v>
      </c>
      <c r="P164" s="489"/>
      <c r="Q164" s="489"/>
      <c r="R164" s="489"/>
      <c r="S164" s="489"/>
      <c r="T164" s="489">
        <v>0.98124999999999996</v>
      </c>
      <c r="U164" s="489">
        <v>1.079375</v>
      </c>
      <c r="V164" s="489">
        <v>24</v>
      </c>
      <c r="W164" s="489">
        <v>45.0254805</v>
      </c>
      <c r="X164" s="489">
        <v>24.981249999999999</v>
      </c>
      <c r="Y164" s="489">
        <v>46.104855499999999</v>
      </c>
      <c r="Z164"/>
      <c r="AA164"/>
    </row>
    <row r="165" spans="1:33" ht="35.25" customHeight="1" thickBot="1" x14ac:dyDescent="0.3">
      <c r="A165" s="371"/>
      <c r="B165" s="372"/>
      <c r="C165" s="372" t="s">
        <v>45</v>
      </c>
      <c r="D165" s="372"/>
      <c r="E165" s="373">
        <f>SUM(E156:E164)</f>
        <v>777.38125000000002</v>
      </c>
      <c r="F165" s="373">
        <f>SUM(F156:F164)</f>
        <v>942.30276602000015</v>
      </c>
      <c r="G165" s="372"/>
      <c r="H165" s="372"/>
      <c r="I165" s="373">
        <f>SUM(I156:I164)</f>
        <v>1302.1746160200003</v>
      </c>
      <c r="J165" s="375">
        <f>K165/I165</f>
        <v>115.64060425478849</v>
      </c>
      <c r="K165" s="373">
        <f>SUM(K156:K164)</f>
        <v>150584.25944180001</v>
      </c>
      <c r="O165" s="488" t="s">
        <v>448</v>
      </c>
      <c r="P165" s="489"/>
      <c r="Q165" s="489"/>
      <c r="R165" s="489">
        <v>1.6</v>
      </c>
      <c r="S165" s="489">
        <v>1.7600000000000002</v>
      </c>
      <c r="T165" s="489"/>
      <c r="U165" s="489"/>
      <c r="V165" s="489"/>
      <c r="W165" s="489"/>
      <c r="X165" s="489">
        <v>1.6</v>
      </c>
      <c r="Y165" s="489">
        <v>1.7600000000000002</v>
      </c>
      <c r="Z165"/>
      <c r="AA165"/>
    </row>
    <row r="166" spans="1:33" x14ac:dyDescent="0.25">
      <c r="O166" s="488" t="s">
        <v>534</v>
      </c>
      <c r="P166" s="489"/>
      <c r="Q166" s="489"/>
      <c r="R166" s="489"/>
      <c r="S166" s="489"/>
      <c r="T166" s="489">
        <v>482</v>
      </c>
      <c r="U166" s="489">
        <v>531.9072000000001</v>
      </c>
      <c r="V166" s="489"/>
      <c r="W166" s="489"/>
      <c r="X166" s="489">
        <v>482</v>
      </c>
      <c r="Y166" s="489">
        <v>531.9072000000001</v>
      </c>
      <c r="Z166"/>
      <c r="AA166"/>
    </row>
    <row r="167" spans="1:33" x14ac:dyDescent="0.25">
      <c r="O167" s="488" t="s">
        <v>545</v>
      </c>
      <c r="P167" s="489">
        <v>25</v>
      </c>
      <c r="Q167" s="489">
        <v>38.848150000000004</v>
      </c>
      <c r="R167" s="489"/>
      <c r="S167" s="489"/>
      <c r="T167" s="489"/>
      <c r="U167" s="489"/>
      <c r="V167" s="489"/>
      <c r="W167" s="489"/>
      <c r="X167" s="489">
        <v>25</v>
      </c>
      <c r="Y167" s="489">
        <v>38.848150000000004</v>
      </c>
      <c r="Z167"/>
      <c r="AA167"/>
    </row>
    <row r="168" spans="1:33" x14ac:dyDescent="0.25">
      <c r="O168" s="488" t="s">
        <v>42</v>
      </c>
      <c r="P168" s="489">
        <v>25</v>
      </c>
      <c r="Q168" s="489">
        <v>38.848150000000004</v>
      </c>
      <c r="R168" s="489">
        <v>1.6</v>
      </c>
      <c r="S168" s="489">
        <v>1.7600000000000002</v>
      </c>
      <c r="T168" s="489">
        <v>679.78125</v>
      </c>
      <c r="U168" s="489">
        <v>801.79716452000014</v>
      </c>
      <c r="V168" s="489">
        <v>71</v>
      </c>
      <c r="W168" s="489">
        <v>99.897451500000003</v>
      </c>
      <c r="X168" s="489">
        <v>777.38125000000002</v>
      </c>
      <c r="Y168" s="489">
        <v>942.30276602000015</v>
      </c>
      <c r="Z168"/>
      <c r="AA168"/>
    </row>
    <row r="171" spans="1:33" ht="16.5" thickBot="1" x14ac:dyDescent="0.3"/>
    <row r="172" spans="1:33" ht="19.5" thickBot="1" x14ac:dyDescent="0.3">
      <c r="A172" s="707" t="s">
        <v>685</v>
      </c>
      <c r="B172" s="708"/>
      <c r="C172" s="708"/>
      <c r="D172" s="708"/>
      <c r="E172" s="708"/>
      <c r="F172" s="708"/>
      <c r="G172" s="708"/>
      <c r="H172" s="359" t="str">
        <f>P172</f>
        <v>AY51606</v>
      </c>
      <c r="I172" s="359"/>
      <c r="J172" s="359"/>
      <c r="K172" s="360"/>
      <c r="O172" s="486" t="s">
        <v>128</v>
      </c>
      <c r="P172" s="487" t="s">
        <v>193</v>
      </c>
      <c r="Q172" s="319"/>
      <c r="R172" s="319"/>
      <c r="S172" s="319"/>
      <c r="T172" s="319"/>
      <c r="U172" s="319"/>
      <c r="V172" s="319"/>
      <c r="W172" s="319"/>
      <c r="X172" s="319"/>
      <c r="Y172" s="319"/>
      <c r="Z172" s="319"/>
      <c r="AA172" s="319"/>
      <c r="AB172"/>
      <c r="AC172"/>
      <c r="AD172"/>
      <c r="AE172"/>
      <c r="AF172"/>
      <c r="AG172"/>
    </row>
    <row r="173" spans="1:33" ht="37.5" x14ac:dyDescent="0.25">
      <c r="A173" s="383" t="s">
        <v>0</v>
      </c>
      <c r="B173" s="383" t="s">
        <v>13</v>
      </c>
      <c r="C173" s="383" t="s">
        <v>154</v>
      </c>
      <c r="D173" s="383" t="s">
        <v>544</v>
      </c>
      <c r="E173" s="384" t="s">
        <v>551</v>
      </c>
      <c r="F173" s="384" t="s">
        <v>552</v>
      </c>
      <c r="G173" s="383" t="s">
        <v>548</v>
      </c>
      <c r="H173" s="383" t="s">
        <v>34</v>
      </c>
      <c r="I173" s="383" t="s">
        <v>549</v>
      </c>
      <c r="J173" s="383" t="s">
        <v>547</v>
      </c>
      <c r="K173" s="383" t="s">
        <v>156</v>
      </c>
      <c r="O173" s="486" t="s">
        <v>13</v>
      </c>
      <c r="P173" s="487" t="s">
        <v>153</v>
      </c>
      <c r="Q173" s="319"/>
      <c r="R173" s="319"/>
      <c r="S173" s="319"/>
      <c r="T173" s="319"/>
      <c r="U173" s="319"/>
      <c r="V173" s="319"/>
      <c r="W173" s="319"/>
      <c r="X173" s="319"/>
      <c r="Y173" s="319"/>
      <c r="Z173" s="319"/>
      <c r="AA173" s="319"/>
      <c r="AB173"/>
      <c r="AC173"/>
      <c r="AD173"/>
      <c r="AE173"/>
      <c r="AF173"/>
      <c r="AG173"/>
    </row>
    <row r="174" spans="1:33" ht="27.75" customHeight="1" x14ac:dyDescent="0.25">
      <c r="A174" s="143">
        <v>1</v>
      </c>
      <c r="B174" s="143" t="s">
        <v>21</v>
      </c>
      <c r="C174" s="143">
        <v>10</v>
      </c>
      <c r="D174" s="143" t="s">
        <v>543</v>
      </c>
      <c r="E174" s="145">
        <f>GETPIVOTDATA("Sum of Total Weight 
(Kg)",$O$175,"Alt. Material","IS 2062 
E350 A/BR","IS Thk
(mm)",10)</f>
        <v>45.074699999999993</v>
      </c>
      <c r="F174" s="145">
        <f>GETPIVOTDATA("Sum of Gross Wt 
(kg)",$O$175,"Alt. Material","IS 2062 
E350 A/BR","IS Thk
(mm)",10)</f>
        <v>49.582170000000005</v>
      </c>
      <c r="G174" s="145"/>
      <c r="H174" s="145"/>
      <c r="I174" s="145">
        <f t="shared" ref="I174" si="37">IF(G174&gt;F174,G174,IF(G174&lt;F174,F174))</f>
        <v>49.582170000000005</v>
      </c>
      <c r="J174" s="145">
        <v>90</v>
      </c>
      <c r="K174" s="145">
        <f t="shared" ref="K174" si="38">J174*I174</f>
        <v>4462.3953000000001</v>
      </c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  <c r="Z174" s="319"/>
      <c r="AA174" s="319"/>
      <c r="AB174"/>
      <c r="AC174"/>
      <c r="AD174"/>
      <c r="AE174"/>
      <c r="AF174"/>
      <c r="AG174"/>
    </row>
    <row r="175" spans="1:33" ht="27.75" customHeight="1" x14ac:dyDescent="0.25">
      <c r="A175" s="143">
        <v>2</v>
      </c>
      <c r="B175" s="143" t="s">
        <v>21</v>
      </c>
      <c r="C175" s="143">
        <v>12</v>
      </c>
      <c r="D175" s="143" t="s">
        <v>543</v>
      </c>
      <c r="E175" s="145">
        <f>GETPIVOTDATA("Sum of Total Weight 
(Kg)",$O$175,"Alt. Material","IS 2062 
E350 A/BR","IS Thk
(mm)",12)</f>
        <v>36.854949299999994</v>
      </c>
      <c r="F175" s="145">
        <f>GETPIVOTDATA("Sum of Gross Wt 
(kg)",$O$175,"Alt. Material","IS 2062 
E350 A/BR","IS Thk
(mm)",12)</f>
        <v>43.271712000000001</v>
      </c>
      <c r="G175" s="145"/>
      <c r="H175" s="145"/>
      <c r="I175" s="145">
        <f>IF(G175&gt;F175,G175,IF(G175&lt;F175,F175))</f>
        <v>43.271712000000001</v>
      </c>
      <c r="J175" s="145">
        <v>90</v>
      </c>
      <c r="K175" s="145">
        <f>J175*I175</f>
        <v>3894.45408</v>
      </c>
      <c r="O175" s="487"/>
      <c r="P175" s="486" t="s">
        <v>129</v>
      </c>
      <c r="Q175" s="487"/>
      <c r="R175" s="487"/>
      <c r="S175" s="487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 spans="1:33" ht="29.25" customHeight="1" x14ac:dyDescent="0.25">
      <c r="A176" s="143">
        <v>3</v>
      </c>
      <c r="B176" s="143" t="s">
        <v>21</v>
      </c>
      <c r="C176" s="143">
        <v>40</v>
      </c>
      <c r="D176" s="143" t="s">
        <v>543</v>
      </c>
      <c r="E176" s="145">
        <f>GETPIVOTDATA("Sum of Total Weight 
(Kg)",$O$175,"Alt. Material","IS 2062 
E350 A/BR","IS Thk
(mm)",40)</f>
        <v>95.94332799999998</v>
      </c>
      <c r="F176" s="145">
        <f>GETPIVOTDATA("Sum of Gross Wt 
(kg)",$O$175,"Alt. Material","IS 2062 
E350 A/BR","IS Thk
(mm)",40)</f>
        <v>157.47476800000001</v>
      </c>
      <c r="G176" s="145"/>
      <c r="H176" s="145"/>
      <c r="I176" s="145">
        <f t="shared" ref="I176" si="39">IF(G176&gt;F176,G176,IF(G176&lt;F176,F176))</f>
        <v>157.47476800000001</v>
      </c>
      <c r="J176" s="145">
        <v>90</v>
      </c>
      <c r="K176" s="145">
        <f t="shared" ref="K176" si="40">J176*I176</f>
        <v>14172.729120000002</v>
      </c>
      <c r="O176" s="487"/>
      <c r="P176" s="487" t="s">
        <v>573</v>
      </c>
      <c r="Q176" s="487"/>
      <c r="R176" s="487" t="s">
        <v>130</v>
      </c>
      <c r="S176" s="487" t="s">
        <v>131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 spans="1:33" ht="27.75" customHeight="1" thickBot="1" x14ac:dyDescent="0.3">
      <c r="A177" s="371"/>
      <c r="B177" s="372"/>
      <c r="C177" s="372" t="s">
        <v>45</v>
      </c>
      <c r="D177" s="372"/>
      <c r="E177" s="373">
        <f>SUM(E174:E176)</f>
        <v>177.87297729999997</v>
      </c>
      <c r="F177" s="373">
        <f>SUM(F174:F176)</f>
        <v>250.32865000000001</v>
      </c>
      <c r="G177" s="372"/>
      <c r="H177" s="372"/>
      <c r="I177" s="373">
        <f>SUM(I174:I176)</f>
        <v>250.32865000000001</v>
      </c>
      <c r="J177" s="375">
        <f>K177/I177</f>
        <v>90.000000000000014</v>
      </c>
      <c r="K177" s="373">
        <f>SUM(K174:K176)</f>
        <v>22529.578500000003</v>
      </c>
      <c r="O177" s="486" t="s">
        <v>41</v>
      </c>
      <c r="P177" s="487" t="s">
        <v>132</v>
      </c>
      <c r="Q177" s="487" t="s">
        <v>43</v>
      </c>
      <c r="R177" s="487"/>
      <c r="S177" s="48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 spans="1:33" ht="27.75" customHeight="1" x14ac:dyDescent="0.25">
      <c r="O178" s="488">
        <v>10</v>
      </c>
      <c r="P178" s="489">
        <v>45.074699999999993</v>
      </c>
      <c r="Q178" s="489">
        <v>49.582170000000005</v>
      </c>
      <c r="R178" s="489">
        <v>45.074699999999993</v>
      </c>
      <c r="S178" s="489">
        <v>49.582170000000005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 spans="1:33" ht="27.75" customHeight="1" x14ac:dyDescent="0.25">
      <c r="O179" s="488">
        <v>12</v>
      </c>
      <c r="P179" s="489">
        <v>36.854949299999994</v>
      </c>
      <c r="Q179" s="489">
        <v>43.271712000000001</v>
      </c>
      <c r="R179" s="489">
        <v>36.854949299999994</v>
      </c>
      <c r="S179" s="489">
        <v>43.271712000000001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 spans="1:33" ht="42.75" customHeight="1" x14ac:dyDescent="0.25">
      <c r="O180" s="488">
        <v>40</v>
      </c>
      <c r="P180" s="489">
        <v>95.94332799999998</v>
      </c>
      <c r="Q180" s="489">
        <v>157.47476800000001</v>
      </c>
      <c r="R180" s="489">
        <v>95.94332799999998</v>
      </c>
      <c r="S180" s="489">
        <v>157.47476800000001</v>
      </c>
      <c r="T180"/>
      <c r="U180"/>
      <c r="V180"/>
      <c r="W180"/>
      <c r="X180"/>
      <c r="Y180"/>
      <c r="Z180"/>
      <c r="AA180"/>
    </row>
    <row r="181" spans="1:33" ht="27.75" customHeight="1" x14ac:dyDescent="0.25">
      <c r="O181" s="488" t="s">
        <v>42</v>
      </c>
      <c r="P181" s="489">
        <v>177.87297729999997</v>
      </c>
      <c r="Q181" s="489">
        <v>250.32865000000001</v>
      </c>
      <c r="R181" s="489">
        <v>177.87297729999997</v>
      </c>
      <c r="S181" s="489">
        <v>250.32865000000001</v>
      </c>
      <c r="T181"/>
      <c r="U181"/>
      <c r="V181"/>
      <c r="W181"/>
      <c r="X181"/>
      <c r="Y181"/>
      <c r="Z181"/>
      <c r="AA181"/>
    </row>
    <row r="182" spans="1:33" ht="27.75" customHeight="1" thickBot="1" x14ac:dyDescent="0.3"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33" ht="19.5" thickBot="1" x14ac:dyDescent="0.3">
      <c r="A183" s="716" t="s">
        <v>685</v>
      </c>
      <c r="B183" s="717"/>
      <c r="C183" s="717"/>
      <c r="D183" s="717"/>
      <c r="E183" s="717"/>
      <c r="F183" s="717"/>
      <c r="G183" s="717"/>
      <c r="H183" s="491" t="str">
        <f>P184</f>
        <v>AY30130</v>
      </c>
      <c r="I183" s="491"/>
      <c r="J183" s="491"/>
      <c r="K183" s="492"/>
      <c r="N183" s="319"/>
      <c r="O183"/>
      <c r="P183"/>
      <c r="Q183"/>
      <c r="R183"/>
      <c r="S183"/>
      <c r="T183"/>
    </row>
    <row r="184" spans="1:33" ht="37.5" x14ac:dyDescent="0.25">
      <c r="A184" s="493" t="s">
        <v>0</v>
      </c>
      <c r="B184" s="494" t="s">
        <v>13</v>
      </c>
      <c r="C184" s="494" t="s">
        <v>154</v>
      </c>
      <c r="D184" s="494" t="s">
        <v>544</v>
      </c>
      <c r="E184" s="495" t="s">
        <v>551</v>
      </c>
      <c r="F184" s="495" t="s">
        <v>552</v>
      </c>
      <c r="G184" s="494" t="s">
        <v>548</v>
      </c>
      <c r="H184" s="494" t="s">
        <v>34</v>
      </c>
      <c r="I184" s="494" t="s">
        <v>549</v>
      </c>
      <c r="J184" s="494" t="s">
        <v>547</v>
      </c>
      <c r="K184" s="496" t="s">
        <v>156</v>
      </c>
      <c r="N184" s="319"/>
      <c r="O184" s="482" t="s">
        <v>128</v>
      </c>
      <c r="P184" s="4" t="s">
        <v>179</v>
      </c>
      <c r="Q184"/>
      <c r="R184"/>
      <c r="S184"/>
      <c r="T184"/>
      <c r="U184"/>
      <c r="V184"/>
    </row>
    <row r="185" spans="1:33" ht="27.75" customHeight="1" x14ac:dyDescent="0.25">
      <c r="A185" s="369">
        <v>1</v>
      </c>
      <c r="B185" s="143" t="s">
        <v>21</v>
      </c>
      <c r="C185" s="143">
        <v>6</v>
      </c>
      <c r="D185" s="143" t="s">
        <v>543</v>
      </c>
      <c r="E185" s="145">
        <f>'BOM R2D CatWalk'!N206+'BOM R2D CatWalk'!N207+'BOM R2D CatWalk'!N227</f>
        <v>1.6</v>
      </c>
      <c r="F185" s="145">
        <f>GETPIVOTDATA("Gross Wt 
(kg)",$O$186,"Alt. Material","IS 2062 
E350 A/BR","IS Thk
(mm)",6)</f>
        <v>2.56671921</v>
      </c>
      <c r="G185" s="145"/>
      <c r="H185" s="145"/>
      <c r="I185" s="145">
        <f>IF(G185&gt;F185,G185,IF(G185&lt;F185,F185))</f>
        <v>2.56671921</v>
      </c>
      <c r="J185" s="145">
        <v>90</v>
      </c>
      <c r="K185" s="370">
        <f t="shared" ref="K185" si="41">J185*I185</f>
        <v>231.0047289</v>
      </c>
      <c r="N185" s="319"/>
      <c r="O185"/>
      <c r="P185"/>
      <c r="Q185"/>
      <c r="R185"/>
      <c r="S185"/>
      <c r="T185"/>
      <c r="U185"/>
      <c r="V185"/>
    </row>
    <row r="186" spans="1:33" ht="27.75" customHeight="1" x14ac:dyDescent="0.25">
      <c r="A186" s="369">
        <v>2</v>
      </c>
      <c r="B186" s="143" t="s">
        <v>21</v>
      </c>
      <c r="C186" s="143">
        <v>10</v>
      </c>
      <c r="D186" s="143" t="s">
        <v>543</v>
      </c>
      <c r="E186" s="145">
        <f>'BOM R2D CatWalk'!N203+'BOM R2D CatWalk'!N204+'BOM R2D CatWalk'!N221+'BOM R2D CatWalk'!N222+'BOM R2D CatWalk'!N223+'BOM R2D CatWalk'!N226</f>
        <v>978.4</v>
      </c>
      <c r="F186" s="145">
        <f>GETPIVOTDATA("Gross Wt 
(kg)",$O$186,"Alt. Material","IS 2062 
E350 A/BR","IS Thk
(mm)",10)</f>
        <v>1102.0318583999999</v>
      </c>
      <c r="G186" s="145"/>
      <c r="H186" s="145"/>
      <c r="I186" s="145">
        <f>IF(G186&gt;F186,G186,IF(G186&lt;F186,F186))</f>
        <v>1102.0318583999999</v>
      </c>
      <c r="J186" s="145">
        <v>90</v>
      </c>
      <c r="K186" s="370">
        <f>J186*I186</f>
        <v>99182.867255999998</v>
      </c>
      <c r="N186"/>
      <c r="O186" s="482" t="s">
        <v>43</v>
      </c>
      <c r="P186" s="482" t="s">
        <v>129</v>
      </c>
      <c r="Q186" s="4"/>
      <c r="R186" s="4"/>
      <c r="S186" s="4"/>
      <c r="T186" s="4"/>
      <c r="U186"/>
      <c r="V186"/>
    </row>
    <row r="187" spans="1:33" ht="29.25" customHeight="1" x14ac:dyDescent="0.25">
      <c r="A187" s="369">
        <v>3</v>
      </c>
      <c r="B187" s="143" t="s">
        <v>21</v>
      </c>
      <c r="C187" s="143">
        <v>12</v>
      </c>
      <c r="D187" s="143" t="s">
        <v>543</v>
      </c>
      <c r="E187" s="145">
        <f>'BOM R2D CatWalk'!N217+'BOM R2D CatWalk'!N219+'BOM R2D CatWalk'!N225</f>
        <v>251.66847999999999</v>
      </c>
      <c r="F187" s="145">
        <f>GETPIVOTDATA("Gross Wt 
(kg)",$O$186,"Alt. Material","IS 2062 
E350 A/BR","IS Thk
(mm)",12)</f>
        <v>503.28897167999997</v>
      </c>
      <c r="G187" s="145"/>
      <c r="H187" s="145"/>
      <c r="I187" s="145">
        <f>IF(G187&gt;F187,G187,IF(G187&lt;F187,F187))</f>
        <v>503.28897167999997</v>
      </c>
      <c r="J187" s="145">
        <v>90</v>
      </c>
      <c r="K187" s="370">
        <f t="shared" ref="K187:K192" si="42">J187*I187</f>
        <v>45296.007451199999</v>
      </c>
      <c r="N187"/>
      <c r="O187" s="485" t="s">
        <v>41</v>
      </c>
      <c r="P187" s="477" t="s">
        <v>447</v>
      </c>
      <c r="Q187" s="477" t="s">
        <v>540</v>
      </c>
      <c r="R187" s="477" t="s">
        <v>573</v>
      </c>
      <c r="S187" s="477" t="s">
        <v>777</v>
      </c>
      <c r="T187" s="477" t="s">
        <v>42</v>
      </c>
      <c r="U187"/>
      <c r="V187"/>
    </row>
    <row r="188" spans="1:33" ht="27.75" customHeight="1" x14ac:dyDescent="0.25">
      <c r="A188" s="369">
        <v>4</v>
      </c>
      <c r="B188" s="143" t="s">
        <v>21</v>
      </c>
      <c r="C188" s="143">
        <v>12</v>
      </c>
      <c r="D188" s="143" t="s">
        <v>542</v>
      </c>
      <c r="E188" s="145">
        <f>'BOM R2D CatWalk'!N215</f>
        <v>29.955599999999997</v>
      </c>
      <c r="F188" s="145">
        <f>GETPIVOTDATA("Gross Wt 
(kg)",$O$186,"Alt. Material","IS 2062
 E250 A/BR","IS Thk
(mm)",12)</f>
        <v>32.951160000000002</v>
      </c>
      <c r="G188" s="145"/>
      <c r="H188" s="145"/>
      <c r="I188" s="145">
        <f t="shared" ref="I188:I194" si="43">IF(G188&gt;F188,G188,IF(G188&lt;F188,F188))</f>
        <v>32.951160000000002</v>
      </c>
      <c r="J188" s="145">
        <v>90</v>
      </c>
      <c r="K188" s="370">
        <f t="shared" si="42"/>
        <v>2965.6044000000002</v>
      </c>
      <c r="N188"/>
      <c r="O188" s="3">
        <v>6</v>
      </c>
      <c r="P188" s="483"/>
      <c r="Q188" s="483"/>
      <c r="R188" s="483">
        <v>2.56671921</v>
      </c>
      <c r="S188" s="483"/>
      <c r="T188" s="483">
        <v>2.56671921</v>
      </c>
      <c r="U188"/>
      <c r="V188"/>
    </row>
    <row r="189" spans="1:33" ht="27.75" customHeight="1" x14ac:dyDescent="0.25">
      <c r="A189" s="369">
        <v>5</v>
      </c>
      <c r="B189" s="143" t="s">
        <v>21</v>
      </c>
      <c r="C189" s="143">
        <v>20</v>
      </c>
      <c r="D189" s="143" t="s">
        <v>542</v>
      </c>
      <c r="E189" s="145">
        <f>'BOM R2D CatWalk'!N205</f>
        <v>151.1</v>
      </c>
      <c r="F189" s="145">
        <f>GETPIVOTDATA("Gross Wt 
(kg)",$O$186,"Alt. Material","IS 2062
 E250 A/BR","IS Thk
(mm)",20)</f>
        <v>226.76425309999999</v>
      </c>
      <c r="G189" s="145"/>
      <c r="H189" s="145"/>
      <c r="I189" s="145">
        <f t="shared" si="43"/>
        <v>226.76425309999999</v>
      </c>
      <c r="J189" s="145">
        <v>90</v>
      </c>
      <c r="K189" s="370">
        <f t="shared" si="42"/>
        <v>20408.782778999997</v>
      </c>
      <c r="N189"/>
      <c r="O189" s="3">
        <v>10</v>
      </c>
      <c r="P189" s="483"/>
      <c r="Q189" s="483"/>
      <c r="R189" s="483">
        <v>1102.0318583999999</v>
      </c>
      <c r="S189" s="483"/>
      <c r="T189" s="483">
        <v>1102.0318583999999</v>
      </c>
      <c r="U189"/>
      <c r="V189"/>
    </row>
    <row r="190" spans="1:33" ht="27.75" customHeight="1" x14ac:dyDescent="0.25">
      <c r="A190" s="369">
        <v>6</v>
      </c>
      <c r="B190" s="143" t="s">
        <v>550</v>
      </c>
      <c r="C190" s="512" t="s">
        <v>774</v>
      </c>
      <c r="D190" s="143" t="s">
        <v>540</v>
      </c>
      <c r="E190" s="145">
        <f>'BOM R2D CatWalk'!N214</f>
        <v>39.953759999999996</v>
      </c>
      <c r="F190" s="145">
        <f>GETPIVOTDATA("Gross Wt 
(kg)",$O$186,"Alt. Material","YST 310","IS Thk
(mm)","150x50x 6thk ")</f>
        <v>43.949135999999996</v>
      </c>
      <c r="G190" s="145">
        <f>17.71*6</f>
        <v>106.26</v>
      </c>
      <c r="H190" s="145"/>
      <c r="I190" s="145">
        <f t="shared" si="43"/>
        <v>106.26</v>
      </c>
      <c r="J190" s="145">
        <v>200</v>
      </c>
      <c r="K190" s="370">
        <f t="shared" si="42"/>
        <v>21252</v>
      </c>
      <c r="N190"/>
      <c r="O190" s="3">
        <v>12</v>
      </c>
      <c r="P190" s="483"/>
      <c r="Q190" s="483"/>
      <c r="R190" s="483">
        <v>503.28897167999997</v>
      </c>
      <c r="S190" s="483">
        <v>32.951160000000002</v>
      </c>
      <c r="T190" s="483">
        <v>536.24013167999999</v>
      </c>
      <c r="U190"/>
      <c r="V190"/>
    </row>
    <row r="191" spans="1:33" ht="42.75" customHeight="1" x14ac:dyDescent="0.25">
      <c r="A191" s="369">
        <v>7</v>
      </c>
      <c r="B191" s="143" t="s">
        <v>550</v>
      </c>
      <c r="C191" s="512" t="s">
        <v>545</v>
      </c>
      <c r="D191" s="143" t="s">
        <v>540</v>
      </c>
      <c r="E191" s="145">
        <f>'BOM R2D CatWalk'!N212+'BOM R2D CatWalk'!N213</f>
        <v>824.01071999999999</v>
      </c>
      <c r="F191" s="145">
        <f>GETPIVOTDATA("Gross Wt 
(kg)",$O$186,"Alt. Material","YST 310","IS Thk
(mm)","200x150x 12thk")</f>
        <v>906.4117920000001</v>
      </c>
      <c r="G191" s="145">
        <f>61.42*6</f>
        <v>368.52</v>
      </c>
      <c r="H191" s="145"/>
      <c r="I191" s="145">
        <f t="shared" si="43"/>
        <v>906.4117920000001</v>
      </c>
      <c r="J191" s="145">
        <v>150</v>
      </c>
      <c r="K191" s="370">
        <f t="shared" si="42"/>
        <v>135961.76880000002</v>
      </c>
      <c r="N191"/>
      <c r="O191" s="3">
        <v>20</v>
      </c>
      <c r="P191" s="483"/>
      <c r="Q191" s="483"/>
      <c r="R191" s="483"/>
      <c r="S191" s="483">
        <v>226.76425309999999</v>
      </c>
      <c r="T191" s="483">
        <v>226.76425309999999</v>
      </c>
      <c r="U191"/>
      <c r="V191"/>
    </row>
    <row r="192" spans="1:33" ht="27.75" customHeight="1" x14ac:dyDescent="0.25">
      <c r="A192" s="369">
        <v>8</v>
      </c>
      <c r="B192" s="143" t="s">
        <v>799</v>
      </c>
      <c r="C192" s="143" t="s">
        <v>767</v>
      </c>
      <c r="D192" s="143" t="str">
        <f>P187</f>
        <v>AISI C1045</v>
      </c>
      <c r="E192" s="145">
        <f>'BOM R2D CatWalk'!N224</f>
        <v>11.2</v>
      </c>
      <c r="F192" s="145">
        <f>GETPIVOTDATA("Gross Wt 
(kg)",$O$186,"Alt. Material","AISI C1045","IS Thk
(mm)","Dia 30")</f>
        <v>13.357740000000002</v>
      </c>
      <c r="G192" s="145">
        <f>5.55*1</f>
        <v>5.55</v>
      </c>
      <c r="H192" s="145"/>
      <c r="I192" s="145">
        <f t="shared" si="43"/>
        <v>13.357740000000002</v>
      </c>
      <c r="J192" s="145">
        <v>110</v>
      </c>
      <c r="K192" s="370">
        <f t="shared" si="42"/>
        <v>1469.3514000000002</v>
      </c>
      <c r="N192"/>
      <c r="O192" s="3" t="s">
        <v>774</v>
      </c>
      <c r="P192" s="483"/>
      <c r="Q192" s="483">
        <v>43.949135999999996</v>
      </c>
      <c r="R192" s="483"/>
      <c r="S192" s="483"/>
      <c r="T192" s="483">
        <v>43.949135999999996</v>
      </c>
      <c r="U192"/>
      <c r="V192"/>
    </row>
    <row r="193" spans="1:22" ht="27.75" customHeight="1" x14ac:dyDescent="0.25">
      <c r="A193" s="369">
        <v>9</v>
      </c>
      <c r="B193" s="143" t="s">
        <v>799</v>
      </c>
      <c r="C193" s="143" t="s">
        <v>796</v>
      </c>
      <c r="D193" s="143" t="s">
        <v>543</v>
      </c>
      <c r="E193" s="145">
        <f>'BOM R2D CatWalk'!N220</f>
        <v>32.200000000000003</v>
      </c>
      <c r="F193" s="145">
        <f>GETPIVOTDATA("Gross Wt 
(kg)",$O$186,"Alt. Material","IS 2062 
E350 A/BR","IS Thk
(mm)","Dia 142")</f>
        <v>49.230719999999998</v>
      </c>
      <c r="G193" s="145">
        <f>124.32*1</f>
        <v>124.32</v>
      </c>
      <c r="H193" s="145"/>
      <c r="I193" s="145">
        <f t="shared" si="43"/>
        <v>124.32</v>
      </c>
      <c r="J193" s="145">
        <v>110</v>
      </c>
      <c r="K193" s="370">
        <f t="shared" ref="K193" si="44">J193*I193</f>
        <v>13675.199999999999</v>
      </c>
      <c r="O193" s="3" t="s">
        <v>545</v>
      </c>
      <c r="P193" s="483"/>
      <c r="Q193" s="483">
        <v>906.4117920000001</v>
      </c>
      <c r="R193" s="483"/>
      <c r="S193" s="483"/>
      <c r="T193" s="483">
        <v>906.4117920000001</v>
      </c>
      <c r="U193"/>
      <c r="V193"/>
    </row>
    <row r="194" spans="1:22" ht="31.5" x14ac:dyDescent="0.25">
      <c r="A194" s="369">
        <v>10</v>
      </c>
      <c r="B194" s="143" t="s">
        <v>21</v>
      </c>
      <c r="C194" s="555" t="s">
        <v>820</v>
      </c>
      <c r="D194" s="143" t="s">
        <v>543</v>
      </c>
      <c r="E194" s="145">
        <f>'BOM R2D CatWalk'!N208+'BOM R2D CatWalk'!N209+'BOM R2D CatWalk'!N210+'BOM R2D CatWalk'!N211+'BOM R2D CatWalk'!N216</f>
        <v>1766.0208</v>
      </c>
      <c r="F194" s="145">
        <f>GETPIVOTDATA("Gross Wt 
(kg)",$O$186,"Alt. Material","IS 2062 
E350 A/BR","IS Thk
(mm)","UPN 160 X 65 X 18.8")</f>
        <v>1933.7454400000001</v>
      </c>
      <c r="G194" s="145">
        <f>18.8*6</f>
        <v>112.80000000000001</v>
      </c>
      <c r="H194" s="145"/>
      <c r="I194" s="145">
        <f t="shared" si="43"/>
        <v>1933.7454400000001</v>
      </c>
      <c r="J194" s="145">
        <v>110</v>
      </c>
      <c r="K194" s="370">
        <f t="shared" ref="K194" si="45">J194*I194</f>
        <v>212711.99840000001</v>
      </c>
      <c r="O194" s="3" t="s">
        <v>767</v>
      </c>
      <c r="P194" s="483">
        <v>13.357740000000002</v>
      </c>
      <c r="Q194" s="483"/>
      <c r="R194" s="483"/>
      <c r="S194" s="483"/>
      <c r="T194" s="483">
        <v>13.357740000000002</v>
      </c>
      <c r="U194"/>
      <c r="V194"/>
    </row>
    <row r="195" spans="1:22" ht="21.75" thickBot="1" x14ac:dyDescent="0.3">
      <c r="A195" s="497"/>
      <c r="B195" s="372"/>
      <c r="C195" s="372" t="s">
        <v>45</v>
      </c>
      <c r="D195" s="372"/>
      <c r="E195" s="373">
        <f>SUM(E185:E194)</f>
        <v>4086.1093599999995</v>
      </c>
      <c r="F195" s="373">
        <f>SUM(F185:F194)</f>
        <v>4814.29779039</v>
      </c>
      <c r="G195" s="372"/>
      <c r="H195" s="372"/>
      <c r="I195" s="373">
        <f>SUM(I185:I194)</f>
        <v>4951.6979343900002</v>
      </c>
      <c r="J195" s="375">
        <f>K195/I195</f>
        <v>111.71008259073929</v>
      </c>
      <c r="K195" s="373">
        <f>SUM(K185:K194)</f>
        <v>553154.58521510009</v>
      </c>
      <c r="O195" s="3" t="s">
        <v>738</v>
      </c>
      <c r="P195" s="483"/>
      <c r="Q195" s="483"/>
      <c r="R195" s="483">
        <v>1933.7454400000001</v>
      </c>
      <c r="S195" s="483"/>
      <c r="T195" s="483">
        <v>1933.7454400000001</v>
      </c>
      <c r="U195"/>
      <c r="V195"/>
    </row>
    <row r="196" spans="1:22" x14ac:dyDescent="0.25">
      <c r="O196" s="3" t="s">
        <v>796</v>
      </c>
      <c r="P196" s="483"/>
      <c r="Q196" s="483"/>
      <c r="R196" s="483">
        <v>49.230719999999998</v>
      </c>
      <c r="S196" s="483"/>
      <c r="T196" s="483">
        <v>49.230719999999998</v>
      </c>
      <c r="U196"/>
      <c r="V196"/>
    </row>
    <row r="197" spans="1:22" x14ac:dyDescent="0.25">
      <c r="O197" s="3" t="s">
        <v>42</v>
      </c>
      <c r="P197" s="483">
        <v>13.357740000000002</v>
      </c>
      <c r="Q197" s="483">
        <v>950.36092800000006</v>
      </c>
      <c r="R197" s="483">
        <v>3590.8637092900003</v>
      </c>
      <c r="S197" s="483">
        <v>259.71541309999998</v>
      </c>
      <c r="T197" s="483">
        <v>4814.2977903899991</v>
      </c>
      <c r="U197"/>
      <c r="V197"/>
    </row>
    <row r="198" spans="1:22" x14ac:dyDescent="0.25">
      <c r="O198"/>
      <c r="P198"/>
      <c r="Q198"/>
      <c r="R198"/>
      <c r="S198"/>
      <c r="T198"/>
      <c r="U198"/>
      <c r="V198"/>
    </row>
    <row r="199" spans="1:22" x14ac:dyDescent="0.25">
      <c r="O199"/>
      <c r="P199"/>
      <c r="Q199"/>
      <c r="R199"/>
      <c r="S199"/>
      <c r="T199"/>
      <c r="U199"/>
      <c r="V199"/>
    </row>
    <row r="200" spans="1:22" x14ac:dyDescent="0.25">
      <c r="O200"/>
      <c r="P200"/>
      <c r="Q200"/>
      <c r="R200"/>
      <c r="S200"/>
      <c r="T200"/>
      <c r="U200"/>
      <c r="V200"/>
    </row>
    <row r="201" spans="1:22" x14ac:dyDescent="0.25">
      <c r="O201"/>
      <c r="P201"/>
      <c r="Q201"/>
      <c r="R201"/>
      <c r="S201"/>
      <c r="T201"/>
      <c r="U201"/>
      <c r="V201"/>
    </row>
    <row r="202" spans="1:22" x14ac:dyDescent="0.25">
      <c r="O202"/>
      <c r="P202"/>
      <c r="Q202"/>
      <c r="R202"/>
      <c r="S202"/>
      <c r="T202"/>
      <c r="U202"/>
      <c r="V202"/>
    </row>
    <row r="203" spans="1:22" x14ac:dyDescent="0.25">
      <c r="O203"/>
      <c r="P203"/>
      <c r="Q203"/>
      <c r="R203"/>
      <c r="S203"/>
      <c r="T203"/>
      <c r="U203"/>
      <c r="V203"/>
    </row>
    <row r="204" spans="1:22" x14ac:dyDescent="0.25">
      <c r="O204"/>
      <c r="P204"/>
      <c r="Q204"/>
      <c r="R204"/>
      <c r="S204"/>
      <c r="T204"/>
      <c r="U204"/>
      <c r="V204"/>
    </row>
    <row r="205" spans="1:22" x14ac:dyDescent="0.25">
      <c r="O205"/>
      <c r="P205"/>
      <c r="Q205"/>
      <c r="R205"/>
      <c r="S205"/>
      <c r="T205"/>
      <c r="U205"/>
      <c r="V205"/>
    </row>
    <row r="206" spans="1:22" x14ac:dyDescent="0.25">
      <c r="O206"/>
      <c r="P206"/>
      <c r="Q206"/>
      <c r="R206"/>
      <c r="S206"/>
      <c r="T206"/>
      <c r="U206"/>
      <c r="V206"/>
    </row>
    <row r="207" spans="1:22" x14ac:dyDescent="0.25">
      <c r="O207"/>
      <c r="P207"/>
      <c r="Q207"/>
      <c r="R207"/>
      <c r="S207"/>
      <c r="T207"/>
      <c r="U207"/>
      <c r="V207"/>
    </row>
    <row r="208" spans="1:22" x14ac:dyDescent="0.25">
      <c r="O208"/>
      <c r="P208"/>
      <c r="Q208"/>
      <c r="R208"/>
      <c r="S208"/>
      <c r="T208"/>
      <c r="U208"/>
      <c r="V208"/>
    </row>
    <row r="209" spans="15:22" x14ac:dyDescent="0.25">
      <c r="O209"/>
      <c r="P209"/>
      <c r="Q209"/>
      <c r="R209"/>
      <c r="S209"/>
      <c r="T209"/>
      <c r="U209"/>
      <c r="V209"/>
    </row>
    <row r="210" spans="15:22" x14ac:dyDescent="0.25">
      <c r="O210"/>
      <c r="P210"/>
      <c r="Q210"/>
      <c r="R210"/>
      <c r="S210"/>
      <c r="T210"/>
      <c r="U210"/>
      <c r="V210"/>
    </row>
    <row r="211" spans="15:22" x14ac:dyDescent="0.25">
      <c r="O211"/>
      <c r="P211"/>
      <c r="Q211"/>
      <c r="R211"/>
      <c r="S211"/>
      <c r="T211"/>
      <c r="U211"/>
      <c r="V211"/>
    </row>
    <row r="212" spans="15:22" x14ac:dyDescent="0.25">
      <c r="O212"/>
      <c r="P212"/>
      <c r="Q212"/>
      <c r="R212"/>
      <c r="S212"/>
      <c r="T212"/>
      <c r="U212"/>
      <c r="V212"/>
    </row>
    <row r="213" spans="15:22" x14ac:dyDescent="0.25">
      <c r="O213"/>
      <c r="P213"/>
      <c r="Q213"/>
      <c r="R213"/>
      <c r="S213"/>
      <c r="T213"/>
      <c r="U213"/>
      <c r="V213"/>
    </row>
    <row r="214" spans="15:22" x14ac:dyDescent="0.25">
      <c r="O214"/>
      <c r="P214"/>
      <c r="Q214"/>
      <c r="R214"/>
      <c r="S214"/>
      <c r="T214"/>
      <c r="U214"/>
      <c r="V214"/>
    </row>
    <row r="215" spans="15:22" x14ac:dyDescent="0.25">
      <c r="O215"/>
      <c r="P215"/>
      <c r="Q215"/>
      <c r="R215"/>
      <c r="S215"/>
      <c r="T215"/>
      <c r="U215"/>
      <c r="V215"/>
    </row>
    <row r="216" spans="15:22" x14ac:dyDescent="0.25">
      <c r="O216"/>
      <c r="P216"/>
      <c r="Q216"/>
      <c r="R216"/>
      <c r="S216"/>
      <c r="T216"/>
      <c r="U216"/>
      <c r="V216"/>
    </row>
    <row r="217" spans="15:22" x14ac:dyDescent="0.25">
      <c r="O217"/>
      <c r="P217"/>
      <c r="Q217"/>
      <c r="R217"/>
      <c r="S217"/>
      <c r="T217"/>
      <c r="U217"/>
      <c r="V217"/>
    </row>
    <row r="218" spans="15:22" x14ac:dyDescent="0.25">
      <c r="O218"/>
      <c r="P218"/>
      <c r="Q218"/>
      <c r="R218"/>
      <c r="S218"/>
      <c r="T218"/>
      <c r="U218"/>
      <c r="V218"/>
    </row>
    <row r="219" spans="15:22" x14ac:dyDescent="0.25">
      <c r="O219"/>
      <c r="P219"/>
      <c r="Q219"/>
      <c r="R219"/>
      <c r="S219"/>
      <c r="T219"/>
      <c r="U219"/>
      <c r="V219"/>
    </row>
    <row r="220" spans="15:22" x14ac:dyDescent="0.25">
      <c r="O220"/>
      <c r="P220"/>
      <c r="Q220"/>
      <c r="R220"/>
      <c r="S220"/>
      <c r="T220"/>
      <c r="U220"/>
      <c r="V220"/>
    </row>
    <row r="221" spans="15:22" x14ac:dyDescent="0.25">
      <c r="O221"/>
      <c r="P221"/>
      <c r="Q221"/>
      <c r="R221"/>
      <c r="S221"/>
      <c r="T221"/>
      <c r="U221"/>
      <c r="V221"/>
    </row>
    <row r="222" spans="15:22" x14ac:dyDescent="0.25">
      <c r="O222"/>
      <c r="P222"/>
      <c r="Q222"/>
      <c r="R222"/>
      <c r="S222"/>
      <c r="T222"/>
      <c r="U222"/>
      <c r="V222"/>
    </row>
  </sheetData>
  <mergeCells count="14">
    <mergeCell ref="A183:G183"/>
    <mergeCell ref="A141:G141"/>
    <mergeCell ref="A154:G154"/>
    <mergeCell ref="A172:G172"/>
    <mergeCell ref="A1:G1"/>
    <mergeCell ref="A30:G30"/>
    <mergeCell ref="A42:G42"/>
    <mergeCell ref="A54:G54"/>
    <mergeCell ref="A65:G65"/>
    <mergeCell ref="A77:G77"/>
    <mergeCell ref="A87:G87"/>
    <mergeCell ref="A98:G98"/>
    <mergeCell ref="A108:G108"/>
    <mergeCell ref="A123:G123"/>
  </mergeCells>
  <pageMargins left="0.7" right="0.7" top="0.75" bottom="0.75" header="0.3" footer="0.3"/>
  <ignoredErrors>
    <ignoredError sqref="E13:F15 E25:G29 E35:G37 E31:G31 E114:F115 I125:I129 G144:I144 E145:F145 H145:I145 H146:I146 G161:I161 E163:F163 H162:I162 G165:H165 H164:I164 H163:I163 G176:J176 E17:F20 G24 G33 G32 G143:I143 G156:I156 G157:I157 G158:I158 G159:I159 G160:I160 G174:J174 G175:J175 I185:I194 E125:F133" emptyCellReferenc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6FEA-4C9C-40CC-B9C3-0ABEF212D78F}">
  <dimension ref="A1:X45"/>
  <sheetViews>
    <sheetView zoomScaleNormal="100" workbookViewId="0">
      <pane ySplit="1" topLeftCell="A14" activePane="bottomLeft" state="frozen"/>
      <selection pane="bottomLeft" activeCell="C50" sqref="C50:K55"/>
    </sheetView>
  </sheetViews>
  <sheetFormatPr defaultRowHeight="15" x14ac:dyDescent="0.25"/>
  <cols>
    <col min="1" max="1" width="5.28515625" bestFit="1" customWidth="1"/>
    <col min="2" max="2" width="8.85546875" bestFit="1" customWidth="1"/>
    <col min="3" max="3" width="19.5703125" bestFit="1" customWidth="1"/>
    <col min="4" max="4" width="17" bestFit="1" customWidth="1"/>
    <col min="5" max="5" width="15.42578125" bestFit="1" customWidth="1"/>
    <col min="6" max="6" width="16.42578125" style="1" bestFit="1" customWidth="1"/>
    <col min="7" max="7" width="17" bestFit="1" customWidth="1"/>
    <col min="8" max="8" width="11.140625" style="552" bestFit="1" customWidth="1"/>
    <col min="9" max="9" width="10.42578125" customWidth="1"/>
    <col min="10" max="10" width="7" style="552" bestFit="1" customWidth="1"/>
    <col min="11" max="11" width="13.140625" style="552" bestFit="1" customWidth="1"/>
    <col min="12" max="12" width="12.42578125" customWidth="1"/>
    <col min="13" max="13" width="15.7109375" customWidth="1"/>
    <col min="16" max="16" width="21" bestFit="1" customWidth="1"/>
    <col min="17" max="17" width="16.85546875" bestFit="1" customWidth="1"/>
    <col min="18" max="18" width="15.42578125" bestFit="1" customWidth="1"/>
    <col min="19" max="19" width="17.7109375" bestFit="1" customWidth="1"/>
    <col min="20" max="20" width="7.7109375" bestFit="1" customWidth="1"/>
    <col min="21" max="22" width="17.5703125" bestFit="1" customWidth="1"/>
    <col min="23" max="24" width="11.28515625" bestFit="1" customWidth="1"/>
    <col min="25" max="25" width="15.5703125" bestFit="1" customWidth="1"/>
    <col min="26" max="26" width="7.7109375" bestFit="1" customWidth="1"/>
    <col min="27" max="27" width="11.28515625" bestFit="1" customWidth="1"/>
    <col min="28" max="28" width="12" bestFit="1" customWidth="1"/>
  </cols>
  <sheetData>
    <row r="1" spans="1:24" s="525" customFormat="1" ht="22.5" customHeight="1" thickBot="1" x14ac:dyDescent="0.3">
      <c r="A1" s="532" t="s">
        <v>0</v>
      </c>
      <c r="B1" s="533" t="s">
        <v>13</v>
      </c>
      <c r="C1" s="533" t="s">
        <v>154</v>
      </c>
      <c r="D1" s="533" t="s">
        <v>544</v>
      </c>
      <c r="E1" s="533" t="s">
        <v>779</v>
      </c>
      <c r="F1" s="534" t="s">
        <v>806</v>
      </c>
      <c r="G1" s="534" t="s">
        <v>814</v>
      </c>
      <c r="H1" s="534" t="s">
        <v>826</v>
      </c>
      <c r="I1" s="534" t="s">
        <v>827</v>
      </c>
      <c r="J1" s="534" t="s">
        <v>811</v>
      </c>
      <c r="K1" s="534" t="s">
        <v>812</v>
      </c>
      <c r="L1" s="534" t="s">
        <v>813</v>
      </c>
      <c r="M1" s="535" t="s">
        <v>815</v>
      </c>
      <c r="P1" s="526" t="s">
        <v>128</v>
      </c>
      <c r="Q1" s="527" t="s">
        <v>153</v>
      </c>
    </row>
    <row r="2" spans="1:24" x14ac:dyDescent="0.25">
      <c r="A2" s="528">
        <v>1</v>
      </c>
      <c r="B2" s="528" t="s">
        <v>21</v>
      </c>
      <c r="C2" s="528">
        <v>6</v>
      </c>
      <c r="D2" s="529" t="s">
        <v>573</v>
      </c>
      <c r="E2" s="530">
        <v>580.26518538604</v>
      </c>
      <c r="F2" s="528"/>
      <c r="G2" s="531"/>
      <c r="H2" s="550"/>
      <c r="I2" s="531"/>
      <c r="J2" s="550"/>
      <c r="K2" s="550"/>
      <c r="L2" s="531"/>
      <c r="M2" s="531"/>
    </row>
    <row r="3" spans="1:24" x14ac:dyDescent="0.25">
      <c r="A3" s="514">
        <v>2</v>
      </c>
      <c r="B3" s="514" t="s">
        <v>21</v>
      </c>
      <c r="C3" s="514">
        <v>10</v>
      </c>
      <c r="D3" s="515" t="s">
        <v>573</v>
      </c>
      <c r="E3" s="516">
        <v>2443.8054941299997</v>
      </c>
      <c r="F3" s="514"/>
      <c r="G3" s="517"/>
      <c r="H3" s="520"/>
      <c r="I3" s="517"/>
      <c r="J3" s="520"/>
      <c r="K3" s="520"/>
      <c r="L3" s="517"/>
      <c r="M3" s="517"/>
      <c r="P3" s="482" t="s">
        <v>43</v>
      </c>
      <c r="Q3" s="482" t="s">
        <v>129</v>
      </c>
      <c r="R3" s="4"/>
      <c r="S3" s="4"/>
      <c r="T3" s="4"/>
      <c r="U3" s="4"/>
      <c r="V3" s="4"/>
      <c r="W3" s="4"/>
    </row>
    <row r="4" spans="1:24" s="1" customFormat="1" x14ac:dyDescent="0.25">
      <c r="A4" s="514">
        <v>3</v>
      </c>
      <c r="B4" s="514" t="s">
        <v>21</v>
      </c>
      <c r="C4" s="514">
        <v>12</v>
      </c>
      <c r="D4" s="515" t="s">
        <v>573</v>
      </c>
      <c r="E4" s="516">
        <v>798.6821323800001</v>
      </c>
      <c r="F4" s="514"/>
      <c r="G4" s="514"/>
      <c r="H4" s="514"/>
      <c r="I4" s="514"/>
      <c r="J4" s="514"/>
      <c r="K4" s="514"/>
      <c r="L4" s="514"/>
      <c r="M4" s="514"/>
      <c r="P4" s="485" t="s">
        <v>41</v>
      </c>
      <c r="Q4" s="477" t="s">
        <v>447</v>
      </c>
      <c r="R4" s="477" t="s">
        <v>271</v>
      </c>
      <c r="S4" s="477" t="s">
        <v>388</v>
      </c>
      <c r="T4" s="477" t="s">
        <v>540</v>
      </c>
      <c r="U4" s="477" t="s">
        <v>573</v>
      </c>
      <c r="V4" s="477" t="s">
        <v>777</v>
      </c>
      <c r="W4" s="477" t="s">
        <v>42</v>
      </c>
      <c r="X4"/>
    </row>
    <row r="5" spans="1:24" x14ac:dyDescent="0.25">
      <c r="A5" s="514">
        <v>4</v>
      </c>
      <c r="B5" s="514" t="s">
        <v>21</v>
      </c>
      <c r="C5" s="514">
        <v>20</v>
      </c>
      <c r="D5" s="515" t="s">
        <v>573</v>
      </c>
      <c r="E5" s="516">
        <v>393.25447920000005</v>
      </c>
      <c r="F5" s="514"/>
      <c r="G5" s="517"/>
      <c r="H5" s="520"/>
      <c r="I5" s="517"/>
      <c r="J5" s="520"/>
      <c r="K5" s="520"/>
      <c r="L5" s="517"/>
      <c r="M5" s="517"/>
      <c r="P5" s="3">
        <v>5</v>
      </c>
      <c r="Q5" s="483"/>
      <c r="R5" s="483"/>
      <c r="S5" s="483"/>
      <c r="T5" s="483"/>
      <c r="U5" s="483"/>
      <c r="V5" s="483">
        <v>0.21984709999999999</v>
      </c>
      <c r="W5" s="483">
        <v>0.21984709999999999</v>
      </c>
    </row>
    <row r="6" spans="1:24" x14ac:dyDescent="0.25">
      <c r="A6" s="514">
        <v>5</v>
      </c>
      <c r="B6" s="514" t="s">
        <v>21</v>
      </c>
      <c r="C6" s="514">
        <v>25</v>
      </c>
      <c r="D6" s="515" t="s">
        <v>573</v>
      </c>
      <c r="E6" s="516">
        <v>1.079375</v>
      </c>
      <c r="F6" s="514"/>
      <c r="G6" s="517"/>
      <c r="H6" s="520"/>
      <c r="I6" s="517"/>
      <c r="J6" s="520"/>
      <c r="K6" s="520"/>
      <c r="L6" s="517"/>
      <c r="M6" s="517"/>
      <c r="P6" s="3">
        <v>6</v>
      </c>
      <c r="Q6" s="483"/>
      <c r="R6" s="483"/>
      <c r="S6" s="483"/>
      <c r="T6" s="483"/>
      <c r="U6" s="483">
        <v>580.26518538604012</v>
      </c>
      <c r="V6" s="483">
        <v>40.921869449999996</v>
      </c>
      <c r="W6" s="483">
        <v>621.18705483604015</v>
      </c>
    </row>
    <row r="7" spans="1:24" x14ac:dyDescent="0.25">
      <c r="A7" s="514">
        <v>6</v>
      </c>
      <c r="B7" s="514" t="s">
        <v>21</v>
      </c>
      <c r="C7" s="514">
        <v>40</v>
      </c>
      <c r="D7" s="515" t="s">
        <v>573</v>
      </c>
      <c r="E7" s="516">
        <v>157.47476800000001</v>
      </c>
      <c r="F7" s="514"/>
      <c r="G7" s="517"/>
      <c r="H7" s="520"/>
      <c r="I7" s="517"/>
      <c r="J7" s="520"/>
      <c r="K7" s="520"/>
      <c r="L7" s="517"/>
      <c r="M7" s="517"/>
      <c r="P7" s="3">
        <v>10</v>
      </c>
      <c r="Q7" s="483"/>
      <c r="R7" s="483"/>
      <c r="S7" s="483"/>
      <c r="T7" s="483"/>
      <c r="U7" s="483">
        <v>2528.9880421299995</v>
      </c>
      <c r="V7" s="483">
        <v>8.2032500000000006</v>
      </c>
      <c r="W7" s="483">
        <v>2537.1912921299995</v>
      </c>
    </row>
    <row r="8" spans="1:24" x14ac:dyDescent="0.25">
      <c r="A8" s="514">
        <v>7</v>
      </c>
      <c r="B8" s="514" t="s">
        <v>21</v>
      </c>
      <c r="C8" s="514">
        <v>50</v>
      </c>
      <c r="D8" s="515" t="s">
        <v>573</v>
      </c>
      <c r="E8" s="516">
        <v>126.89996000000001</v>
      </c>
      <c r="F8" s="514"/>
      <c r="G8" s="517"/>
      <c r="H8" s="520"/>
      <c r="I8" s="517"/>
      <c r="J8" s="520"/>
      <c r="K8" s="520"/>
      <c r="L8" s="517"/>
      <c r="M8" s="517"/>
      <c r="P8" s="3">
        <v>12</v>
      </c>
      <c r="Q8" s="483"/>
      <c r="R8" s="483"/>
      <c r="S8" s="483"/>
      <c r="T8" s="483"/>
      <c r="U8" s="483">
        <v>1244.3699895000002</v>
      </c>
      <c r="V8" s="483">
        <v>38.873043000000003</v>
      </c>
      <c r="W8" s="483">
        <v>1283.2430325000003</v>
      </c>
    </row>
    <row r="9" spans="1:24" x14ac:dyDescent="0.25">
      <c r="A9" s="514">
        <v>8</v>
      </c>
      <c r="B9" s="514" t="s">
        <v>21</v>
      </c>
      <c r="C9" s="514">
        <v>5</v>
      </c>
      <c r="D9" s="518" t="s">
        <v>777</v>
      </c>
      <c r="E9" s="516">
        <v>0.21984709999999999</v>
      </c>
      <c r="F9" s="514"/>
      <c r="G9" s="517"/>
      <c r="H9" s="520"/>
      <c r="I9" s="517"/>
      <c r="J9" s="520"/>
      <c r="K9" s="520"/>
      <c r="L9" s="517"/>
      <c r="M9" s="517"/>
      <c r="P9" s="3">
        <v>16</v>
      </c>
      <c r="Q9" s="483"/>
      <c r="R9" s="483"/>
      <c r="S9" s="483"/>
      <c r="T9" s="483"/>
      <c r="U9" s="483"/>
      <c r="V9" s="483">
        <v>17.728138559999998</v>
      </c>
      <c r="W9" s="483">
        <v>17.728138559999998</v>
      </c>
    </row>
    <row r="10" spans="1:24" x14ac:dyDescent="0.25">
      <c r="A10" s="514">
        <v>9</v>
      </c>
      <c r="B10" s="514" t="s">
        <v>21</v>
      </c>
      <c r="C10" s="514">
        <v>6</v>
      </c>
      <c r="D10" s="518" t="s">
        <v>777</v>
      </c>
      <c r="E10" s="516">
        <v>40.921869449999996</v>
      </c>
      <c r="F10" s="514"/>
      <c r="G10" s="517"/>
      <c r="H10" s="520"/>
      <c r="I10" s="517"/>
      <c r="J10" s="520"/>
      <c r="K10" s="520"/>
      <c r="L10" s="517"/>
      <c r="M10" s="517"/>
      <c r="P10" s="3">
        <v>20</v>
      </c>
      <c r="Q10" s="483"/>
      <c r="R10" s="483"/>
      <c r="S10" s="483"/>
      <c r="T10" s="483"/>
      <c r="U10" s="483">
        <v>393.25447920000005</v>
      </c>
      <c r="V10" s="483">
        <v>749.42560550000007</v>
      </c>
      <c r="W10" s="483">
        <v>1142.6800847000002</v>
      </c>
    </row>
    <row r="11" spans="1:24" x14ac:dyDescent="0.25">
      <c r="A11" s="514">
        <v>10</v>
      </c>
      <c r="B11" s="514" t="s">
        <v>21</v>
      </c>
      <c r="C11" s="514">
        <v>10</v>
      </c>
      <c r="D11" s="518" t="s">
        <v>777</v>
      </c>
      <c r="E11" s="516">
        <v>8.2032500000000006</v>
      </c>
      <c r="F11" s="514"/>
      <c r="G11" s="517"/>
      <c r="H11" s="520"/>
      <c r="I11" s="517"/>
      <c r="J11" s="520"/>
      <c r="K11" s="520"/>
      <c r="L11" s="517"/>
      <c r="M11" s="517"/>
      <c r="P11" s="3">
        <v>25</v>
      </c>
      <c r="Q11" s="483"/>
      <c r="R11" s="483"/>
      <c r="S11" s="483"/>
      <c r="T11" s="483"/>
      <c r="U11" s="483">
        <v>1.079375</v>
      </c>
      <c r="V11" s="483">
        <v>323.42111862500002</v>
      </c>
      <c r="W11" s="483">
        <v>324.50049362500005</v>
      </c>
    </row>
    <row r="12" spans="1:24" x14ac:dyDescent="0.25">
      <c r="A12" s="514">
        <v>11</v>
      </c>
      <c r="B12" s="514" t="s">
        <v>21</v>
      </c>
      <c r="C12" s="514">
        <v>12</v>
      </c>
      <c r="D12" s="518" t="s">
        <v>777</v>
      </c>
      <c r="E12" s="516">
        <v>38.873043000000003</v>
      </c>
      <c r="F12" s="514"/>
      <c r="G12" s="517"/>
      <c r="H12" s="520"/>
      <c r="I12" s="517"/>
      <c r="J12" s="520"/>
      <c r="K12" s="520"/>
      <c r="L12" s="517"/>
      <c r="M12" s="517"/>
      <c r="P12" s="3">
        <v>40</v>
      </c>
      <c r="Q12" s="483"/>
      <c r="R12" s="483"/>
      <c r="S12" s="483"/>
      <c r="T12" s="483"/>
      <c r="U12" s="483">
        <v>157.47476800000001</v>
      </c>
      <c r="V12" s="483">
        <v>139.3944596</v>
      </c>
      <c r="W12" s="483">
        <v>296.86922760000004</v>
      </c>
    </row>
    <row r="13" spans="1:24" x14ac:dyDescent="0.25">
      <c r="A13" s="514">
        <v>12</v>
      </c>
      <c r="B13" s="514" t="s">
        <v>21</v>
      </c>
      <c r="C13" s="514">
        <v>16</v>
      </c>
      <c r="D13" s="518" t="s">
        <v>777</v>
      </c>
      <c r="E13" s="516">
        <v>17.728138559999998</v>
      </c>
      <c r="F13" s="514"/>
      <c r="G13" s="517"/>
      <c r="H13" s="520"/>
      <c r="I13" s="517"/>
      <c r="J13" s="520"/>
      <c r="K13" s="520"/>
      <c r="L13" s="517"/>
      <c r="M13" s="517"/>
      <c r="P13" s="3">
        <v>50</v>
      </c>
      <c r="Q13" s="483"/>
      <c r="R13" s="483"/>
      <c r="S13" s="483"/>
      <c r="T13" s="483"/>
      <c r="U13" s="483">
        <v>126.89996000000001</v>
      </c>
      <c r="V13" s="483"/>
      <c r="W13" s="483">
        <v>126.89996000000001</v>
      </c>
    </row>
    <row r="14" spans="1:24" x14ac:dyDescent="0.25">
      <c r="A14" s="514">
        <v>13</v>
      </c>
      <c r="B14" s="514" t="s">
        <v>21</v>
      </c>
      <c r="C14" s="514">
        <v>20</v>
      </c>
      <c r="D14" s="518" t="s">
        <v>777</v>
      </c>
      <c r="E14" s="516">
        <v>749.42560550000007</v>
      </c>
      <c r="F14" s="514"/>
      <c r="G14" s="517"/>
      <c r="H14" s="520"/>
      <c r="I14" s="517"/>
      <c r="J14" s="520"/>
      <c r="K14" s="520"/>
      <c r="L14" s="517"/>
      <c r="M14" s="517"/>
      <c r="P14" s="3" t="s">
        <v>503</v>
      </c>
      <c r="Q14" s="483"/>
      <c r="R14" s="483"/>
      <c r="S14" s="483"/>
      <c r="T14" s="483">
        <v>25.375680000000003</v>
      </c>
      <c r="U14" s="483"/>
      <c r="V14" s="483"/>
      <c r="W14" s="483">
        <v>25.375680000000003</v>
      </c>
    </row>
    <row r="15" spans="1:24" x14ac:dyDescent="0.25">
      <c r="A15" s="514">
        <v>14</v>
      </c>
      <c r="B15" s="514" t="s">
        <v>21</v>
      </c>
      <c r="C15" s="514">
        <v>25</v>
      </c>
      <c r="D15" s="518" t="s">
        <v>777</v>
      </c>
      <c r="E15" s="516">
        <v>323.42111862500002</v>
      </c>
      <c r="F15" s="514"/>
      <c r="G15" s="517"/>
      <c r="H15" s="520"/>
      <c r="I15" s="517"/>
      <c r="J15" s="520"/>
      <c r="K15" s="520"/>
      <c r="L15" s="517"/>
      <c r="M15" s="517"/>
      <c r="P15" s="3" t="s">
        <v>418</v>
      </c>
      <c r="Q15" s="483"/>
      <c r="R15" s="483"/>
      <c r="S15" s="483"/>
      <c r="T15" s="483">
        <v>60.20300000000001</v>
      </c>
      <c r="U15" s="483"/>
      <c r="V15" s="483"/>
      <c r="W15" s="483">
        <v>60.20300000000001</v>
      </c>
    </row>
    <row r="16" spans="1:24" x14ac:dyDescent="0.25">
      <c r="A16" s="514">
        <v>15</v>
      </c>
      <c r="B16" s="514" t="s">
        <v>21</v>
      </c>
      <c r="C16" s="514">
        <v>40</v>
      </c>
      <c r="D16" s="518" t="s">
        <v>777</v>
      </c>
      <c r="E16" s="516">
        <v>139.3944596</v>
      </c>
      <c r="F16" s="514"/>
      <c r="G16" s="517"/>
      <c r="H16" s="520"/>
      <c r="I16" s="517"/>
      <c r="J16" s="520"/>
      <c r="K16" s="520"/>
      <c r="L16" s="517"/>
      <c r="M16" s="517"/>
      <c r="P16" s="3" t="s">
        <v>775</v>
      </c>
      <c r="Q16" s="483"/>
      <c r="R16" s="483"/>
      <c r="S16" s="483"/>
      <c r="T16" s="483">
        <v>813.29503199999999</v>
      </c>
      <c r="U16" s="483"/>
      <c r="V16" s="483"/>
      <c r="W16" s="483">
        <v>813.29503199999999</v>
      </c>
    </row>
    <row r="17" spans="1:23" x14ac:dyDescent="0.25">
      <c r="A17" s="514"/>
      <c r="B17" s="514"/>
      <c r="C17" s="514"/>
      <c r="D17" s="518"/>
      <c r="E17" s="516"/>
      <c r="F17" s="514"/>
      <c r="G17" s="517"/>
      <c r="H17" s="520"/>
      <c r="I17" s="517"/>
      <c r="J17" s="520"/>
      <c r="K17" s="520"/>
      <c r="L17" s="517"/>
      <c r="M17" s="517"/>
      <c r="P17" s="3" t="s">
        <v>774</v>
      </c>
      <c r="Q17" s="483"/>
      <c r="R17" s="483"/>
      <c r="S17" s="483"/>
      <c r="T17" s="483">
        <v>43.949135999999996</v>
      </c>
      <c r="U17" s="483"/>
      <c r="V17" s="483"/>
      <c r="W17" s="483">
        <v>43.949135999999996</v>
      </c>
    </row>
    <row r="18" spans="1:23" x14ac:dyDescent="0.25">
      <c r="A18" s="514">
        <v>16</v>
      </c>
      <c r="B18" s="514" t="s">
        <v>291</v>
      </c>
      <c r="C18" s="514" t="s">
        <v>534</v>
      </c>
      <c r="D18" s="515" t="s">
        <v>543</v>
      </c>
      <c r="E18" s="516">
        <v>531.9072000000001</v>
      </c>
      <c r="F18" s="514"/>
      <c r="G18" s="517"/>
      <c r="H18" s="520"/>
      <c r="I18" s="517"/>
      <c r="J18" s="520"/>
      <c r="K18" s="520"/>
      <c r="L18" s="517"/>
      <c r="M18" s="517"/>
      <c r="P18" s="3" t="s">
        <v>396</v>
      </c>
      <c r="Q18" s="483"/>
      <c r="R18" s="483"/>
      <c r="S18" s="483"/>
      <c r="T18" s="483">
        <v>122.39166500000002</v>
      </c>
      <c r="U18" s="483"/>
      <c r="V18" s="483"/>
      <c r="W18" s="483">
        <v>122.39166500000002</v>
      </c>
    </row>
    <row r="19" spans="1:23" x14ac:dyDescent="0.25">
      <c r="A19" s="514">
        <v>17</v>
      </c>
      <c r="B19" s="514" t="s">
        <v>291</v>
      </c>
      <c r="C19" s="514" t="s">
        <v>535</v>
      </c>
      <c r="D19" s="515" t="s">
        <v>543</v>
      </c>
      <c r="E19" s="516">
        <v>1081.982088</v>
      </c>
      <c r="F19" s="514"/>
      <c r="G19" s="517"/>
      <c r="H19" s="520"/>
      <c r="I19" s="517"/>
      <c r="J19" s="520"/>
      <c r="K19" s="520"/>
      <c r="L19" s="517"/>
      <c r="M19" s="517"/>
      <c r="P19" s="3" t="s">
        <v>545</v>
      </c>
      <c r="Q19" s="483"/>
      <c r="R19" s="483"/>
      <c r="S19" s="483"/>
      <c r="T19" s="483">
        <v>945.25994200000014</v>
      </c>
      <c r="U19" s="483"/>
      <c r="V19" s="483"/>
      <c r="W19" s="483">
        <v>945.25994200000014</v>
      </c>
    </row>
    <row r="20" spans="1:23" x14ac:dyDescent="0.25">
      <c r="A20" s="514">
        <v>18</v>
      </c>
      <c r="B20" s="514" t="s">
        <v>290</v>
      </c>
      <c r="C20" s="514" t="s">
        <v>537</v>
      </c>
      <c r="D20" s="515" t="s">
        <v>543</v>
      </c>
      <c r="E20" s="516">
        <v>1203.89797</v>
      </c>
      <c r="F20" s="514"/>
      <c r="G20" s="517"/>
      <c r="H20" s="520"/>
      <c r="I20" s="517"/>
      <c r="J20" s="520"/>
      <c r="K20" s="520"/>
      <c r="L20" s="517"/>
      <c r="M20" s="517"/>
      <c r="P20" s="3" t="s">
        <v>331</v>
      </c>
      <c r="Q20" s="483"/>
      <c r="R20" s="483"/>
      <c r="S20" s="483"/>
      <c r="T20" s="483">
        <v>97.840600000000009</v>
      </c>
      <c r="U20" s="483"/>
      <c r="V20" s="483"/>
      <c r="W20" s="483">
        <v>97.840600000000009</v>
      </c>
    </row>
    <row r="21" spans="1:23" x14ac:dyDescent="0.25">
      <c r="A21" s="514">
        <v>19</v>
      </c>
      <c r="B21" s="514" t="s">
        <v>290</v>
      </c>
      <c r="C21" s="514" t="s">
        <v>738</v>
      </c>
      <c r="D21" s="515" t="s">
        <v>543</v>
      </c>
      <c r="E21" s="516">
        <v>1933.7454400000001</v>
      </c>
      <c r="F21" s="514"/>
      <c r="G21" s="517"/>
      <c r="H21" s="520"/>
      <c r="I21" s="517"/>
      <c r="J21" s="520"/>
      <c r="K21" s="520"/>
      <c r="L21" s="517"/>
      <c r="M21" s="517"/>
      <c r="P21" s="3" t="s">
        <v>500</v>
      </c>
      <c r="Q21" s="483"/>
      <c r="R21" s="483"/>
      <c r="S21" s="483"/>
      <c r="T21" s="483">
        <v>159.52182400000001</v>
      </c>
      <c r="U21" s="483"/>
      <c r="V21" s="483"/>
      <c r="W21" s="483">
        <v>159.52182400000001</v>
      </c>
    </row>
    <row r="22" spans="1:23" x14ac:dyDescent="0.25">
      <c r="A22" s="514">
        <v>20</v>
      </c>
      <c r="B22" s="514" t="s">
        <v>290</v>
      </c>
      <c r="C22" s="514" t="s">
        <v>805</v>
      </c>
      <c r="D22" s="518" t="s">
        <v>780</v>
      </c>
      <c r="E22" s="516">
        <v>166.13942400000002</v>
      </c>
      <c r="F22" s="514"/>
      <c r="G22" s="517"/>
      <c r="H22" s="520"/>
      <c r="I22" s="517"/>
      <c r="J22" s="520"/>
      <c r="K22" s="520"/>
      <c r="L22" s="517"/>
      <c r="M22" s="517"/>
      <c r="P22" s="3" t="s">
        <v>530</v>
      </c>
      <c r="Q22" s="483"/>
      <c r="R22" s="483"/>
      <c r="S22" s="483"/>
      <c r="T22" s="483">
        <v>29.497160000000004</v>
      </c>
      <c r="U22" s="483"/>
      <c r="V22" s="483"/>
      <c r="W22" s="483">
        <v>29.497160000000004</v>
      </c>
    </row>
    <row r="23" spans="1:23" x14ac:dyDescent="0.25">
      <c r="A23" s="514"/>
      <c r="B23" s="514"/>
      <c r="C23" s="514"/>
      <c r="D23" s="518"/>
      <c r="E23" s="516"/>
      <c r="F23" s="514"/>
      <c r="G23" s="517"/>
      <c r="H23" s="520"/>
      <c r="I23" s="517"/>
      <c r="J23" s="520"/>
      <c r="K23" s="520"/>
      <c r="L23" s="517"/>
      <c r="M23" s="517"/>
      <c r="P23" s="3" t="s">
        <v>321</v>
      </c>
      <c r="Q23" s="483"/>
      <c r="R23" s="483">
        <v>30.019986480000004</v>
      </c>
      <c r="S23" s="483"/>
      <c r="T23" s="483"/>
      <c r="U23" s="483"/>
      <c r="V23" s="483"/>
      <c r="W23" s="483">
        <v>30.019986480000004</v>
      </c>
    </row>
    <row r="24" spans="1:23" x14ac:dyDescent="0.25">
      <c r="A24" s="514">
        <v>21</v>
      </c>
      <c r="B24" s="514" t="s">
        <v>550</v>
      </c>
      <c r="C24" s="514" t="s">
        <v>503</v>
      </c>
      <c r="D24" s="519" t="s">
        <v>540</v>
      </c>
      <c r="E24" s="516">
        <v>25.375680000000003</v>
      </c>
      <c r="F24" s="514">
        <v>2900</v>
      </c>
      <c r="G24" s="517" t="s">
        <v>807</v>
      </c>
      <c r="H24" s="520" t="s">
        <v>816</v>
      </c>
      <c r="I24" s="517">
        <v>15.83</v>
      </c>
      <c r="J24" s="553">
        <f>F24/I24</f>
        <v>183.19646241313961</v>
      </c>
      <c r="K24" s="520">
        <f>I24*6</f>
        <v>94.98</v>
      </c>
      <c r="L24" s="505">
        <f>IF(K24&gt;E24,K24,IF(K24&lt;E24,E24))</f>
        <v>94.98</v>
      </c>
      <c r="M24" s="522">
        <f>L24*J24</f>
        <v>17400</v>
      </c>
      <c r="P24" s="3" t="s">
        <v>532</v>
      </c>
      <c r="Q24" s="483"/>
      <c r="R24" s="483">
        <v>30.851128000000003</v>
      </c>
      <c r="S24" s="483"/>
      <c r="T24" s="483"/>
      <c r="U24" s="483"/>
      <c r="V24" s="483"/>
      <c r="W24" s="483">
        <v>30.851128000000003</v>
      </c>
    </row>
    <row r="25" spans="1:23" x14ac:dyDescent="0.25">
      <c r="A25" s="514">
        <v>22</v>
      </c>
      <c r="B25" s="514" t="s">
        <v>550</v>
      </c>
      <c r="C25" s="514" t="s">
        <v>418</v>
      </c>
      <c r="D25" s="519" t="s">
        <v>540</v>
      </c>
      <c r="E25" s="516">
        <v>60.20300000000001</v>
      </c>
      <c r="F25" s="514">
        <v>3510</v>
      </c>
      <c r="G25" s="517" t="s">
        <v>808</v>
      </c>
      <c r="H25" s="520" t="s">
        <v>816</v>
      </c>
      <c r="I25" s="517">
        <v>19.079999999999998</v>
      </c>
      <c r="J25" s="553">
        <f t="shared" ref="J25:J29" si="0">F25/I25</f>
        <v>183.96226415094341</v>
      </c>
      <c r="K25" s="520">
        <f t="shared" ref="K25:K32" si="1">I25*6</f>
        <v>114.47999999999999</v>
      </c>
      <c r="L25" s="505">
        <f t="shared" ref="L25:L28" si="2">IF(K25&gt;E25,K25,IF(K25&lt;E25,E25))</f>
        <v>114.47999999999999</v>
      </c>
      <c r="M25" s="522">
        <f t="shared" ref="M25:M39" si="3">L25*J25</f>
        <v>21060</v>
      </c>
      <c r="P25" s="3" t="s">
        <v>326</v>
      </c>
      <c r="Q25" s="483"/>
      <c r="R25" s="483"/>
      <c r="S25" s="483"/>
      <c r="T25" s="483"/>
      <c r="U25" s="483"/>
      <c r="V25" s="483">
        <v>4.8135230000000009</v>
      </c>
      <c r="W25" s="483">
        <v>4.8135230000000009</v>
      </c>
    </row>
    <row r="26" spans="1:23" x14ac:dyDescent="0.25">
      <c r="A26" s="514">
        <v>23</v>
      </c>
      <c r="B26" s="514" t="s">
        <v>550</v>
      </c>
      <c r="C26" s="514" t="s">
        <v>775</v>
      </c>
      <c r="D26" s="519" t="s">
        <v>540</v>
      </c>
      <c r="E26" s="516">
        <v>813.29503199999999</v>
      </c>
      <c r="F26" s="514">
        <v>7160</v>
      </c>
      <c r="G26" s="517" t="s">
        <v>809</v>
      </c>
      <c r="H26" s="520" t="s">
        <v>816</v>
      </c>
      <c r="I26" s="517">
        <v>39.380000000000003</v>
      </c>
      <c r="J26" s="553">
        <f t="shared" si="0"/>
        <v>181.81818181818181</v>
      </c>
      <c r="K26" s="520">
        <f t="shared" si="1"/>
        <v>236.28000000000003</v>
      </c>
      <c r="L26" s="505">
        <f t="shared" si="2"/>
        <v>813.29503199999999</v>
      </c>
      <c r="M26" s="522">
        <f t="shared" si="3"/>
        <v>147871.82399999999</v>
      </c>
      <c r="P26" s="3" t="s">
        <v>299</v>
      </c>
      <c r="Q26" s="483"/>
      <c r="R26" s="483">
        <v>176.036608</v>
      </c>
      <c r="S26" s="483"/>
      <c r="T26" s="483"/>
      <c r="U26" s="483"/>
      <c r="V26" s="483"/>
      <c r="W26" s="483">
        <v>176.036608</v>
      </c>
    </row>
    <row r="27" spans="1:23" x14ac:dyDescent="0.25">
      <c r="A27" s="514">
        <v>24</v>
      </c>
      <c r="B27" s="514" t="s">
        <v>550</v>
      </c>
      <c r="C27" s="514" t="s">
        <v>396</v>
      </c>
      <c r="D27" s="519" t="s">
        <v>540</v>
      </c>
      <c r="E27" s="516">
        <v>122.39166500000002</v>
      </c>
      <c r="F27" s="514">
        <v>6360</v>
      </c>
      <c r="G27" s="517" t="s">
        <v>810</v>
      </c>
      <c r="H27" s="520" t="s">
        <v>816</v>
      </c>
      <c r="I27" s="517">
        <v>31.5</v>
      </c>
      <c r="J27" s="553">
        <f t="shared" si="0"/>
        <v>201.9047619047619</v>
      </c>
      <c r="K27" s="520">
        <f t="shared" si="1"/>
        <v>189</v>
      </c>
      <c r="L27" s="505">
        <f t="shared" si="2"/>
        <v>189</v>
      </c>
      <c r="M27" s="522">
        <f t="shared" si="3"/>
        <v>38160</v>
      </c>
      <c r="P27" s="3" t="s">
        <v>298</v>
      </c>
      <c r="Q27" s="483"/>
      <c r="R27" s="483">
        <v>0.28917900000000002</v>
      </c>
      <c r="S27" s="483"/>
      <c r="T27" s="483"/>
      <c r="U27" s="483"/>
      <c r="V27" s="483"/>
      <c r="W27" s="483">
        <v>0.28917900000000002</v>
      </c>
    </row>
    <row r="28" spans="1:23" x14ac:dyDescent="0.25">
      <c r="A28" s="514">
        <v>25</v>
      </c>
      <c r="B28" s="514" t="s">
        <v>550</v>
      </c>
      <c r="C28" s="514" t="s">
        <v>545</v>
      </c>
      <c r="D28" s="519" t="s">
        <v>540</v>
      </c>
      <c r="E28" s="516">
        <v>945.25994200000014</v>
      </c>
      <c r="F28" s="514">
        <v>10665</v>
      </c>
      <c r="G28" s="517"/>
      <c r="H28" s="520" t="s">
        <v>816</v>
      </c>
      <c r="I28" s="517">
        <v>61.42</v>
      </c>
      <c r="J28" s="553">
        <f t="shared" si="0"/>
        <v>173.64050797785737</v>
      </c>
      <c r="K28" s="520">
        <f t="shared" si="1"/>
        <v>368.52</v>
      </c>
      <c r="L28" s="505">
        <f t="shared" si="2"/>
        <v>945.25994200000014</v>
      </c>
      <c r="M28" s="522">
        <f t="shared" si="3"/>
        <v>164135.41650000002</v>
      </c>
      <c r="P28" s="3" t="s">
        <v>767</v>
      </c>
      <c r="Q28" s="483">
        <v>13.357740000000002</v>
      </c>
      <c r="R28" s="483"/>
      <c r="S28" s="483"/>
      <c r="T28" s="483"/>
      <c r="U28" s="483"/>
      <c r="V28" s="483"/>
      <c r="W28" s="483">
        <v>13.357740000000002</v>
      </c>
    </row>
    <row r="29" spans="1:23" x14ac:dyDescent="0.25">
      <c r="A29" s="514">
        <v>25</v>
      </c>
      <c r="B29" s="514" t="s">
        <v>550</v>
      </c>
      <c r="C29" s="520" t="s">
        <v>774</v>
      </c>
      <c r="D29" s="519" t="s">
        <v>540</v>
      </c>
      <c r="E29" s="516">
        <f>GETPIVOTDATA("Gross Wt 
(kg)",$P$3,"Alt. Material","YST 310","IS Thk
(mm)","150x50x 6thk ")</f>
        <v>43.949135999999996</v>
      </c>
      <c r="F29" s="514">
        <v>3610</v>
      </c>
      <c r="G29" s="517"/>
      <c r="H29" s="520" t="s">
        <v>816</v>
      </c>
      <c r="I29" s="517">
        <v>17.71</v>
      </c>
      <c r="J29" s="553">
        <f t="shared" si="0"/>
        <v>203.83963862224732</v>
      </c>
      <c r="K29" s="520">
        <f t="shared" si="1"/>
        <v>106.26</v>
      </c>
      <c r="L29" s="505">
        <f>IF(K29&gt;E29,K29,IF(K29&lt;E29,E29))</f>
        <v>106.26</v>
      </c>
      <c r="M29" s="522">
        <f t="shared" si="3"/>
        <v>21660</v>
      </c>
      <c r="P29" s="3" t="s">
        <v>409</v>
      </c>
      <c r="Q29" s="483"/>
      <c r="R29" s="483">
        <v>111.28576800000002</v>
      </c>
      <c r="S29" s="483"/>
      <c r="T29" s="483"/>
      <c r="U29" s="483"/>
      <c r="V29" s="483"/>
      <c r="W29" s="483">
        <v>111.28576800000002</v>
      </c>
    </row>
    <row r="30" spans="1:23" x14ac:dyDescent="0.25">
      <c r="A30" s="514">
        <v>26</v>
      </c>
      <c r="B30" s="514" t="s">
        <v>329</v>
      </c>
      <c r="C30" s="521" t="s">
        <v>331</v>
      </c>
      <c r="D30" s="519" t="s">
        <v>540</v>
      </c>
      <c r="E30" s="516">
        <v>97.840600000000009</v>
      </c>
      <c r="F30" s="514"/>
      <c r="G30" s="517"/>
      <c r="H30" s="520"/>
      <c r="I30" s="517"/>
      <c r="J30" s="520">
        <v>110</v>
      </c>
      <c r="K30" s="520"/>
      <c r="L30" s="505">
        <f t="shared" ref="L30:L31" si="4">IF(K30&gt;E30,K30,IF(K30&lt;E30,E30))</f>
        <v>97.840600000000009</v>
      </c>
      <c r="M30" s="522">
        <f t="shared" si="3"/>
        <v>10762.466</v>
      </c>
      <c r="P30" s="3" t="s">
        <v>377</v>
      </c>
      <c r="Q30" s="483"/>
      <c r="R30" s="483">
        <v>0.30398720000000007</v>
      </c>
      <c r="S30" s="483"/>
      <c r="T30" s="483"/>
      <c r="U30" s="483"/>
      <c r="V30" s="483"/>
      <c r="W30" s="483">
        <v>0.30398720000000007</v>
      </c>
    </row>
    <row r="31" spans="1:23" x14ac:dyDescent="0.25">
      <c r="A31" s="514">
        <v>27</v>
      </c>
      <c r="B31" s="514" t="s">
        <v>329</v>
      </c>
      <c r="C31" s="521" t="s">
        <v>500</v>
      </c>
      <c r="D31" s="519" t="s">
        <v>540</v>
      </c>
      <c r="E31" s="516">
        <v>159.52182400000001</v>
      </c>
      <c r="F31" s="514"/>
      <c r="G31" s="517"/>
      <c r="H31" s="520"/>
      <c r="I31" s="517"/>
      <c r="J31" s="520">
        <v>110</v>
      </c>
      <c r="K31" s="520"/>
      <c r="L31" s="505">
        <f t="shared" si="4"/>
        <v>159.52182400000001</v>
      </c>
      <c r="M31" s="522">
        <f t="shared" si="3"/>
        <v>17547.40064</v>
      </c>
      <c r="P31" s="3" t="s">
        <v>448</v>
      </c>
      <c r="Q31" s="483">
        <v>1.7600000000000002</v>
      </c>
      <c r="R31" s="483"/>
      <c r="S31" s="483"/>
      <c r="T31" s="483"/>
      <c r="U31" s="483"/>
      <c r="V31" s="483"/>
      <c r="W31" s="483">
        <v>1.7600000000000002</v>
      </c>
    </row>
    <row r="32" spans="1:23" ht="15.75" thickBot="1" x14ac:dyDescent="0.3">
      <c r="A32" s="536">
        <v>28</v>
      </c>
      <c r="B32" s="536" t="s">
        <v>329</v>
      </c>
      <c r="C32" s="536" t="s">
        <v>530</v>
      </c>
      <c r="D32" s="537" t="s">
        <v>540</v>
      </c>
      <c r="E32" s="538">
        <v>29.497160000000004</v>
      </c>
      <c r="F32" s="536">
        <v>2985</v>
      </c>
      <c r="G32" s="536" t="s">
        <v>835</v>
      </c>
      <c r="H32" s="551" t="s">
        <v>816</v>
      </c>
      <c r="I32" s="539">
        <v>21.98</v>
      </c>
      <c r="J32" s="554">
        <f t="shared" ref="J32" si="5">F32/I32</f>
        <v>135.80527752502275</v>
      </c>
      <c r="K32" s="551">
        <f t="shared" si="1"/>
        <v>131.88</v>
      </c>
      <c r="L32" s="541">
        <f t="shared" ref="L32:L39" si="6">IF(K32&gt;E32,K32,IF(K32&lt;E32,E32))</f>
        <v>131.88</v>
      </c>
      <c r="M32" s="540">
        <f t="shared" si="3"/>
        <v>17910</v>
      </c>
      <c r="P32" s="3" t="s">
        <v>389</v>
      </c>
      <c r="Q32" s="483"/>
      <c r="R32" s="483"/>
      <c r="S32" s="483">
        <v>2.6400000000000006</v>
      </c>
      <c r="T32" s="483"/>
      <c r="U32" s="483"/>
      <c r="V32" s="483"/>
      <c r="W32" s="483">
        <v>2.6400000000000006</v>
      </c>
    </row>
    <row r="33" spans="1:23" ht="15.75" thickBot="1" x14ac:dyDescent="0.3">
      <c r="A33" s="543"/>
      <c r="B33" s="544"/>
      <c r="C33" s="544" t="s">
        <v>819</v>
      </c>
      <c r="D33" s="545"/>
      <c r="E33" s="546"/>
      <c r="F33" s="544"/>
      <c r="G33" s="547"/>
      <c r="H33" s="547"/>
      <c r="I33" s="547"/>
      <c r="J33" s="548">
        <f>(M33/L33)*(1+12%)</f>
        <v>192.75574229308035</v>
      </c>
      <c r="K33" s="547"/>
      <c r="L33" s="548">
        <f>SUM(L24:L32)</f>
        <v>2652.5173980000004</v>
      </c>
      <c r="M33" s="549">
        <f>SUM(M24:M32)</f>
        <v>456507.10714000004</v>
      </c>
      <c r="P33" s="3" t="s">
        <v>537</v>
      </c>
      <c r="Q33" s="483"/>
      <c r="R33" s="483"/>
      <c r="S33" s="483"/>
      <c r="T33" s="483"/>
      <c r="U33" s="483">
        <v>1203.89797</v>
      </c>
      <c r="V33" s="483"/>
      <c r="W33" s="483">
        <v>1203.89797</v>
      </c>
    </row>
    <row r="34" spans="1:23" x14ac:dyDescent="0.25">
      <c r="A34" s="528">
        <v>29</v>
      </c>
      <c r="B34" s="528" t="s">
        <v>286</v>
      </c>
      <c r="C34" s="528" t="s">
        <v>321</v>
      </c>
      <c r="D34" s="542" t="s">
        <v>271</v>
      </c>
      <c r="E34" s="530">
        <v>30.019986480000004</v>
      </c>
      <c r="F34" s="528"/>
      <c r="G34" s="531"/>
      <c r="H34" s="550" t="s">
        <v>817</v>
      </c>
      <c r="I34" s="531"/>
      <c r="J34" s="550">
        <v>90</v>
      </c>
      <c r="K34" s="531">
        <f>18.65*6</f>
        <v>111.89999999999999</v>
      </c>
      <c r="L34" s="541">
        <f t="shared" si="6"/>
        <v>111.89999999999999</v>
      </c>
      <c r="M34" s="522">
        <f t="shared" si="3"/>
        <v>10071</v>
      </c>
      <c r="P34" s="3" t="s">
        <v>534</v>
      </c>
      <c r="Q34" s="483"/>
      <c r="R34" s="483"/>
      <c r="S34" s="483"/>
      <c r="T34" s="483"/>
      <c r="U34" s="483">
        <v>531.9072000000001</v>
      </c>
      <c r="V34" s="483"/>
      <c r="W34" s="483">
        <v>531.9072000000001</v>
      </c>
    </row>
    <row r="35" spans="1:23" x14ac:dyDescent="0.25">
      <c r="A35" s="514">
        <v>30</v>
      </c>
      <c r="B35" s="514" t="s">
        <v>286</v>
      </c>
      <c r="C35" s="514" t="s">
        <v>532</v>
      </c>
      <c r="D35" s="523" t="s">
        <v>271</v>
      </c>
      <c r="E35" s="516">
        <v>30.851128000000003</v>
      </c>
      <c r="F35" s="514"/>
      <c r="G35" s="517"/>
      <c r="H35" s="520" t="s">
        <v>817</v>
      </c>
      <c r="I35" s="517"/>
      <c r="J35" s="520">
        <v>90</v>
      </c>
      <c r="K35" s="517">
        <f>22.32*6</f>
        <v>133.92000000000002</v>
      </c>
      <c r="L35" s="541">
        <f t="shared" si="6"/>
        <v>133.92000000000002</v>
      </c>
      <c r="M35" s="522">
        <f t="shared" si="3"/>
        <v>12052.800000000001</v>
      </c>
      <c r="P35" s="3" t="s">
        <v>535</v>
      </c>
      <c r="Q35" s="483"/>
      <c r="R35" s="483"/>
      <c r="S35" s="483"/>
      <c r="T35" s="483"/>
      <c r="U35" s="483">
        <v>1081.982088</v>
      </c>
      <c r="V35" s="483"/>
      <c r="W35" s="483">
        <v>1081.982088</v>
      </c>
    </row>
    <row r="36" spans="1:23" x14ac:dyDescent="0.25">
      <c r="A36" s="514">
        <v>31</v>
      </c>
      <c r="B36" s="514" t="s">
        <v>286</v>
      </c>
      <c r="C36" s="514" t="s">
        <v>299</v>
      </c>
      <c r="D36" s="523" t="s">
        <v>271</v>
      </c>
      <c r="E36" s="516">
        <v>176.036608</v>
      </c>
      <c r="F36" s="514"/>
      <c r="G36" s="517"/>
      <c r="H36" s="520" t="s">
        <v>817</v>
      </c>
      <c r="I36" s="517"/>
      <c r="J36" s="520">
        <v>90</v>
      </c>
      <c r="K36" s="517">
        <f>42.56*6</f>
        <v>255.36</v>
      </c>
      <c r="L36" s="541">
        <f t="shared" si="6"/>
        <v>255.36</v>
      </c>
      <c r="M36" s="522">
        <f t="shared" si="3"/>
        <v>22982.400000000001</v>
      </c>
      <c r="P36" s="3" t="s">
        <v>738</v>
      </c>
      <c r="Q36" s="483"/>
      <c r="R36" s="483"/>
      <c r="S36" s="483"/>
      <c r="T36" s="483"/>
      <c r="U36" s="483">
        <v>1933.7454400000001</v>
      </c>
      <c r="V36" s="483"/>
      <c r="W36" s="483">
        <v>1933.7454400000001</v>
      </c>
    </row>
    <row r="37" spans="1:23" x14ac:dyDescent="0.25">
      <c r="A37" s="514">
        <v>32</v>
      </c>
      <c r="B37" s="514" t="s">
        <v>286</v>
      </c>
      <c r="C37" s="514" t="s">
        <v>298</v>
      </c>
      <c r="D37" s="523" t="s">
        <v>271</v>
      </c>
      <c r="E37" s="516">
        <v>0.28917900000000002</v>
      </c>
      <c r="F37" s="514"/>
      <c r="G37" s="517"/>
      <c r="H37" s="520" t="s">
        <v>817</v>
      </c>
      <c r="I37" s="517"/>
      <c r="J37" s="520">
        <v>150</v>
      </c>
      <c r="K37" s="517">
        <f>1.27*6</f>
        <v>7.62</v>
      </c>
      <c r="L37" s="541">
        <f t="shared" si="6"/>
        <v>7.62</v>
      </c>
      <c r="M37" s="522">
        <f t="shared" si="3"/>
        <v>1143</v>
      </c>
      <c r="P37" s="3" t="s">
        <v>293</v>
      </c>
      <c r="Q37" s="483"/>
      <c r="R37" s="483"/>
      <c r="S37" s="483"/>
      <c r="T37" s="483"/>
      <c r="U37" s="483"/>
      <c r="V37" s="483">
        <v>166.13942400000002</v>
      </c>
      <c r="W37" s="483">
        <v>166.13942400000002</v>
      </c>
    </row>
    <row r="38" spans="1:23" x14ac:dyDescent="0.25">
      <c r="A38" s="514">
        <v>33</v>
      </c>
      <c r="B38" s="514" t="s">
        <v>286</v>
      </c>
      <c r="C38" s="514" t="s">
        <v>409</v>
      </c>
      <c r="D38" s="523" t="s">
        <v>271</v>
      </c>
      <c r="E38" s="516">
        <v>111.28576800000002</v>
      </c>
      <c r="F38" s="514"/>
      <c r="G38" s="517"/>
      <c r="H38" s="520" t="s">
        <v>817</v>
      </c>
      <c r="I38" s="517"/>
      <c r="J38" s="520">
        <v>120</v>
      </c>
      <c r="K38" s="517">
        <f>4.24*6</f>
        <v>25.44</v>
      </c>
      <c r="L38" s="541">
        <f t="shared" si="6"/>
        <v>111.28576800000002</v>
      </c>
      <c r="M38" s="522">
        <f t="shared" si="3"/>
        <v>13354.292160000003</v>
      </c>
      <c r="P38" s="3" t="s">
        <v>42</v>
      </c>
      <c r="Q38" s="483">
        <v>15.117740000000001</v>
      </c>
      <c r="R38" s="483">
        <v>348.78665668000002</v>
      </c>
      <c r="S38" s="483">
        <v>2.6400000000000006</v>
      </c>
      <c r="T38" s="483">
        <v>2297.3340390000003</v>
      </c>
      <c r="U38" s="483">
        <v>9783.86449721604</v>
      </c>
      <c r="V38" s="483">
        <v>1489.1402788349999</v>
      </c>
      <c r="W38" s="483">
        <v>13936.883211731043</v>
      </c>
    </row>
    <row r="39" spans="1:23" ht="15.75" thickBot="1" x14ac:dyDescent="0.3">
      <c r="A39" s="514">
        <v>34</v>
      </c>
      <c r="B39" s="514" t="s">
        <v>286</v>
      </c>
      <c r="C39" s="514" t="s">
        <v>377</v>
      </c>
      <c r="D39" s="523" t="s">
        <v>271</v>
      </c>
      <c r="E39" s="516">
        <v>0.30398720000000007</v>
      </c>
      <c r="F39" s="514"/>
      <c r="G39" s="517"/>
      <c r="H39" s="520" t="s">
        <v>817</v>
      </c>
      <c r="I39" s="517"/>
      <c r="J39" s="520">
        <v>90</v>
      </c>
      <c r="K39" s="517">
        <f>5.44*6</f>
        <v>32.64</v>
      </c>
      <c r="L39" s="541">
        <f t="shared" si="6"/>
        <v>32.64</v>
      </c>
      <c r="M39" s="522">
        <f t="shared" si="3"/>
        <v>2937.6</v>
      </c>
    </row>
    <row r="40" spans="1:23" ht="15.75" thickBot="1" x14ac:dyDescent="0.3">
      <c r="A40" s="543"/>
      <c r="B40" s="544"/>
      <c r="C40" s="544" t="s">
        <v>818</v>
      </c>
      <c r="D40" s="545"/>
      <c r="E40" s="546"/>
      <c r="F40" s="544"/>
      <c r="G40" s="547"/>
      <c r="H40" s="547"/>
      <c r="I40" s="547"/>
      <c r="J40" s="548">
        <f>(M40/L40)*(1+12%)</f>
        <v>107.31309633113796</v>
      </c>
      <c r="K40" s="547"/>
      <c r="L40" s="549">
        <f>SUM(L34:L39)</f>
        <v>652.72576800000002</v>
      </c>
      <c r="M40" s="549">
        <f>SUM(M34:M39)</f>
        <v>62541.092160000007</v>
      </c>
    </row>
    <row r="41" spans="1:23" x14ac:dyDescent="0.25">
      <c r="A41" s="514">
        <v>35</v>
      </c>
      <c r="B41" s="514" t="s">
        <v>44</v>
      </c>
      <c r="C41" s="514" t="s">
        <v>326</v>
      </c>
      <c r="D41" s="518" t="s">
        <v>777</v>
      </c>
      <c r="E41" s="516">
        <v>4.8135230000000009</v>
      </c>
      <c r="F41" s="514"/>
      <c r="G41" s="517"/>
      <c r="H41" s="520"/>
      <c r="I41" s="517"/>
      <c r="J41" s="520">
        <v>90</v>
      </c>
      <c r="K41" s="520"/>
      <c r="L41" s="517"/>
      <c r="M41" s="517"/>
    </row>
    <row r="42" spans="1:23" x14ac:dyDescent="0.25">
      <c r="A42" s="514">
        <v>36</v>
      </c>
      <c r="B42" s="514" t="s">
        <v>44</v>
      </c>
      <c r="C42" s="514" t="s">
        <v>448</v>
      </c>
      <c r="D42" s="514" t="s">
        <v>447</v>
      </c>
      <c r="E42" s="516">
        <v>1.7600000000000002</v>
      </c>
      <c r="F42" s="514"/>
      <c r="G42" s="517"/>
      <c r="H42" s="520"/>
      <c r="I42" s="517"/>
      <c r="J42" s="520">
        <v>200</v>
      </c>
      <c r="K42" s="520"/>
      <c r="L42" s="517"/>
      <c r="M42" s="517"/>
    </row>
    <row r="43" spans="1:23" x14ac:dyDescent="0.25">
      <c r="A43" s="514">
        <v>37</v>
      </c>
      <c r="B43" s="514" t="s">
        <v>44</v>
      </c>
      <c r="C43" s="514" t="s">
        <v>389</v>
      </c>
      <c r="D43" s="514" t="s">
        <v>388</v>
      </c>
      <c r="E43" s="516">
        <v>2.6400000000000006</v>
      </c>
      <c r="F43" s="514"/>
      <c r="G43" s="517"/>
      <c r="H43" s="520"/>
      <c r="I43" s="517"/>
      <c r="J43" s="520">
        <v>200</v>
      </c>
      <c r="K43" s="520"/>
      <c r="L43" s="517"/>
      <c r="M43" s="517"/>
    </row>
    <row r="44" spans="1:23" x14ac:dyDescent="0.25">
      <c r="A44" s="513"/>
      <c r="B44" s="513"/>
      <c r="C44" s="513" t="s">
        <v>45</v>
      </c>
      <c r="D44" s="513"/>
      <c r="E44" s="524">
        <f>SUM(E2:E43)</f>
        <v>13392.655066611038</v>
      </c>
      <c r="F44" s="514"/>
      <c r="G44" s="517"/>
      <c r="H44" s="520"/>
      <c r="I44" s="517"/>
      <c r="J44" s="520"/>
      <c r="K44" s="520"/>
      <c r="L44" s="517"/>
      <c r="M44" s="517"/>
    </row>
    <row r="45" spans="1:23" x14ac:dyDescent="0.25">
      <c r="K45" s="552">
        <f>M45/L45</f>
        <v>157.03782542818212</v>
      </c>
      <c r="L45">
        <f>SUM(L2:L44)</f>
        <v>6610.4863320000004</v>
      </c>
      <c r="M45">
        <f>SUM(M2:M44)</f>
        <v>1038096.3986000001</v>
      </c>
    </row>
  </sheetData>
  <autoFilter ref="A1:F1" xr:uid="{6CAE6FEA-4C9C-40CC-B9C3-0ABEF212D78F}"/>
  <pageMargins left="0.7" right="0.7" top="0.75" bottom="0.75" header="0.3" footer="0.3"/>
  <ignoredErrors>
    <ignoredError sqref="L30:L31" emptyCellReference="1"/>
    <ignoredError sqref="L33:M33" formula="1" emptyCellReference="1"/>
    <ignoredError sqref="L41:M41 L34:L39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DAD-8F68-4FF6-94F2-E6EFF5F61BFF}">
  <dimension ref="B2:G29"/>
  <sheetViews>
    <sheetView zoomScale="85" zoomScaleNormal="85" workbookViewId="0">
      <pane ySplit="2" topLeftCell="A9" activePane="bottomLeft" state="frozen"/>
      <selection pane="bottomLeft" activeCell="P21" sqref="P21"/>
    </sheetView>
  </sheetViews>
  <sheetFormatPr defaultRowHeight="15" x14ac:dyDescent="0.25"/>
  <cols>
    <col min="2" max="2" width="12.5703125" bestFit="1" customWidth="1"/>
    <col min="3" max="3" width="9.5703125" style="1" customWidth="1"/>
    <col min="4" max="4" width="15.85546875" style="1" bestFit="1" customWidth="1"/>
    <col min="5" max="5" width="13.42578125" bestFit="1" customWidth="1"/>
    <col min="6" max="6" width="16.85546875" bestFit="1" customWidth="1"/>
    <col min="7" max="7" width="14.28515625" style="1" bestFit="1" customWidth="1"/>
  </cols>
  <sheetData>
    <row r="2" spans="2:7" x14ac:dyDescent="0.25"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88" t="s">
        <v>40</v>
      </c>
    </row>
    <row r="3" spans="2:7" ht="15.75" x14ac:dyDescent="0.25">
      <c r="B3" s="140"/>
      <c r="C3" s="88"/>
      <c r="D3" s="88"/>
      <c r="E3" s="88"/>
      <c r="F3" s="88"/>
      <c r="G3" s="88"/>
    </row>
    <row r="4" spans="2:7" ht="15.75" x14ac:dyDescent="0.25">
      <c r="B4" s="140"/>
      <c r="C4" s="89"/>
      <c r="D4" s="89"/>
      <c r="E4" s="89"/>
      <c r="F4" s="89"/>
      <c r="G4" s="89"/>
    </row>
    <row r="5" spans="2:7" ht="15.75" x14ac:dyDescent="0.25">
      <c r="B5" s="140"/>
      <c r="C5" s="89"/>
      <c r="D5" s="89"/>
      <c r="E5" s="89"/>
      <c r="F5" s="89"/>
      <c r="G5" s="89"/>
    </row>
    <row r="6" spans="2:7" ht="15.75" x14ac:dyDescent="0.25">
      <c r="B6" s="140"/>
      <c r="C6" s="89"/>
      <c r="D6" s="89"/>
      <c r="E6" s="89"/>
      <c r="F6" s="89"/>
      <c r="G6" s="89"/>
    </row>
    <row r="7" spans="2:7" ht="15.75" x14ac:dyDescent="0.25">
      <c r="B7" s="140"/>
      <c r="C7" s="89"/>
      <c r="D7" s="89"/>
      <c r="E7" s="89"/>
      <c r="F7" s="89"/>
      <c r="G7" s="88"/>
    </row>
    <row r="8" spans="2:7" ht="15.75" x14ac:dyDescent="0.25">
      <c r="B8" s="140"/>
      <c r="C8" s="89"/>
      <c r="D8" s="89"/>
      <c r="E8" s="89"/>
      <c r="F8" s="89"/>
      <c r="G8" s="89"/>
    </row>
    <row r="9" spans="2:7" ht="15.75" x14ac:dyDescent="0.25">
      <c r="B9" s="140"/>
      <c r="C9" s="89"/>
      <c r="D9" s="89"/>
      <c r="E9" s="89"/>
      <c r="F9" s="89"/>
      <c r="G9" s="89"/>
    </row>
    <row r="10" spans="2:7" ht="15.75" x14ac:dyDescent="0.25">
      <c r="B10" s="140"/>
      <c r="C10" s="89"/>
      <c r="D10" s="89"/>
      <c r="E10" s="89"/>
      <c r="F10" s="89"/>
      <c r="G10" s="89"/>
    </row>
    <row r="11" spans="2:7" ht="15.75" x14ac:dyDescent="0.25">
      <c r="B11" s="140"/>
      <c r="C11" s="89"/>
      <c r="D11" s="89"/>
      <c r="E11" s="89"/>
      <c r="F11" s="89"/>
      <c r="G11" s="88"/>
    </row>
    <row r="12" spans="2:7" ht="15.75" x14ac:dyDescent="0.25">
      <c r="B12" s="140"/>
      <c r="C12" s="89"/>
      <c r="D12" s="89"/>
      <c r="E12" s="89"/>
      <c r="F12" s="89"/>
      <c r="G12" s="89"/>
    </row>
    <row r="13" spans="2:7" ht="15.75" x14ac:dyDescent="0.25">
      <c r="B13" s="140"/>
      <c r="C13" s="89"/>
      <c r="D13" s="89"/>
      <c r="E13" s="89"/>
      <c r="F13" s="89"/>
      <c r="G13" s="89"/>
    </row>
    <row r="14" spans="2:7" ht="15.75" x14ac:dyDescent="0.25">
      <c r="B14" s="140"/>
      <c r="C14" s="89"/>
      <c r="D14" s="89"/>
      <c r="E14" s="89"/>
      <c r="F14" s="89"/>
      <c r="G14" s="89"/>
    </row>
    <row r="15" spans="2:7" ht="15.75" x14ac:dyDescent="0.25">
      <c r="B15" s="140"/>
      <c r="C15" s="89"/>
      <c r="D15" s="89"/>
      <c r="E15" s="89"/>
      <c r="F15" s="89"/>
      <c r="G15" s="89"/>
    </row>
    <row r="16" spans="2:7" ht="15.75" x14ac:dyDescent="0.25">
      <c r="B16" s="140"/>
      <c r="C16" s="89"/>
      <c r="D16" s="89"/>
      <c r="E16" s="89"/>
      <c r="F16" s="89"/>
      <c r="G16" s="88"/>
    </row>
    <row r="17" spans="2:7" ht="15.75" x14ac:dyDescent="0.25">
      <c r="B17" s="140"/>
      <c r="C17" s="89"/>
      <c r="D17" s="89"/>
      <c r="E17" s="89"/>
      <c r="F17" s="89"/>
      <c r="G17" s="89"/>
    </row>
    <row r="18" spans="2:7" ht="15.75" x14ac:dyDescent="0.25">
      <c r="B18" s="140"/>
      <c r="C18" s="89"/>
      <c r="D18" s="89"/>
      <c r="E18" s="89"/>
      <c r="F18" s="89"/>
      <c r="G18" s="89"/>
    </row>
    <row r="19" spans="2:7" ht="15.75" x14ac:dyDescent="0.25">
      <c r="B19" s="140"/>
      <c r="C19" s="89"/>
      <c r="D19" s="89"/>
      <c r="E19" s="89"/>
      <c r="F19" s="89"/>
      <c r="G19" s="89"/>
    </row>
    <row r="20" spans="2:7" ht="15.75" x14ac:dyDescent="0.25">
      <c r="B20" s="140"/>
      <c r="C20" s="89"/>
      <c r="D20" s="89"/>
      <c r="E20" s="89"/>
      <c r="F20" s="89"/>
      <c r="G20" s="89"/>
    </row>
    <row r="21" spans="2:7" ht="15.75" x14ac:dyDescent="0.25">
      <c r="B21" s="140"/>
      <c r="C21" s="89"/>
      <c r="D21" s="89"/>
      <c r="E21" s="89"/>
      <c r="F21" s="89"/>
      <c r="G21" s="88"/>
    </row>
    <row r="22" spans="2:7" ht="15.75" x14ac:dyDescent="0.25">
      <c r="B22" s="140"/>
      <c r="C22" s="89"/>
      <c r="D22" s="89"/>
      <c r="E22" s="89"/>
      <c r="F22" s="89"/>
      <c r="G22" s="89"/>
    </row>
    <row r="23" spans="2:7" x14ac:dyDescent="0.25">
      <c r="B23" s="4"/>
      <c r="C23" s="89"/>
      <c r="D23" s="89"/>
      <c r="E23" s="89"/>
      <c r="F23" s="89"/>
      <c r="G23" s="89"/>
    </row>
    <row r="24" spans="2:7" x14ac:dyDescent="0.25">
      <c r="B24" s="4"/>
      <c r="C24" s="89"/>
      <c r="D24" s="89"/>
      <c r="E24" s="89"/>
      <c r="F24" s="89"/>
      <c r="G24" s="89"/>
    </row>
    <row r="25" spans="2:7" x14ac:dyDescent="0.25">
      <c r="B25" s="4"/>
      <c r="C25" s="89"/>
      <c r="D25" s="89"/>
      <c r="E25" s="89"/>
      <c r="F25" s="89"/>
      <c r="G25" s="89"/>
    </row>
    <row r="26" spans="2:7" x14ac:dyDescent="0.25">
      <c r="B26" s="4"/>
      <c r="C26" s="89"/>
      <c r="D26" s="89"/>
      <c r="E26" s="89"/>
      <c r="F26" s="89"/>
      <c r="G26" s="89"/>
    </row>
    <row r="27" spans="2:7" x14ac:dyDescent="0.25">
      <c r="C27" s="718"/>
      <c r="D27" s="718"/>
      <c r="E27" s="139"/>
      <c r="F27" s="139"/>
      <c r="G27" s="8"/>
    </row>
    <row r="28" spans="2:7" x14ac:dyDescent="0.25">
      <c r="C28" s="719"/>
      <c r="D28" s="719"/>
      <c r="E28" s="4"/>
      <c r="F28" s="5"/>
      <c r="G28" s="6"/>
    </row>
    <row r="29" spans="2:7" x14ac:dyDescent="0.25">
      <c r="C29" s="720"/>
      <c r="D29" s="720"/>
      <c r="E29" s="7"/>
      <c r="F29" s="7"/>
      <c r="G29" s="141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14</vt:i4>
      </vt:variant>
    </vt:vector>
  </HeadingPairs>
  <TitlesOfParts>
    <vt:vector size="35" baseType="lpstr">
      <vt:lpstr>Customer Data </vt:lpstr>
      <vt:lpstr>Quote Package PC4100</vt:lpstr>
      <vt:lpstr>Material Conversion details</vt:lpstr>
      <vt:lpstr>Item-14_AY30130</vt:lpstr>
      <vt:lpstr>Item-13_AY51606</vt:lpstr>
      <vt:lpstr>Item-12_AY30160</vt:lpstr>
      <vt:lpstr>Item-11_AT30150</vt:lpstr>
      <vt:lpstr>Item-10_AT30144</vt:lpstr>
      <vt:lpstr>Item-9_AT30134</vt:lpstr>
      <vt:lpstr>Item-8_AT30133</vt:lpstr>
      <vt:lpstr>Item-7_AT30107</vt:lpstr>
      <vt:lpstr>Item-6_AY30084</vt:lpstr>
      <vt:lpstr>Item-5_AY30062</vt:lpstr>
      <vt:lpstr>Item-4_AY30027</vt:lpstr>
      <vt:lpstr>Item-3_AY30018</vt:lpstr>
      <vt:lpstr>Item-2_AY30017</vt:lpstr>
      <vt:lpstr>Item-1_AY30013</vt:lpstr>
      <vt:lpstr>BOM R2D CatWalk</vt:lpstr>
      <vt:lpstr>RM Details</vt:lpstr>
      <vt:lpstr>RM Combined all</vt:lpstr>
      <vt:lpstr>Welding Details</vt:lpstr>
      <vt:lpstr>'Item-1_AY30013'!Print_Area</vt:lpstr>
      <vt:lpstr>'Item-10_AT30144'!Print_Area</vt:lpstr>
      <vt:lpstr>'Item-11_AT30150'!Print_Area</vt:lpstr>
      <vt:lpstr>'Item-12_AY30160'!Print_Area</vt:lpstr>
      <vt:lpstr>'Item-13_AY51606'!Print_Area</vt:lpstr>
      <vt:lpstr>'Item-14_AY30130'!Print_Area</vt:lpstr>
      <vt:lpstr>'Item-2_AY30017'!Print_Area</vt:lpstr>
      <vt:lpstr>'Item-3_AY30018'!Print_Area</vt:lpstr>
      <vt:lpstr>'Item-4_AY30027'!Print_Area</vt:lpstr>
      <vt:lpstr>'Item-5_AY30062'!Print_Area</vt:lpstr>
      <vt:lpstr>'Item-6_AY30084'!Print_Area</vt:lpstr>
      <vt:lpstr>'Item-7_AT30107'!Print_Area</vt:lpstr>
      <vt:lpstr>'Item-8_AT30133'!Print_Area</vt:lpstr>
      <vt:lpstr>'Item-9_AT30134'!Print_Area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Guleria</dc:creator>
  <cp:lastModifiedBy>Anshul Guleria</cp:lastModifiedBy>
  <dcterms:created xsi:type="dcterms:W3CDTF">2025-02-06T12:28:45Z</dcterms:created>
  <dcterms:modified xsi:type="dcterms:W3CDTF">2025-06-11T05:16:44Z</dcterms:modified>
</cp:coreProperties>
</file>