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783" firstSheet="0" activeTab="0" autoFilterDateGrouping="1"/>
  </bookViews>
  <sheets>
    <sheet name="Quotation Rig Adaptor" sheetId="1" state="visible" r:id="rId1"/>
    <sheet name="Summary RIG ADAPTOR" sheetId="2" state="visible" r:id="rId2"/>
    <sheet name="BOM RIG ADAPTOR" sheetId="3" state="visible" r:id="rId3"/>
  </sheets>
  <externalReferences>
    <externalReference r:id="rId4"/>
  </externalReferences>
  <definedNames>
    <definedName name="a">#REF!</definedName>
    <definedName name="a_1">#REF!</definedName>
    <definedName name="b">#REF!</definedName>
    <definedName name="a" localSheetId="0">#REF!</definedName>
    <definedName name="a_1" localSheetId="0">#REF!</definedName>
    <definedName name="b" localSheetId="0">#REF!</definedName>
    <definedName name="a" localSheetId="1">'[1]BOM '!#REF!</definedName>
    <definedName name="a_1" localSheetId="1">#REF!</definedName>
    <definedName name="b" localSheetId="1">#REF!</definedName>
    <definedName name="_xlnm.Print_Area" localSheetId="1">'Summary RIG ADAPTOR'!$A$1:$G$36</definedName>
    <definedName name="_xlnm._FilterDatabase" localSheetId="2" hidden="1">'BOM RIG ADAPTOR'!$A$2:$AC$10</definedName>
  </definedNames>
  <calcPr calcId="191029" fullCalcOnLoad="1" iterate="1"/>
</workbook>
</file>

<file path=xl/styles.xml><?xml version="1.0" encoding="utf-8"?>
<styleSheet xmlns="http://schemas.openxmlformats.org/spreadsheetml/2006/main">
  <numFmts count="6">
    <numFmt numFmtId="164" formatCode="_ * #,##0.00_ ;_ * \-#,##0.00_ ;_ * &quot;-&quot;??_ ;_ @_ "/>
    <numFmt numFmtId="165" formatCode="_ * #,##0_ ;_ * \-#,##0_ ;_ * &quot;-&quot;??_ ;_ @_ "/>
    <numFmt numFmtId="166" formatCode="0.000"/>
    <numFmt numFmtId="167" formatCode="0.0"/>
    <numFmt numFmtId="168" formatCode="&quot;₹&quot;\ #,##0.00"/>
    <numFmt numFmtId="169" formatCode="0.0%"/>
  </numFmts>
  <fonts count="41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4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sz val="12"/>
      <scheme val="minor"/>
    </font>
    <font>
      <name val="Arial"/>
      <family val="2"/>
      <sz val="12"/>
      <scheme val="minor"/>
    </font>
    <font>
      <name val="Arial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4"/>
      <scheme val="minor"/>
    </font>
    <font>
      <name val="Arial"/>
      <family val="2"/>
      <b val="1"/>
      <sz val="11"/>
      <scheme val="minor"/>
    </font>
    <font>
      <name val="Arial"/>
      <family val="2"/>
      <sz val="14"/>
      <scheme val="minor"/>
    </font>
    <font>
      <name val="Arial"/>
      <family val="2"/>
      <b val="1"/>
      <color theme="1"/>
      <sz val="11"/>
      <scheme val="minor"/>
    </font>
    <font>
      <name val="Calibri"/>
      <family val="2"/>
      <b val="1"/>
      <color theme="1"/>
      <sz val="10"/>
    </font>
    <font>
      <name val="Calibri"/>
      <family val="2"/>
      <b val="1"/>
      <sz val="10"/>
    </font>
    <font>
      <name val="Calibri"/>
      <family val="2"/>
      <sz val="10"/>
    </font>
    <font>
      <name val="Arial"/>
      <family val="2"/>
      <b val="1"/>
      <sz val="16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Calibri"/>
      <family val="2"/>
      <color theme="1"/>
      <sz val="12"/>
    </font>
    <font>
      <name val="Arial"/>
      <family val="2"/>
      <b val="1"/>
      <i val="1"/>
      <color theme="8" tint="-0.249977111117893"/>
      <sz val="10"/>
    </font>
    <font>
      <name val="Arial"/>
      <family val="2"/>
      <b val="1"/>
      <color rgb="FF0000FF"/>
      <sz val="10"/>
    </font>
    <font>
      <name val="Arial"/>
      <family val="2"/>
      <b val="1"/>
      <i val="1"/>
      <color rgb="FF3333FF"/>
      <sz val="10"/>
    </font>
    <font>
      <name val="Arial"/>
      <family val="2"/>
      <b val="1"/>
      <i val="1"/>
      <sz val="8"/>
    </font>
    <font>
      <name val="Arial"/>
      <family val="2"/>
      <color theme="1"/>
      <sz val="10"/>
      <scheme val="minor"/>
    </font>
    <font>
      <name val="Arial"/>
      <family val="2"/>
      <sz val="8"/>
      <scheme val="minor"/>
    </font>
    <font>
      <name val="Calibri"/>
      <family val="2"/>
      <color rgb="FFFF0000"/>
      <sz val="10"/>
    </font>
    <font>
      <name val="Calibri"/>
      <family val="2"/>
      <b val="1"/>
      <color theme="1"/>
      <sz val="11"/>
    </font>
    <font>
      <name val="Arial"/>
      <family val="2"/>
      <color rgb="FFFF0000"/>
      <sz val="12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4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sz val="12"/>
      <scheme val="minor"/>
    </font>
    <font>
      <name val="Arial"/>
      <family val="2"/>
      <color theme="1"/>
      <sz val="12"/>
      <scheme val="minor"/>
    </font>
    <font>
      <name val="Arial"/>
      <family val="2"/>
      <sz val="12"/>
      <scheme val="minor"/>
    </font>
    <font>
      <name val="Arial"/>
      <family val="2"/>
      <color rgb="FFFF0000"/>
      <sz val="12"/>
      <scheme val="minor"/>
    </font>
    <font>
      <name val="Arial"/>
      <family val="2"/>
      <b val="1"/>
      <color theme="1"/>
      <sz val="12"/>
      <scheme val="minor"/>
    </font>
    <font>
      <name val="Arial"/>
      <family val="2"/>
      <b val="1"/>
      <sz val="14"/>
      <scheme val="minor"/>
    </font>
    <font>
      <name val="Arial"/>
      <family val="2"/>
      <b val="1"/>
      <sz val="11"/>
      <scheme val="minor"/>
    </font>
    <font>
      <name val="Arial"/>
      <family val="2"/>
      <sz val="14"/>
      <scheme val="minor"/>
    </font>
    <font>
      <name val="Arial"/>
      <family val="2"/>
      <b val="1"/>
      <color theme="1"/>
      <sz val="11"/>
      <scheme val="minor"/>
    </font>
  </fonts>
  <fills count="2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5999938962981048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theme="3" tint="0.749992370372631"/>
        <bgColor indexed="26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2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29" fillId="0" borderId="0"/>
    <xf numFmtId="43" fontId="29" fillId="0" borderId="0"/>
    <xf numFmtId="9" fontId="29" fillId="0" borderId="0"/>
    <xf numFmtId="0" fontId="8" fillId="0" borderId="0"/>
    <xf numFmtId="43" fontId="29" fillId="0" borderId="0"/>
    <xf numFmtId="0" fontId="29" fillId="0" borderId="0"/>
  </cellStyleXfs>
  <cellXfs count="592">
    <xf numFmtId="0" fontId="0" fillId="0" borderId="0" pivotButton="0" quotePrefix="0" xfId="0"/>
    <xf numFmtId="0" fontId="3" fillId="0" borderId="0" pivotButton="0" quotePrefix="0" xfId="0"/>
    <xf numFmtId="0" fontId="4" fillId="3" borderId="7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/>
    </xf>
    <xf numFmtId="0" fontId="5" fillId="4" borderId="10" applyAlignment="1" pivotButton="0" quotePrefix="0" xfId="0">
      <alignment horizontal="left" vertical="center" wrapText="1"/>
    </xf>
    <xf numFmtId="0" fontId="3" fillId="4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2" fontId="5" fillId="4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vertical="center" wrapText="1"/>
    </xf>
    <xf numFmtId="0" fontId="6" fillId="0" borderId="13" applyAlignment="1" pivotButton="0" quotePrefix="0" xfId="0">
      <alignment horizontal="center" vertical="center" wrapText="1"/>
    </xf>
    <xf numFmtId="164" fontId="6" fillId="0" borderId="13" applyAlignment="1" pivotButton="0" quotePrefix="0" xfId="0">
      <alignment horizontal="left" vertical="center" wrapText="1"/>
    </xf>
    <xf numFmtId="164" fontId="3" fillId="0" borderId="14" applyAlignment="1" pivotButton="0" quotePrefix="0" xfId="1">
      <alignment horizontal="center" vertical="center"/>
    </xf>
    <xf numFmtId="164" fontId="3" fillId="0" borderId="0" pivotButton="0" quotePrefix="0" xfId="0"/>
    <xf numFmtId="9" fontId="5" fillId="0" borderId="13" applyAlignment="1" pivotButton="0" quotePrefix="0" xfId="0">
      <alignment horizontal="center" vertical="center"/>
    </xf>
    <xf numFmtId="164" fontId="3" fillId="0" borderId="14" applyAlignment="1" pivotButton="0" quotePrefix="0" xfId="1">
      <alignment vertical="center"/>
    </xf>
    <xf numFmtId="0" fontId="3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 wrapText="1"/>
    </xf>
    <xf numFmtId="0" fontId="6" fillId="0" borderId="10" applyAlignment="1" pivotButton="0" quotePrefix="0" xfId="0">
      <alignment horizontal="center" vertical="center" wrapText="1"/>
    </xf>
    <xf numFmtId="1" fontId="3" fillId="0" borderId="10" applyAlignment="1" pivotButton="0" quotePrefix="0" xfId="0">
      <alignment vertical="center"/>
    </xf>
    <xf numFmtId="165" fontId="3" fillId="0" borderId="11" applyAlignment="1" pivotButton="0" quotePrefix="0" xfId="1">
      <alignment vertical="center"/>
    </xf>
    <xf numFmtId="0" fontId="3" fillId="0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165" fontId="5" fillId="0" borderId="17" applyAlignment="1" pivotButton="0" quotePrefix="0" xfId="1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18" applyAlignment="1" pivotButton="0" quotePrefix="0" xfId="0">
      <alignment vertical="center"/>
    </xf>
    <xf numFmtId="0" fontId="5" fillId="0" borderId="19" applyAlignment="1" pivotButton="0" quotePrefix="0" xfId="0">
      <alignment vertical="center"/>
    </xf>
    <xf numFmtId="0" fontId="6" fillId="0" borderId="19" applyAlignment="1" pivotButton="0" quotePrefix="0" xfId="0">
      <alignment horizontal="center" vertical="center"/>
    </xf>
    <xf numFmtId="9" fontId="6" fillId="0" borderId="19" applyAlignment="1" pivotButton="0" quotePrefix="0" xfId="2">
      <alignment horizontal="center" vertical="center"/>
    </xf>
    <xf numFmtId="164" fontId="5" fillId="0" borderId="20" applyAlignment="1" pivotButton="0" quotePrefix="0" xfId="1">
      <alignment horizontal="right" vertical="center"/>
    </xf>
    <xf numFmtId="0" fontId="3" fillId="0" borderId="13" applyAlignment="1" pivotButton="0" quotePrefix="0" xfId="0">
      <alignment horizontal="center" vertical="center"/>
    </xf>
    <xf numFmtId="0" fontId="5" fillId="5" borderId="21" applyAlignment="1" pivotButton="0" quotePrefix="0" xfId="0">
      <alignment horizontal="center" vertical="center"/>
    </xf>
    <xf numFmtId="0" fontId="6" fillId="0" borderId="13" applyAlignment="1" pivotButton="0" quotePrefix="0" xfId="0">
      <alignment vertical="center"/>
    </xf>
    <xf numFmtId="164" fontId="6" fillId="0" borderId="13" applyAlignment="1" pivotButton="0" quotePrefix="0" xfId="1">
      <alignment horizontal="center" vertical="center"/>
    </xf>
    <xf numFmtId="0" fontId="6" fillId="0" borderId="13" applyAlignment="1" pivotButton="0" quotePrefix="0" xfId="0">
      <alignment horizontal="center" vertical="center"/>
    </xf>
    <xf numFmtId="164" fontId="6" fillId="0" borderId="14" applyAlignment="1" pivotButton="0" quotePrefix="0" xfId="1">
      <alignment horizontal="right" vertical="center"/>
    </xf>
    <xf numFmtId="0" fontId="3" fillId="0" borderId="12" applyAlignment="1" pivotButton="0" quotePrefix="0" xfId="0">
      <alignment horizontal="center" vertical="center"/>
    </xf>
    <xf numFmtId="0" fontId="7" fillId="6" borderId="21" applyAlignment="1" pivotButton="0" quotePrefix="0" xfId="0">
      <alignment horizontal="center" vertical="center"/>
    </xf>
    <xf numFmtId="10" fontId="6" fillId="0" borderId="13" applyAlignment="1" pivotButton="0" quotePrefix="0" xfId="0">
      <alignment horizontal="center" vertical="center" wrapText="1"/>
    </xf>
    <xf numFmtId="165" fontId="6" fillId="8" borderId="14" applyAlignment="1" pivotButton="0" quotePrefix="0" xfId="1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 wrapText="1"/>
    </xf>
    <xf numFmtId="0" fontId="6" fillId="0" borderId="7" applyAlignment="1" pivotButton="0" quotePrefix="0" xfId="0">
      <alignment horizontal="center" vertical="center" wrapText="1"/>
    </xf>
    <xf numFmtId="10" fontId="6" fillId="0" borderId="13" applyAlignment="1" pivotButton="0" quotePrefix="0" xfId="0">
      <alignment horizontal="center" vertical="center"/>
    </xf>
    <xf numFmtId="165" fontId="6" fillId="0" borderId="14" applyAlignment="1" pivotButton="0" quotePrefix="0" xfId="1">
      <alignment horizontal="right" vertical="center"/>
    </xf>
    <xf numFmtId="0" fontId="3" fillId="0" borderId="30" applyAlignment="1" pivotButton="0" quotePrefix="0" xfId="0">
      <alignment horizontal="center" vertical="center"/>
    </xf>
    <xf numFmtId="0" fontId="6" fillId="0" borderId="31" applyAlignment="1" pivotButton="0" quotePrefix="0" xfId="0">
      <alignment vertical="center"/>
    </xf>
    <xf numFmtId="10" fontId="6" fillId="0" borderId="31" applyAlignment="1" pivotButton="0" quotePrefix="0" xfId="0">
      <alignment horizontal="center" vertical="center"/>
    </xf>
    <xf numFmtId="165" fontId="6" fillId="0" borderId="32" applyAlignment="1" pivotButton="0" quotePrefix="0" xfId="1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5" fillId="0" borderId="0" applyAlignment="1" pivotButton="0" quotePrefix="0" xfId="1">
      <alignment horizontal="right" vertical="center"/>
    </xf>
    <xf numFmtId="0" fontId="5" fillId="0" borderId="21" applyAlignment="1" pivotButton="0" quotePrefix="0" xfId="0">
      <alignment horizontal="center" vertical="center"/>
    </xf>
    <xf numFmtId="164" fontId="5" fillId="0" borderId="29" applyAlignment="1" pivotButton="0" quotePrefix="0" xfId="1">
      <alignment horizontal="right" vertical="center"/>
    </xf>
    <xf numFmtId="0" fontId="7" fillId="0" borderId="13" applyAlignment="1" pivotButton="0" quotePrefix="0" xfId="0">
      <alignment horizontal="center" vertical="center"/>
    </xf>
    <xf numFmtId="2" fontId="3" fillId="0" borderId="13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166" fontId="13" fillId="12" borderId="45" applyAlignment="1" pivotButton="0" quotePrefix="0" xfId="0">
      <alignment horizontal="center" vertical="center"/>
    </xf>
    <xf numFmtId="0" fontId="13" fillId="12" borderId="45" applyAlignment="1" pivotButton="0" quotePrefix="0" xfId="0">
      <alignment horizontal="center" vertical="center"/>
    </xf>
    <xf numFmtId="9" fontId="13" fillId="12" borderId="45" applyAlignment="1" pivotButton="0" quotePrefix="0" xfId="0">
      <alignment horizontal="center" vertical="center"/>
    </xf>
    <xf numFmtId="9" fontId="13" fillId="12" borderId="42" applyAlignment="1" pivotButton="0" quotePrefix="0" xfId="0">
      <alignment horizontal="center" vertical="center"/>
    </xf>
    <xf numFmtId="9" fontId="4" fillId="12" borderId="45" applyAlignment="1" pivotButton="0" quotePrefix="0" xfId="0">
      <alignment horizontal="center" vertical="center"/>
    </xf>
    <xf numFmtId="2" fontId="4" fillId="12" borderId="45" applyAlignment="1" pivotButton="0" quotePrefix="0" xfId="0">
      <alignment horizontal="center" vertical="center"/>
    </xf>
    <xf numFmtId="0" fontId="4" fillId="12" borderId="45" applyAlignment="1" pivotButton="0" quotePrefix="0" xfId="0">
      <alignment horizontal="center" vertical="center"/>
    </xf>
    <xf numFmtId="0" fontId="13" fillId="12" borderId="4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3" fillId="13" borderId="10" applyAlignment="1" pivotButton="0" quotePrefix="0" xfId="0">
      <alignment horizontal="center" vertical="center"/>
    </xf>
    <xf numFmtId="0" fontId="14" fillId="13" borderId="13" applyAlignment="1" pivotButton="0" quotePrefix="0" xfId="0">
      <alignment horizontal="center" vertical="center"/>
    </xf>
    <xf numFmtId="2" fontId="14" fillId="13" borderId="13" applyAlignment="1" pivotButton="0" quotePrefix="0" xfId="0">
      <alignment horizontal="center" vertical="center"/>
    </xf>
    <xf numFmtId="2" fontId="14" fillId="14" borderId="10" applyAlignment="1" pivotButton="0" quotePrefix="0" xfId="0">
      <alignment horizontal="center" vertical="center" wrapText="1"/>
    </xf>
    <xf numFmtId="0" fontId="14" fillId="13" borderId="1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3" fillId="15" borderId="16" applyAlignment="1" pivotButton="0" quotePrefix="0" xfId="0">
      <alignment horizontal="center" vertical="center"/>
    </xf>
    <xf numFmtId="0" fontId="13" fillId="15" borderId="7" applyAlignment="1" pivotButton="0" quotePrefix="0" xfId="0">
      <alignment horizontal="center" vertical="center"/>
    </xf>
    <xf numFmtId="0" fontId="13" fillId="15" borderId="7" applyAlignment="1" pivotButton="0" quotePrefix="0" xfId="0">
      <alignment horizontal="center" vertical="center" wrapText="1"/>
    </xf>
    <xf numFmtId="0" fontId="13" fillId="15" borderId="48" applyAlignment="1" pivotButton="0" quotePrefix="0" xfId="0">
      <alignment horizontal="center" vertical="center" wrapText="1"/>
    </xf>
    <xf numFmtId="0" fontId="13" fillId="15" borderId="6" applyAlignment="1" pivotButton="0" quotePrefix="0" xfId="0">
      <alignment horizontal="center" vertical="center" wrapText="1"/>
    </xf>
    <xf numFmtId="0" fontId="13" fillId="15" borderId="49" applyAlignment="1" pivotButton="0" quotePrefix="0" xfId="0">
      <alignment horizontal="center" vertical="center" wrapText="1"/>
    </xf>
    <xf numFmtId="0" fontId="4" fillId="15" borderId="7" applyAlignment="1" pivotButton="0" quotePrefix="0" xfId="0">
      <alignment horizontal="center" vertical="center" wrapText="1"/>
    </xf>
    <xf numFmtId="0" fontId="13" fillId="15" borderId="17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left" vertical="center" wrapText="1"/>
    </xf>
    <xf numFmtId="0" fontId="8" fillId="0" borderId="0" applyAlignment="1" pivotButton="0" quotePrefix="0" xfId="3">
      <alignment horizontal="right"/>
    </xf>
    <xf numFmtId="0" fontId="8" fillId="0" borderId="0" pivotButton="0" quotePrefix="0" xfId="3"/>
    <xf numFmtId="0" fontId="8" fillId="0" borderId="0" applyAlignment="1" pivotButton="0" quotePrefix="0" xfId="3">
      <alignment horizontal="left" vertical="center"/>
    </xf>
    <xf numFmtId="0" fontId="17" fillId="0" borderId="12" applyAlignment="1" pivotButton="0" quotePrefix="0" xfId="3">
      <alignment horizontal="left" vertical="center" wrapText="1"/>
    </xf>
    <xf numFmtId="0" fontId="17" fillId="0" borderId="13" applyAlignment="1" pivotButton="0" quotePrefix="0" xfId="3">
      <alignment vertical="center" wrapText="1"/>
    </xf>
    <xf numFmtId="0" fontId="8" fillId="0" borderId="0" applyAlignment="1" pivotButton="0" quotePrefix="0" xfId="3">
      <alignment horizontal="left"/>
    </xf>
    <xf numFmtId="0" fontId="17" fillId="0" borderId="13" applyAlignment="1" pivotButton="0" quotePrefix="0" xfId="3">
      <alignment horizontal="center" vertical="center" wrapText="1"/>
    </xf>
    <xf numFmtId="0" fontId="17" fillId="0" borderId="13" applyAlignment="1" pivotButton="0" quotePrefix="0" xfId="3">
      <alignment horizontal="left" vertical="center" wrapText="1"/>
    </xf>
    <xf numFmtId="1" fontId="18" fillId="0" borderId="0" applyAlignment="1" pivotButton="0" quotePrefix="0" xfId="3">
      <alignment horizontal="left" vertical="center" wrapText="1"/>
    </xf>
    <xf numFmtId="1" fontId="17" fillId="18" borderId="41" applyAlignment="1" pivotButton="0" quotePrefix="0" xfId="3">
      <alignment horizontal="left" vertical="center" wrapText="1"/>
    </xf>
    <xf numFmtId="1" fontId="17" fillId="9" borderId="45" applyAlignment="1" pivotButton="0" quotePrefix="0" xfId="3">
      <alignment horizontal="center" vertical="center" wrapText="1"/>
    </xf>
    <xf numFmtId="1" fontId="17" fillId="8" borderId="39" applyAlignment="1" pivotButton="0" quotePrefix="0" xfId="3">
      <alignment horizontal="left" vertical="center" wrapText="1"/>
    </xf>
    <xf numFmtId="2" fontId="8" fillId="0" borderId="28" applyAlignment="1" pivotButton="0" quotePrefix="0" xfId="3">
      <alignment horizontal="center" vertical="center"/>
    </xf>
    <xf numFmtId="2" fontId="8" fillId="0" borderId="29" applyAlignment="1" pivotButton="0" quotePrefix="0" xfId="3">
      <alignment horizontal="center" vertical="center"/>
    </xf>
    <xf numFmtId="9" fontId="8" fillId="0" borderId="0" pivotButton="0" quotePrefix="0" xfId="2"/>
    <xf numFmtId="2" fontId="8" fillId="0" borderId="13" applyAlignment="1" pivotButton="0" quotePrefix="0" xfId="3">
      <alignment horizontal="center" vertical="center"/>
    </xf>
    <xf numFmtId="2" fontId="8" fillId="0" borderId="14" applyAlignment="1" pivotButton="0" quotePrefix="0" xfId="3">
      <alignment horizontal="center" vertical="center"/>
    </xf>
    <xf numFmtId="1" fontId="17" fillId="8" borderId="50" applyAlignment="1" pivotButton="0" quotePrefix="0" xfId="3">
      <alignment horizontal="left" vertical="center" wrapText="1"/>
    </xf>
    <xf numFmtId="2" fontId="8" fillId="8" borderId="13" applyAlignment="1" pivotButton="0" quotePrefix="0" xfId="3">
      <alignment horizontal="center" vertical="center" wrapText="1"/>
    </xf>
    <xf numFmtId="10" fontId="18" fillId="0" borderId="0" applyAlignment="1" pivotButton="0" quotePrefix="0" xfId="2">
      <alignment horizontal="left" vertical="center"/>
    </xf>
    <xf numFmtId="1" fontId="17" fillId="0" borderId="50" applyAlignment="1" pivotButton="0" quotePrefix="0" xfId="3">
      <alignment horizontal="left" vertical="center" wrapText="1"/>
    </xf>
    <xf numFmtId="167" fontId="17" fillId="0" borderId="13" applyAlignment="1" pivotButton="0" quotePrefix="0" xfId="3">
      <alignment horizontal="center" vertical="center" wrapText="1"/>
    </xf>
    <xf numFmtId="168" fontId="8" fillId="0" borderId="0" applyAlignment="1" pivotButton="0" quotePrefix="0" xfId="3">
      <alignment horizontal="right"/>
    </xf>
    <xf numFmtId="167" fontId="8" fillId="8" borderId="13" applyAlignment="1" pivotButton="0" quotePrefix="0" xfId="3">
      <alignment horizontal="center" vertical="center" wrapText="1"/>
    </xf>
    <xf numFmtId="1" fontId="17" fillId="8" borderId="51" applyAlignment="1" pivotButton="0" quotePrefix="0" xfId="3">
      <alignment horizontal="left" vertical="center" wrapText="1"/>
    </xf>
    <xf numFmtId="2" fontId="8" fillId="19" borderId="34" applyAlignment="1" pivotButton="0" quotePrefix="0" xfId="3">
      <alignment horizontal="center" vertical="center" wrapText="1"/>
    </xf>
    <xf numFmtId="2" fontId="8" fillId="19" borderId="35" applyAlignment="1" pivotButton="0" quotePrefix="0" xfId="3">
      <alignment horizontal="center" vertical="center" wrapText="1"/>
    </xf>
    <xf numFmtId="1" fontId="18" fillId="0" borderId="0" applyAlignment="1" pivotButton="0" quotePrefix="0" xfId="1">
      <alignment horizontal="left" vertical="center" wrapText="1"/>
    </xf>
    <xf numFmtId="1" fontId="17" fillId="8" borderId="43" applyAlignment="1" pivotButton="0" quotePrefix="0" xfId="3">
      <alignment horizontal="left" vertical="center" wrapText="1"/>
    </xf>
    <xf numFmtId="2" fontId="20" fillId="0" borderId="0" applyAlignment="1" pivotButton="0" quotePrefix="0" xfId="3">
      <alignment horizontal="left"/>
    </xf>
    <xf numFmtId="1" fontId="8" fillId="0" borderId="0" applyAlignment="1" pivotButton="0" quotePrefix="0" xfId="3">
      <alignment horizontal="right"/>
    </xf>
    <xf numFmtId="1" fontId="17" fillId="8" borderId="12" applyAlignment="1" pivotButton="0" quotePrefix="0" xfId="3">
      <alignment horizontal="left" vertical="center" wrapText="1"/>
    </xf>
    <xf numFmtId="1" fontId="21" fillId="8" borderId="13" applyAlignment="1" pivotButton="0" quotePrefix="0" xfId="3">
      <alignment horizontal="center" vertical="center" wrapText="1"/>
    </xf>
    <xf numFmtId="1" fontId="21" fillId="0" borderId="13" applyAlignment="1" pivotButton="0" quotePrefix="0" xfId="3">
      <alignment horizontal="center" vertical="center" wrapText="1"/>
    </xf>
    <xf numFmtId="165" fontId="17" fillId="0" borderId="14" applyAlignment="1" pivotButton="0" quotePrefix="0" xfId="1">
      <alignment vertical="center" wrapText="1"/>
    </xf>
    <xf numFmtId="1" fontId="17" fillId="8" borderId="13" applyAlignment="1" pivotButton="0" quotePrefix="0" xfId="3">
      <alignment horizontal="left" vertical="center" wrapText="1"/>
    </xf>
    <xf numFmtId="1" fontId="17" fillId="0" borderId="13" applyAlignment="1" pivotButton="0" quotePrefix="0" xfId="3">
      <alignment horizontal="left" vertical="center" wrapText="1"/>
    </xf>
    <xf numFmtId="165" fontId="17" fillId="8" borderId="14" applyAlignment="1" pivotButton="0" quotePrefix="0" xfId="1">
      <alignment horizontal="left" vertical="center" wrapText="1"/>
    </xf>
    <xf numFmtId="165" fontId="17" fillId="8" borderId="35" applyAlignment="1" pivotButton="0" quotePrefix="0" xfId="1">
      <alignment horizontal="left" vertical="center" wrapText="1"/>
    </xf>
    <xf numFmtId="1" fontId="17" fillId="8" borderId="56" applyAlignment="1" pivotButton="0" quotePrefix="0" xfId="3">
      <alignment horizontal="left" vertical="center" wrapText="1"/>
    </xf>
    <xf numFmtId="1" fontId="17" fillId="8" borderId="57" applyAlignment="1" pivotButton="0" quotePrefix="0" xfId="3">
      <alignment horizontal="left" vertical="center" wrapText="1"/>
    </xf>
    <xf numFmtId="1" fontId="17" fillId="0" borderId="57" applyAlignment="1" pivotButton="0" quotePrefix="0" xfId="3">
      <alignment horizontal="left" vertical="center" wrapText="1"/>
    </xf>
    <xf numFmtId="165" fontId="17" fillId="8" borderId="58" applyAlignment="1" pivotButton="0" quotePrefix="0" xfId="1">
      <alignment horizontal="left" vertical="center" wrapText="1"/>
    </xf>
    <xf numFmtId="164" fontId="8" fillId="0" borderId="0" applyAlignment="1" pivotButton="0" quotePrefix="0" xfId="3">
      <alignment horizontal="right"/>
    </xf>
    <xf numFmtId="1" fontId="17" fillId="8" borderId="59" applyAlignment="1" pivotButton="0" quotePrefix="0" xfId="3">
      <alignment horizontal="left" vertical="center" wrapText="1"/>
    </xf>
    <xf numFmtId="2" fontId="17" fillId="8" borderId="13" applyAlignment="1" pivotButton="0" quotePrefix="0" xfId="3">
      <alignment horizontal="left" vertical="center" wrapText="1"/>
    </xf>
    <xf numFmtId="2" fontId="17" fillId="0" borderId="13" applyAlignment="1" pivotButton="0" quotePrefix="0" xfId="3">
      <alignment horizontal="left" vertical="center" wrapText="1"/>
    </xf>
    <xf numFmtId="2" fontId="18" fillId="0" borderId="0" applyAlignment="1" pivotButton="0" quotePrefix="0" xfId="2">
      <alignment horizontal="left" vertical="center" wrapText="1"/>
    </xf>
    <xf numFmtId="2" fontId="23" fillId="0" borderId="0" applyAlignment="1" pivotButton="0" quotePrefix="0" xfId="2">
      <alignment horizontal="left" vertical="center" wrapText="1"/>
    </xf>
    <xf numFmtId="165" fontId="17" fillId="0" borderId="14" applyAlignment="1" pivotButton="0" quotePrefix="0" xfId="1">
      <alignment horizontal="left" vertical="center" wrapText="1"/>
    </xf>
    <xf numFmtId="1" fontId="23" fillId="0" borderId="0" applyAlignment="1" pivotButton="0" quotePrefix="0" xfId="3">
      <alignment horizontal="left" vertical="center" wrapText="1"/>
    </xf>
    <xf numFmtId="1" fontId="17" fillId="8" borderId="60" applyAlignment="1" pivotButton="0" quotePrefix="0" xfId="3">
      <alignment horizontal="left" vertical="center" wrapText="1"/>
    </xf>
    <xf numFmtId="1" fontId="17" fillId="0" borderId="60" applyAlignment="1" pivotButton="0" quotePrefix="0" xfId="3">
      <alignment horizontal="left" vertical="center" wrapText="1"/>
    </xf>
    <xf numFmtId="165" fontId="17" fillId="8" borderId="61" applyAlignment="1" pivotButton="0" quotePrefix="0" xfId="1">
      <alignment horizontal="left" vertical="center" wrapText="1"/>
    </xf>
    <xf numFmtId="165" fontId="17" fillId="21" borderId="66" applyAlignment="1" pivotButton="0" quotePrefix="0" xfId="1">
      <alignment horizontal="left" vertical="center" wrapText="1"/>
    </xf>
    <xf numFmtId="9" fontId="18" fillId="0" borderId="0" applyAlignment="1" pivotButton="0" quotePrefix="0" xfId="2">
      <alignment horizontal="left" vertical="center" wrapText="1"/>
    </xf>
    <xf numFmtId="164" fontId="17" fillId="0" borderId="0" pivotButton="0" quotePrefix="0" xfId="3"/>
    <xf numFmtId="1" fontId="17" fillId="8" borderId="13" applyAlignment="1" pivotButton="0" quotePrefix="0" xfId="3">
      <alignment vertical="center" wrapText="1"/>
    </xf>
    <xf numFmtId="165" fontId="8" fillId="0" borderId="0" pivotButton="0" quotePrefix="0" xfId="1"/>
    <xf numFmtId="164" fontId="8" fillId="0" borderId="0" applyAlignment="1" pivotButton="0" quotePrefix="0" xfId="3">
      <alignment horizontal="left"/>
    </xf>
    <xf numFmtId="1" fontId="17" fillId="8" borderId="31" applyAlignment="1" pivotButton="0" quotePrefix="0" xfId="3">
      <alignment vertical="center" wrapText="1"/>
    </xf>
    <xf numFmtId="1" fontId="17" fillId="8" borderId="65" applyAlignment="1" pivotButton="0" quotePrefix="0" xfId="3">
      <alignment vertical="center" wrapText="1"/>
    </xf>
    <xf numFmtId="9" fontId="17" fillId="8" borderId="31" applyAlignment="1" pivotButton="0" quotePrefix="0" xfId="2">
      <alignment horizontal="center" vertical="center" wrapText="1"/>
    </xf>
    <xf numFmtId="165" fontId="17" fillId="8" borderId="67" applyAlignment="1" pivotButton="0" quotePrefix="0" xfId="1">
      <alignment horizontal="left" vertical="center" wrapText="1"/>
    </xf>
    <xf numFmtId="165" fontId="17" fillId="8" borderId="13" applyAlignment="1" pivotButton="0" quotePrefix="0" xfId="1">
      <alignment horizontal="left" vertical="center" wrapText="1"/>
    </xf>
    <xf numFmtId="0" fontId="8" fillId="0" borderId="0" applyAlignment="1" pivotButton="0" quotePrefix="0" xfId="3">
      <alignment horizontal="center"/>
    </xf>
    <xf numFmtId="0" fontId="8" fillId="0" borderId="28" applyAlignment="1" pivotButton="0" quotePrefix="0" xfId="3">
      <alignment horizontal="center" vertical="center"/>
    </xf>
    <xf numFmtId="0" fontId="9" fillId="9" borderId="25" applyAlignment="1" pivotButton="0" quotePrefix="0" xfId="0">
      <alignment horizontal="center" vertical="center"/>
    </xf>
    <xf numFmtId="0" fontId="9" fillId="9" borderId="26" applyAlignment="1" pivotButton="0" quotePrefix="0" xfId="0">
      <alignment vertical="center"/>
    </xf>
    <xf numFmtId="0" fontId="11" fillId="9" borderId="26" applyAlignment="1" pivotButton="0" quotePrefix="0" xfId="0">
      <alignment horizontal="center" vertical="center"/>
    </xf>
    <xf numFmtId="165" fontId="9" fillId="9" borderId="27" applyAlignment="1" pivotButton="0" quotePrefix="0" xfId="1">
      <alignment horizontal="right" vertical="center"/>
    </xf>
    <xf numFmtId="9" fontId="8" fillId="0" borderId="0" applyAlignment="1" pivotButton="0" quotePrefix="0" xfId="2">
      <alignment horizontal="left"/>
    </xf>
    <xf numFmtId="2" fontId="8" fillId="0" borderId="0" applyAlignment="1" pivotButton="0" quotePrefix="0" xfId="3">
      <alignment horizontal="center"/>
    </xf>
    <xf numFmtId="2" fontId="15" fillId="0" borderId="10" applyAlignment="1" pivotButton="0" quotePrefix="0" xfId="0">
      <alignment horizontal="center" vertical="center" wrapText="1"/>
    </xf>
    <xf numFmtId="1" fontId="17" fillId="8" borderId="13" applyAlignment="1" pivotButton="0" quotePrefix="0" xfId="3">
      <alignment horizontal="left" vertical="center" wrapText="1"/>
    </xf>
    <xf numFmtId="1" fontId="22" fillId="0" borderId="0" applyAlignment="1" pivotButton="0" quotePrefix="0" xfId="3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2" fontId="0" fillId="0" borderId="13" applyAlignment="1" pivotButton="0" quotePrefix="0" xfId="0">
      <alignment horizontal="center" vertical="center"/>
    </xf>
    <xf numFmtId="166" fontId="8" fillId="0" borderId="0" pivotButton="0" quotePrefix="0" xfId="3"/>
    <xf numFmtId="9" fontId="14" fillId="13" borderId="13" applyAlignment="1" pivotButton="0" quotePrefix="0" xfId="2">
      <alignment horizontal="center" vertical="center"/>
    </xf>
    <xf numFmtId="1" fontId="22" fillId="0" borderId="52" applyAlignment="1" pivotButton="0" quotePrefix="0" xfId="3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0" fontId="6" fillId="0" borderId="10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5" fillId="5" borderId="22" applyAlignment="1" pivotButton="0" quotePrefix="0" xfId="0">
      <alignment vertical="center"/>
    </xf>
    <xf numFmtId="0" fontId="5" fillId="5" borderId="23" applyAlignment="1" pivotButton="0" quotePrefix="0" xfId="0">
      <alignment vertical="center"/>
    </xf>
    <xf numFmtId="0" fontId="5" fillId="5" borderId="24" applyAlignment="1" pivotButton="0" quotePrefix="0" xfId="0">
      <alignment vertical="center"/>
    </xf>
    <xf numFmtId="1" fontId="5" fillId="7" borderId="28" applyAlignment="1" pivotButton="0" quotePrefix="0" xfId="3">
      <alignment vertical="center" wrapText="1"/>
    </xf>
    <xf numFmtId="0" fontId="5" fillId="0" borderId="18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165" fontId="3" fillId="0" borderId="0" pivotButton="0" quotePrefix="0" xfId="0"/>
    <xf numFmtId="165" fontId="5" fillId="0" borderId="20" applyAlignment="1" pivotButton="0" quotePrefix="0" xfId="1">
      <alignment horizontal="right" vertical="center"/>
    </xf>
    <xf numFmtId="165" fontId="5" fillId="7" borderId="29" applyAlignment="1" pivotButton="0" quotePrefix="0" xfId="3">
      <alignment vertical="center" wrapText="1"/>
    </xf>
    <xf numFmtId="165" fontId="6" fillId="0" borderId="11" applyAlignment="1" pivotButton="0" quotePrefix="0" xfId="1">
      <alignment horizontal="right" vertical="center"/>
    </xf>
    <xf numFmtId="0" fontId="3" fillId="0" borderId="13" pivotButton="0" quotePrefix="0" xfId="0"/>
    <xf numFmtId="9" fontId="3" fillId="0" borderId="0" pivotButton="0" quotePrefix="0" xfId="2"/>
    <xf numFmtId="0" fontId="6" fillId="0" borderId="10" applyAlignment="1" pivotButton="0" quotePrefix="0" xfId="0">
      <alignment vertical="center"/>
    </xf>
    <xf numFmtId="0" fontId="5" fillId="9" borderId="16" applyAlignment="1" pivotButton="0" quotePrefix="0" xfId="0">
      <alignment horizontal="center" vertical="center"/>
    </xf>
    <xf numFmtId="0" fontId="5" fillId="9" borderId="7" applyAlignment="1" pivotButton="0" quotePrefix="0" xfId="0">
      <alignment vertical="center"/>
    </xf>
    <xf numFmtId="0" fontId="5" fillId="9" borderId="17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165" fontId="5" fillId="8" borderId="3" applyAlignment="1" pivotButton="0" quotePrefix="0" xfId="1">
      <alignment horizontal="left" vertical="center" wrapText="1"/>
    </xf>
    <xf numFmtId="0" fontId="5" fillId="9" borderId="43" applyAlignment="1" pivotButton="0" quotePrefix="0" xfId="0">
      <alignment vertical="center"/>
    </xf>
    <xf numFmtId="165" fontId="5" fillId="9" borderId="68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165" fontId="5" fillId="0" borderId="17" applyAlignment="1" pivotButton="0" quotePrefix="0" xfId="0">
      <alignment vertical="center"/>
    </xf>
    <xf numFmtId="0" fontId="3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vertical="center" wrapText="1"/>
    </xf>
    <xf numFmtId="0" fontId="0" fillId="0" borderId="13" applyAlignment="1" pivotButton="0" quotePrefix="0" xfId="0">
      <alignment horizontal="center" vertical="center"/>
    </xf>
    <xf numFmtId="0" fontId="1" fillId="0" borderId="13" pivotButton="0" quotePrefix="0" xfId="5"/>
    <xf numFmtId="0" fontId="1" fillId="0" borderId="38" applyAlignment="1" pivotButton="0" quotePrefix="0" xfId="5">
      <alignment horizontal="center"/>
    </xf>
    <xf numFmtId="0" fontId="1" fillId="0" borderId="0" pivotButton="0" quotePrefix="0" xfId="5"/>
    <xf numFmtId="0" fontId="1" fillId="0" borderId="31" pivotButton="0" quotePrefix="0" xfId="5"/>
    <xf numFmtId="167" fontId="1" fillId="0" borderId="31" pivotButton="0" quotePrefix="0" xfId="5"/>
    <xf numFmtId="0" fontId="12" fillId="0" borderId="16" applyAlignment="1" pivotButton="0" quotePrefix="0" xfId="5">
      <alignment horizontal="center" vertical="center" wrapText="1"/>
    </xf>
    <xf numFmtId="0" fontId="12" fillId="0" borderId="7" applyAlignment="1" pivotButton="0" quotePrefix="0" xfId="5">
      <alignment horizontal="center" vertical="center" wrapText="1"/>
    </xf>
    <xf numFmtId="0" fontId="1" fillId="0" borderId="10" applyAlignment="1" pivotButton="0" quotePrefix="0" xfId="5">
      <alignment horizontal="center"/>
    </xf>
    <xf numFmtId="167" fontId="8" fillId="0" borderId="10" applyAlignment="1" pivotButton="0" quotePrefix="0" xfId="5">
      <alignment horizontal="center" vertical="center" wrapText="1"/>
    </xf>
    <xf numFmtId="9" fontId="1" fillId="0" borderId="10" applyAlignment="1" pivotButton="0" quotePrefix="0" xfId="5">
      <alignment horizontal="center" vertical="center" wrapText="1"/>
    </xf>
    <xf numFmtId="2" fontId="1" fillId="0" borderId="10" applyAlignment="1" pivotButton="0" quotePrefix="0" xfId="5">
      <alignment horizontal="center" vertical="center" wrapText="1"/>
    </xf>
    <xf numFmtId="0" fontId="1" fillId="0" borderId="10" pivotButton="0" quotePrefix="0" xfId="5"/>
    <xf numFmtId="0" fontId="1" fillId="0" borderId="13" applyAlignment="1" pivotButton="0" quotePrefix="0" xfId="5">
      <alignment horizontal="center"/>
    </xf>
    <xf numFmtId="167" fontId="8" fillId="0" borderId="13" applyAlignment="1" pivotButton="0" quotePrefix="0" xfId="5">
      <alignment horizontal="center" vertical="center" wrapText="1"/>
    </xf>
    <xf numFmtId="9" fontId="1" fillId="0" borderId="13" applyAlignment="1" pivotButton="0" quotePrefix="0" xfId="5">
      <alignment horizontal="center" vertical="center" wrapText="1"/>
    </xf>
    <xf numFmtId="2" fontId="1" fillId="0" borderId="13" applyAlignment="1" pivotButton="0" quotePrefix="0" xfId="5">
      <alignment horizontal="center" vertical="center" wrapText="1"/>
    </xf>
    <xf numFmtId="2" fontId="1" fillId="0" borderId="13" applyAlignment="1" pivotButton="0" quotePrefix="0" xfId="5">
      <alignment horizontal="center" vertical="center"/>
    </xf>
    <xf numFmtId="0" fontId="7" fillId="0" borderId="25" applyAlignment="1" pivotButton="0" quotePrefix="0" xfId="5">
      <alignment horizontal="left"/>
    </xf>
    <xf numFmtId="0" fontId="7" fillId="0" borderId="26" applyAlignment="1" pivotButton="0" quotePrefix="0" xfId="5">
      <alignment horizontal="center"/>
    </xf>
    <xf numFmtId="0" fontId="7" fillId="0" borderId="26" pivotButton="0" quotePrefix="0" xfId="5"/>
    <xf numFmtId="2" fontId="7" fillId="0" borderId="26" pivotButton="0" quotePrefix="0" xfId="5"/>
    <xf numFmtId="0" fontId="1" fillId="0" borderId="10" applyAlignment="1" pivotButton="0" quotePrefix="0" xfId="5">
      <alignment horizontal="left"/>
    </xf>
    <xf numFmtId="9" fontId="1" fillId="0" borderId="31" pivotButton="0" quotePrefix="0" xfId="5"/>
    <xf numFmtId="0" fontId="7" fillId="10" borderId="7" pivotButton="0" quotePrefix="0" xfId="5"/>
    <xf numFmtId="167" fontId="1" fillId="0" borderId="0" pivotButton="0" quotePrefix="0" xfId="5"/>
    <xf numFmtId="9" fontId="13" fillId="12" borderId="46" applyAlignment="1" pivotButton="0" quotePrefix="0" xfId="0">
      <alignment horizontal="center" vertical="center" wrapText="1"/>
    </xf>
    <xf numFmtId="0" fontId="12" fillId="22" borderId="49" applyAlignment="1" pivotButton="0" quotePrefix="0" xfId="5">
      <alignment horizontal="center" vertical="center" wrapText="1"/>
    </xf>
    <xf numFmtId="0" fontId="12" fillId="11" borderId="17" applyAlignment="1" pivotButton="0" quotePrefix="0" xfId="5">
      <alignment horizontal="center" vertical="center" wrapText="1"/>
    </xf>
    <xf numFmtId="1" fontId="1" fillId="22" borderId="10" applyAlignment="1" pivotButton="0" quotePrefix="0" xfId="5">
      <alignment horizontal="center" vertical="center"/>
    </xf>
    <xf numFmtId="1" fontId="1" fillId="11" borderId="10" pivotButton="0" quotePrefix="0" xfId="5"/>
    <xf numFmtId="0" fontId="1" fillId="0" borderId="13" applyAlignment="1" pivotButton="0" quotePrefix="0" xfId="5">
      <alignment horizontal="left"/>
    </xf>
    <xf numFmtId="1" fontId="7" fillId="22" borderId="27" pivotButton="0" quotePrefix="0" xfId="5"/>
    <xf numFmtId="1" fontId="7" fillId="11" borderId="27" pivotButton="0" quotePrefix="0" xfId="5"/>
    <xf numFmtId="1" fontId="1" fillId="22" borderId="10" pivotButton="0" quotePrefix="0" xfId="5"/>
    <xf numFmtId="1" fontId="1" fillId="22" borderId="13" pivotButton="0" quotePrefix="0" xfId="5"/>
    <xf numFmtId="1" fontId="1" fillId="11" borderId="13" pivotButton="0" quotePrefix="0" xfId="5"/>
    <xf numFmtId="1" fontId="1" fillId="22" borderId="31" pivotButton="0" quotePrefix="0" xfId="5"/>
    <xf numFmtId="1" fontId="1" fillId="11" borderId="31" pivotButton="0" quotePrefix="0" xfId="5"/>
    <xf numFmtId="1" fontId="7" fillId="22" borderId="17" pivotButton="0" quotePrefix="0" xfId="5"/>
    <xf numFmtId="1" fontId="7" fillId="11" borderId="17" pivotButton="0" quotePrefix="0" xfId="5"/>
    <xf numFmtId="167" fontId="8" fillId="22" borderId="0" pivotButton="0" quotePrefix="0" xfId="3"/>
    <xf numFmtId="0" fontId="24" fillId="0" borderId="0" pivotButton="0" quotePrefix="0" xfId="0"/>
    <xf numFmtId="1" fontId="18" fillId="0" borderId="0" applyAlignment="1" pivotButton="0" quotePrefix="0" xfId="3">
      <alignment horizontal="left" vertical="top"/>
    </xf>
    <xf numFmtId="0" fontId="8" fillId="0" borderId="13" applyAlignment="1" pivotButton="0" quotePrefix="0" xfId="3">
      <alignment horizontal="center" vertical="center"/>
    </xf>
    <xf numFmtId="0" fontId="10" fillId="0" borderId="13" applyAlignment="1" pivotButton="0" quotePrefix="0" xfId="0">
      <alignment vertical="center" wrapText="1"/>
    </xf>
    <xf numFmtId="0" fontId="10" fillId="0" borderId="21" applyAlignment="1" pivotButton="0" quotePrefix="0" xfId="0">
      <alignment vertical="center"/>
    </xf>
    <xf numFmtId="0" fontId="10" fillId="0" borderId="12" applyAlignment="1" pivotButton="0" quotePrefix="0" xfId="0">
      <alignment vertical="center" wrapText="1"/>
    </xf>
    <xf numFmtId="164" fontId="5" fillId="0" borderId="14" applyAlignment="1" pivotButton="0" quotePrefix="0" xfId="1">
      <alignment horizontal="right" vertical="center"/>
    </xf>
    <xf numFmtId="0" fontId="9" fillId="10" borderId="1" applyAlignment="1" pivotButton="0" quotePrefix="0" xfId="0">
      <alignment vertical="center"/>
    </xf>
    <xf numFmtId="0" fontId="9" fillId="10" borderId="2" applyAlignment="1" pivotButton="0" quotePrefix="0" xfId="0">
      <alignment vertical="center"/>
    </xf>
    <xf numFmtId="0" fontId="3" fillId="0" borderId="28" pivotButton="0" quotePrefix="0" xfId="0"/>
    <xf numFmtId="165" fontId="5" fillId="0" borderId="29" applyAlignment="1" pivotButton="0" quotePrefix="0" xfId="1">
      <alignment horizontal="right" vertical="center"/>
    </xf>
    <xf numFmtId="0" fontId="5" fillId="0" borderId="12" applyAlignment="1" pivotButton="0" quotePrefix="0" xfId="0">
      <alignment horizontal="center" vertical="center"/>
    </xf>
    <xf numFmtId="165" fontId="5" fillId="0" borderId="14" applyAlignment="1" pivotButton="0" quotePrefix="0" xfId="1">
      <alignment horizontal="right" vertical="center"/>
    </xf>
    <xf numFmtId="1" fontId="17" fillId="8" borderId="13" applyAlignment="1" pivotButton="0" quotePrefix="0" xfId="3">
      <alignment horizontal="left" vertical="center" wrapText="1"/>
    </xf>
    <xf numFmtId="0" fontId="15" fillId="0" borderId="10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3" applyAlignment="1" pivotButton="0" quotePrefix="0" xfId="0">
      <alignment horizontal="left" vertical="center"/>
    </xf>
    <xf numFmtId="2" fontId="15" fillId="0" borderId="13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 wrapText="1"/>
    </xf>
    <xf numFmtId="1" fontId="15" fillId="0" borderId="13" applyAlignment="1" pivotButton="0" quotePrefix="0" xfId="0">
      <alignment horizontal="center" vertical="center"/>
    </xf>
    <xf numFmtId="2" fontId="15" fillId="0" borderId="13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167" fontId="15" fillId="0" borderId="13" applyAlignment="1" pivotButton="0" quotePrefix="0" xfId="0">
      <alignment horizontal="center" vertical="center"/>
    </xf>
    <xf numFmtId="2" fontId="15" fillId="0" borderId="13" applyAlignment="1" pivotButton="0" quotePrefix="0" xfId="0">
      <alignment horizontal="center" vertical="center" wrapText="1"/>
    </xf>
    <xf numFmtId="0" fontId="13" fillId="13" borderId="10" applyAlignment="1" pivotButton="0" quotePrefix="0" xfId="0">
      <alignment vertical="center"/>
    </xf>
    <xf numFmtId="0" fontId="15" fillId="0" borderId="13" applyAlignment="1" pivotButton="0" quotePrefix="0" xfId="0">
      <alignment vertical="center"/>
    </xf>
    <xf numFmtId="0" fontId="24" fillId="0" borderId="0" pivotButton="0" quotePrefix="0" xfId="0"/>
    <xf numFmtId="0" fontId="13" fillId="12" borderId="0" applyAlignment="1" pivotButton="0" quotePrefix="0" xfId="0">
      <alignment horizontal="center" vertical="center"/>
    </xf>
    <xf numFmtId="0" fontId="13" fillId="12" borderId="44" applyAlignment="1" pivotButton="0" quotePrefix="0" xfId="0">
      <alignment vertical="center" wrapText="1"/>
    </xf>
    <xf numFmtId="0" fontId="13" fillId="12" borderId="0" applyAlignment="1" pivotButton="0" quotePrefix="0" xfId="0">
      <alignment vertical="center" wrapText="1"/>
    </xf>
    <xf numFmtId="167" fontId="14" fillId="13" borderId="10" applyAlignment="1" pivotButton="0" quotePrefix="0" xfId="0">
      <alignment horizontal="center" vertical="center"/>
    </xf>
    <xf numFmtId="1" fontId="22" fillId="0" borderId="0" applyAlignment="1" pivotButton="0" quotePrefix="0" xfId="3">
      <alignment horizontal="left" vertical="center" wrapText="1"/>
    </xf>
    <xf numFmtId="0" fontId="26" fillId="0" borderId="13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 wrapText="1"/>
    </xf>
    <xf numFmtId="1" fontId="17" fillId="8" borderId="0" applyAlignment="1" pivotButton="0" quotePrefix="0" xfId="3">
      <alignment vertical="center" wrapText="1"/>
    </xf>
    <xf numFmtId="1" fontId="8" fillId="0" borderId="28" applyAlignment="1" pivotButton="0" quotePrefix="0" xfId="3">
      <alignment horizontal="center" vertical="center"/>
    </xf>
    <xf numFmtId="0" fontId="8" fillId="23" borderId="0" pivotButton="0" quotePrefix="0" xfId="3"/>
    <xf numFmtId="0" fontId="27" fillId="23" borderId="13" applyAlignment="1" pivotButton="0" quotePrefix="0" xfId="0">
      <alignment horizontal="center" vertical="center" wrapText="1"/>
    </xf>
    <xf numFmtId="2" fontId="0" fillId="23" borderId="13" applyAlignment="1" pivotButton="0" quotePrefix="0" xfId="0">
      <alignment horizontal="center" vertical="center"/>
    </xf>
    <xf numFmtId="0" fontId="8" fillId="23" borderId="0" applyAlignment="1" pivotButton="0" quotePrefix="0" xfId="3">
      <alignment horizontal="left" vertical="center"/>
    </xf>
    <xf numFmtId="0" fontId="12" fillId="23" borderId="13" applyAlignment="1" pivotButton="0" quotePrefix="0" xfId="0">
      <alignment horizontal="center" vertical="center" wrapText="1"/>
    </xf>
    <xf numFmtId="2" fontId="19" fillId="23" borderId="10" applyAlignment="1" pivotButton="0" quotePrefix="0" xfId="0">
      <alignment horizontal="center" vertical="center"/>
    </xf>
    <xf numFmtId="1" fontId="17" fillId="9" borderId="48" applyAlignment="1" pivotButton="0" quotePrefix="0" xfId="3">
      <alignment horizontal="center" vertical="center" wrapText="1"/>
    </xf>
    <xf numFmtId="0" fontId="13" fillId="12" borderId="41" applyAlignment="1" pivotButton="0" quotePrefix="0" xfId="0">
      <alignment horizontal="center" vertical="center"/>
    </xf>
    <xf numFmtId="0" fontId="8" fillId="0" borderId="0" applyAlignment="1" pivotButton="0" quotePrefix="0" xfId="3">
      <alignment horizontal="center" vertical="center"/>
    </xf>
    <xf numFmtId="9" fontId="8" fillId="0" borderId="0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2" fontId="8" fillId="0" borderId="0" applyAlignment="1" pivotButton="0" quotePrefix="0" xfId="2">
      <alignment horizontal="center" vertical="center"/>
    </xf>
    <xf numFmtId="164" fontId="28" fillId="11" borderId="13" applyAlignment="1" pivotButton="0" quotePrefix="0" xfId="1">
      <alignment horizontal="center" vertical="center"/>
    </xf>
    <xf numFmtId="10" fontId="28" fillId="11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9" fontId="3" fillId="0" borderId="0" applyAlignment="1" pivotButton="0" quotePrefix="0" xfId="2">
      <alignment horizontal="center"/>
    </xf>
    <xf numFmtId="0" fontId="3" fillId="6" borderId="13" applyAlignment="1" pivotButton="0" quotePrefix="0" xfId="0">
      <alignment horizontal="center"/>
    </xf>
    <xf numFmtId="2" fontId="3" fillId="6" borderId="13" applyAlignment="1" pivotButton="0" quotePrefix="0" xfId="0">
      <alignment horizontal="center" vertical="center"/>
    </xf>
    <xf numFmtId="165" fontId="3" fillId="6" borderId="13" applyAlignment="1" pivotButton="0" quotePrefix="0" xfId="1">
      <alignment horizontal="center"/>
    </xf>
    <xf numFmtId="169" fontId="3" fillId="6" borderId="13" applyAlignment="1" pivotButton="0" quotePrefix="0" xfId="2">
      <alignment horizontal="center"/>
    </xf>
    <xf numFmtId="0" fontId="2" fillId="3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17" fillId="11" borderId="36" applyAlignment="1" pivotButton="0" quotePrefix="0" xfId="5">
      <alignment horizontal="center" wrapText="1"/>
    </xf>
    <xf numFmtId="0" fontId="17" fillId="11" borderId="38" applyAlignment="1" pivotButton="0" quotePrefix="0" xfId="5">
      <alignment horizontal="center" wrapText="1"/>
    </xf>
    <xf numFmtId="0" fontId="1" fillId="0" borderId="15" applyAlignment="1" pivotButton="0" quotePrefix="0" xfId="5">
      <alignment horizontal="center"/>
    </xf>
    <xf numFmtId="0" fontId="1" fillId="0" borderId="69" applyAlignment="1" pivotButton="0" quotePrefix="0" xfId="5">
      <alignment horizontal="center"/>
    </xf>
    <xf numFmtId="0" fontId="1" fillId="0" borderId="70" applyAlignment="1" pivotButton="0" quotePrefix="0" xfId="5">
      <alignment horizontal="center"/>
    </xf>
    <xf numFmtId="0" fontId="1" fillId="0" borderId="36" applyAlignment="1" pivotButton="0" quotePrefix="0" xfId="5">
      <alignment horizontal="center"/>
    </xf>
    <xf numFmtId="0" fontId="1" fillId="0" borderId="38" applyAlignment="1" pivotButton="0" quotePrefix="0" xfId="5">
      <alignment horizontal="center"/>
    </xf>
    <xf numFmtId="0" fontId="1" fillId="0" borderId="71" applyAlignment="1" pivotButton="0" quotePrefix="0" xfId="5">
      <alignment horizontal="center"/>
    </xf>
    <xf numFmtId="0" fontId="1" fillId="0" borderId="72" applyAlignment="1" pivotButton="0" quotePrefix="0" xfId="5">
      <alignment horizontal="center"/>
    </xf>
    <xf numFmtId="0" fontId="7" fillId="10" borderId="4" applyAlignment="1" pivotButton="0" quotePrefix="0" xfId="5">
      <alignment horizontal="center"/>
    </xf>
    <xf numFmtId="0" fontId="7" fillId="10" borderId="6" applyAlignment="1" pivotButton="0" quotePrefix="0" xfId="5">
      <alignment horizontal="center"/>
    </xf>
    <xf numFmtId="0" fontId="7" fillId="0" borderId="36" applyAlignment="1" pivotButton="0" quotePrefix="0" xfId="0">
      <alignment horizontal="center"/>
    </xf>
    <xf numFmtId="0" fontId="7" fillId="0" borderId="37" applyAlignment="1" pivotButton="0" quotePrefix="0" xfId="0">
      <alignment horizontal="center"/>
    </xf>
    <xf numFmtId="0" fontId="7" fillId="0" borderId="38" applyAlignment="1" pivotButton="0" quotePrefix="0" xfId="0">
      <alignment horizontal="center"/>
    </xf>
    <xf numFmtId="1" fontId="22" fillId="0" borderId="52" applyAlignment="1" pivotButton="0" quotePrefix="0" xfId="3">
      <alignment horizontal="left" vertical="center" wrapText="1"/>
    </xf>
    <xf numFmtId="1" fontId="22" fillId="0" borderId="0" applyAlignment="1" pivotButton="0" quotePrefix="0" xfId="3">
      <alignment horizontal="left" vertical="center" wrapText="1"/>
    </xf>
    <xf numFmtId="1" fontId="17" fillId="8" borderId="33" applyAlignment="1" pivotButton="0" quotePrefix="0" xfId="3">
      <alignment horizontal="left" vertical="center" wrapText="1"/>
    </xf>
    <xf numFmtId="1" fontId="17" fillId="8" borderId="34" applyAlignment="1" pivotButton="0" quotePrefix="0" xfId="3">
      <alignment horizontal="left" vertical="center" wrapText="1"/>
    </xf>
    <xf numFmtId="1" fontId="17" fillId="20" borderId="53" applyAlignment="1" pivotButton="0" quotePrefix="0" xfId="3">
      <alignment horizontal="left" vertical="center" wrapText="1"/>
    </xf>
    <xf numFmtId="1" fontId="17" fillId="20" borderId="54" applyAlignment="1" pivotButton="0" quotePrefix="0" xfId="3">
      <alignment horizontal="left" vertical="center" wrapText="1"/>
    </xf>
    <xf numFmtId="1" fontId="17" fillId="20" borderId="55" applyAlignment="1" pivotButton="0" quotePrefix="0" xfId="3">
      <alignment horizontal="left" vertical="center" wrapText="1"/>
    </xf>
    <xf numFmtId="0" fontId="9" fillId="10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1" fontId="17" fillId="21" borderId="62" applyAlignment="1" pivotButton="0" quotePrefix="0" xfId="3">
      <alignment horizontal="left" vertical="center" wrapText="1"/>
    </xf>
    <xf numFmtId="1" fontId="17" fillId="21" borderId="63" applyAlignment="1" pivotButton="0" quotePrefix="0" xfId="3">
      <alignment horizontal="left" vertical="center" wrapText="1"/>
    </xf>
    <xf numFmtId="1" fontId="17" fillId="21" borderId="64" applyAlignment="1" pivotButton="0" quotePrefix="0" xfId="3">
      <alignment horizontal="left" vertical="center" wrapText="1"/>
    </xf>
    <xf numFmtId="1" fontId="17" fillId="8" borderId="12" applyAlignment="1" pivotButton="0" quotePrefix="0" xfId="3">
      <alignment horizontal="left" vertical="center" wrapText="1"/>
    </xf>
    <xf numFmtId="1" fontId="17" fillId="8" borderId="13" applyAlignment="1" pivotButton="0" quotePrefix="0" xfId="3">
      <alignment horizontal="left" vertical="center" wrapText="1"/>
    </xf>
    <xf numFmtId="0" fontId="16" fillId="0" borderId="21" applyAlignment="1" pivotButton="0" quotePrefix="0" xfId="3">
      <alignment horizontal="center" vertical="center" wrapText="1"/>
    </xf>
    <xf numFmtId="0" fontId="16" fillId="0" borderId="28" applyAlignment="1" pivotButton="0" quotePrefix="0" xfId="3">
      <alignment horizontal="center" vertical="center" wrapText="1"/>
    </xf>
    <xf numFmtId="0" fontId="16" fillId="0" borderId="29" applyAlignment="1" pivotButton="0" quotePrefix="0" xfId="3">
      <alignment horizontal="center" vertical="center" wrapText="1"/>
    </xf>
    <xf numFmtId="1" fontId="18" fillId="16" borderId="30" applyAlignment="1" pivotButton="0" quotePrefix="0" xfId="3">
      <alignment horizontal="left" vertical="center" wrapText="1"/>
    </xf>
    <xf numFmtId="1" fontId="18" fillId="16" borderId="31" applyAlignment="1" pivotButton="0" quotePrefix="0" xfId="3">
      <alignment horizontal="left" vertical="center" wrapText="1"/>
    </xf>
    <xf numFmtId="1" fontId="18" fillId="16" borderId="32" applyAlignment="1" pivotButton="0" quotePrefix="0" xfId="3">
      <alignment horizontal="left" vertical="center" wrapText="1"/>
    </xf>
    <xf numFmtId="1" fontId="17" fillId="17" borderId="16" applyAlignment="1" pivotButton="0" quotePrefix="0" xfId="3">
      <alignment horizontal="left" vertical="center" wrapText="1"/>
    </xf>
    <xf numFmtId="1" fontId="17" fillId="17" borderId="7" applyAlignment="1" pivotButton="0" quotePrefix="0" xfId="3">
      <alignment horizontal="left" vertical="center" wrapText="1"/>
    </xf>
    <xf numFmtId="1" fontId="17" fillId="17" borderId="17" applyAlignment="1" pivotButton="0" quotePrefix="0" xfId="3">
      <alignment horizontal="left" vertical="center" wrapText="1"/>
    </xf>
    <xf numFmtId="165" fontId="17" fillId="8" borderId="16" applyAlignment="1" pivotButton="0" quotePrefix="0" xfId="1">
      <alignment horizontal="center" vertical="center" wrapText="1"/>
    </xf>
    <xf numFmtId="165" fontId="17" fillId="8" borderId="6" applyAlignment="1" pivotButton="0" quotePrefix="0" xfId="1">
      <alignment horizontal="center" vertical="center" wrapText="1"/>
    </xf>
    <xf numFmtId="165" fontId="17" fillId="8" borderId="7" applyAlignment="1" pivotButton="0" quotePrefix="0" xfId="1">
      <alignment horizontal="center" vertical="center" wrapText="1"/>
    </xf>
    <xf numFmtId="165" fontId="17" fillId="8" borderId="17" applyAlignment="1" pivotButton="0" quotePrefix="0" xfId="1">
      <alignment horizontal="center" vertical="center" wrapText="1"/>
    </xf>
    <xf numFmtId="1" fontId="17" fillId="20" borderId="9" applyAlignment="1" pivotButton="0" quotePrefix="0" xfId="3">
      <alignment horizontal="left" vertical="center" wrapText="1"/>
    </xf>
    <xf numFmtId="1" fontId="17" fillId="20" borderId="10" applyAlignment="1" pivotButton="0" quotePrefix="0" xfId="3">
      <alignment horizontal="left" vertical="center" wrapText="1"/>
    </xf>
    <xf numFmtId="1" fontId="17" fillId="20" borderId="11" applyAlignment="1" pivotButton="0" quotePrefix="0" xfId="3">
      <alignment horizontal="left" vertical="center" wrapText="1"/>
    </xf>
    <xf numFmtId="0" fontId="17" fillId="0" borderId="36" applyAlignment="1" pivotButton="0" quotePrefix="0" xfId="3">
      <alignment horizontal="center" vertical="center" wrapText="1"/>
    </xf>
    <xf numFmtId="0" fontId="17" fillId="0" borderId="37" applyAlignment="1" pivotButton="0" quotePrefix="0" xfId="3">
      <alignment horizontal="center" vertical="center" wrapText="1"/>
    </xf>
    <xf numFmtId="0" fontId="17" fillId="0" borderId="38" applyAlignment="1" pivotButton="0" quotePrefix="0" xfId="3">
      <alignment horizontal="center" vertical="center" wrapText="1"/>
    </xf>
    <xf numFmtId="2" fontId="17" fillId="0" borderId="36" applyAlignment="1" pivotButton="0" quotePrefix="0" xfId="3">
      <alignment horizontal="center" vertical="center" wrapText="1"/>
    </xf>
    <xf numFmtId="2" fontId="17" fillId="0" borderId="37" applyAlignment="1" pivotButton="0" quotePrefix="0" xfId="3">
      <alignment horizontal="center" vertical="center" wrapText="1"/>
    </xf>
    <xf numFmtId="2" fontId="17" fillId="0" borderId="38" applyAlignment="1" pivotButton="0" quotePrefix="0" xfId="3">
      <alignment horizontal="center" vertical="center" wrapText="1"/>
    </xf>
    <xf numFmtId="0" fontId="13" fillId="12" borderId="40" applyAlignment="1" pivotButton="0" quotePrefix="0" xfId="0">
      <alignment horizontal="center" vertical="center"/>
    </xf>
    <xf numFmtId="0" fontId="13" fillId="12" borderId="47" applyAlignment="1" pivotButton="0" quotePrefix="0" xfId="0">
      <alignment horizontal="center" vertical="center"/>
    </xf>
    <xf numFmtId="0" fontId="14" fillId="13" borderId="13" applyAlignment="1" pivotButton="0" quotePrefix="0" xfId="0">
      <alignment horizontal="left" vertical="center" wrapText="1"/>
    </xf>
    <xf numFmtId="165" fontId="17" fillId="0" borderId="14" applyAlignment="1" pivotButton="0" quotePrefix="0" xfId="1">
      <alignment vertical="center" wrapText="1"/>
    </xf>
    <xf numFmtId="0" fontId="13" fillId="15" borderId="5" applyAlignment="1" pivotButton="0" quotePrefix="0" xfId="0">
      <alignment horizontal="center" vertical="center" wrapText="1"/>
    </xf>
    <xf numFmtId="0" fontId="28" fillId="0" borderId="31" applyAlignment="1" pivotButton="0" quotePrefix="0" xfId="0">
      <alignment horizontal="center" vertical="center" wrapText="1"/>
    </xf>
    <xf numFmtId="1" fontId="3" fillId="0" borderId="73" applyAlignment="1" pivotButton="0" quotePrefix="0" xfId="0">
      <alignment vertical="center"/>
    </xf>
    <xf numFmtId="165" fontId="3" fillId="0" borderId="20" applyAlignment="1" pivotButton="0" quotePrefix="0" xfId="1">
      <alignment vertical="center"/>
    </xf>
    <xf numFmtId="0" fontId="29" fillId="0" borderId="0" pivotButton="0" quotePrefix="0" xfId="0"/>
    <xf numFmtId="0" fontId="30" fillId="2" borderId="16" applyAlignment="1" pivotButton="0" quotePrefix="0" xfId="0">
      <alignment horizontal="center" vertical="center" wrapText="1"/>
    </xf>
    <xf numFmtId="0" fontId="29" fillId="0" borderId="5" pivotButton="0" quotePrefix="0" xfId="0"/>
    <xf numFmtId="0" fontId="29" fillId="0" borderId="6" pivotButton="0" quotePrefix="0" xfId="0"/>
    <xf numFmtId="0" fontId="30" fillId="2" borderId="2" applyAlignment="1" pivotButton="0" quotePrefix="0" xfId="0">
      <alignment horizontal="center" vertical="center"/>
    </xf>
    <xf numFmtId="0" fontId="30" fillId="2" borderId="3" applyAlignment="1" pivotButton="0" quotePrefix="0" xfId="0">
      <alignment horizontal="center" vertical="center"/>
    </xf>
    <xf numFmtId="0" fontId="30" fillId="3" borderId="16" applyAlignment="1" pivotButton="0" quotePrefix="0" xfId="0">
      <alignment horizontal="center" vertical="center" wrapText="1"/>
    </xf>
    <xf numFmtId="0" fontId="31" fillId="3" borderId="7" applyAlignment="1" pivotButton="0" quotePrefix="0" xfId="0">
      <alignment horizontal="center" vertical="center" wrapText="1"/>
    </xf>
    <xf numFmtId="0" fontId="31" fillId="3" borderId="8" applyAlignment="1" pivotButton="0" quotePrefix="0" xfId="0">
      <alignment horizontal="center" vertical="center" wrapText="1"/>
    </xf>
    <xf numFmtId="0" fontId="32" fillId="4" borderId="9" applyAlignment="1" pivotButton="0" quotePrefix="0" xfId="0">
      <alignment horizontal="center" vertical="center"/>
    </xf>
    <xf numFmtId="0" fontId="32" fillId="4" borderId="10" applyAlignment="1" pivotButton="0" quotePrefix="0" xfId="0">
      <alignment horizontal="left" vertical="center" wrapText="1"/>
    </xf>
    <xf numFmtId="0" fontId="33" fillId="4" borderId="10" applyAlignment="1" pivotButton="0" quotePrefix="0" xfId="0">
      <alignment horizontal="center" vertical="center"/>
    </xf>
    <xf numFmtId="0" fontId="32" fillId="4" borderId="10" applyAlignment="1" pivotButton="0" quotePrefix="0" xfId="0">
      <alignment horizontal="center" vertical="center"/>
    </xf>
    <xf numFmtId="2" fontId="32" fillId="4" borderId="11" applyAlignment="1" pivotButton="0" quotePrefix="0" xfId="0">
      <alignment horizontal="center" vertical="center"/>
    </xf>
    <xf numFmtId="0" fontId="34" fillId="0" borderId="12" applyAlignment="1" pivotButton="0" quotePrefix="0" xfId="0">
      <alignment horizontal="center" vertical="center"/>
    </xf>
    <xf numFmtId="0" fontId="34" fillId="0" borderId="13" applyAlignment="1" pivotButton="0" quotePrefix="0" xfId="0">
      <alignment vertical="center" wrapText="1"/>
    </xf>
    <xf numFmtId="0" fontId="34" fillId="0" borderId="13" applyAlignment="1" pivotButton="0" quotePrefix="0" xfId="0">
      <alignment horizontal="center" vertical="center" wrapText="1"/>
    </xf>
    <xf numFmtId="164" fontId="34" fillId="0" borderId="13" applyAlignment="1" pivotButton="0" quotePrefix="0" xfId="0">
      <alignment horizontal="left" vertical="center" wrapText="1"/>
    </xf>
    <xf numFmtId="164" fontId="33" fillId="0" borderId="14" applyAlignment="1" pivotButton="0" quotePrefix="0" xfId="1">
      <alignment horizontal="center" vertical="center"/>
    </xf>
    <xf numFmtId="9" fontId="32" fillId="0" borderId="13" applyAlignment="1" pivotButton="0" quotePrefix="0" xfId="0">
      <alignment horizontal="center" vertical="center"/>
    </xf>
    <xf numFmtId="164" fontId="33" fillId="0" borderId="14" applyAlignment="1" pivotButton="0" quotePrefix="0" xfId="1">
      <alignment vertical="center"/>
    </xf>
    <xf numFmtId="0" fontId="33" fillId="0" borderId="9" applyAlignment="1" pivotButton="0" quotePrefix="0" xfId="0">
      <alignment horizontal="center" vertical="center"/>
    </xf>
    <xf numFmtId="0" fontId="34" fillId="0" borderId="10" applyAlignment="1" pivotButton="0" quotePrefix="0" xfId="0">
      <alignment vertical="center" wrapText="1"/>
    </xf>
    <xf numFmtId="0" fontId="34" fillId="0" borderId="10" applyAlignment="1" pivotButton="0" quotePrefix="0" xfId="0">
      <alignment horizontal="center" vertical="center" wrapText="1"/>
    </xf>
    <xf numFmtId="1" fontId="33" fillId="0" borderId="10" applyAlignment="1" pivotButton="0" quotePrefix="0" xfId="0">
      <alignment vertical="center"/>
    </xf>
    <xf numFmtId="165" fontId="33" fillId="0" borderId="11" applyAlignment="1" pivotButton="0" quotePrefix="0" xfId="1">
      <alignment vertical="center"/>
    </xf>
    <xf numFmtId="0" fontId="33" fillId="0" borderId="18" applyAlignment="1" pivotButton="0" quotePrefix="0" xfId="0">
      <alignment horizontal="center" vertical="center"/>
    </xf>
    <xf numFmtId="0" fontId="34" fillId="0" borderId="19" applyAlignment="1" pivotButton="0" quotePrefix="0" xfId="0">
      <alignment vertical="center" wrapText="1"/>
    </xf>
    <xf numFmtId="0" fontId="35" fillId="0" borderId="31" applyAlignment="1" pivotButton="0" quotePrefix="0" xfId="0">
      <alignment horizontal="center" vertical="center" wrapText="1"/>
    </xf>
    <xf numFmtId="1" fontId="33" fillId="0" borderId="73" applyAlignment="1" pivotButton="0" quotePrefix="0" xfId="0">
      <alignment vertical="center"/>
    </xf>
    <xf numFmtId="165" fontId="33" fillId="0" borderId="20" applyAlignment="1" pivotButton="0" quotePrefix="0" xfId="1">
      <alignment vertical="center"/>
    </xf>
    <xf numFmtId="0" fontId="33" fillId="0" borderId="16" applyAlignment="1" pivotButton="0" quotePrefix="0" xfId="0">
      <alignment vertical="center"/>
    </xf>
    <xf numFmtId="0" fontId="32" fillId="0" borderId="7" applyAlignment="1" pivotButton="0" quotePrefix="0" xfId="0">
      <alignment vertical="center"/>
    </xf>
    <xf numFmtId="0" fontId="34" fillId="0" borderId="7" applyAlignment="1" pivotButton="0" quotePrefix="0" xfId="0">
      <alignment horizontal="center" vertical="center"/>
    </xf>
    <xf numFmtId="165" fontId="32" fillId="0" borderId="17" applyAlignment="1" pivotButton="0" quotePrefix="0" xfId="1">
      <alignment horizontal="right" vertical="center"/>
    </xf>
    <xf numFmtId="0" fontId="33" fillId="0" borderId="18" applyAlignment="1" pivotButton="0" quotePrefix="0" xfId="0">
      <alignment vertical="center"/>
    </xf>
    <xf numFmtId="0" fontId="32" fillId="0" borderId="19" applyAlignment="1" pivotButton="0" quotePrefix="0" xfId="0">
      <alignment vertical="center"/>
    </xf>
    <xf numFmtId="0" fontId="34" fillId="0" borderId="19" applyAlignment="1" pivotButton="0" quotePrefix="0" xfId="0">
      <alignment horizontal="center" vertical="center"/>
    </xf>
    <xf numFmtId="9" fontId="34" fillId="0" borderId="19" applyAlignment="1" pivotButton="0" quotePrefix="0" xfId="2">
      <alignment horizontal="center" vertical="center"/>
    </xf>
    <xf numFmtId="164" fontId="32" fillId="0" borderId="20" applyAlignment="1" pivotButton="0" quotePrefix="0" xfId="1">
      <alignment horizontal="right" vertical="center"/>
    </xf>
    <xf numFmtId="0" fontId="32" fillId="5" borderId="21" applyAlignment="1" pivotButton="0" quotePrefix="0" xfId="0">
      <alignment horizontal="center" vertical="center"/>
    </xf>
    <xf numFmtId="0" fontId="32" fillId="5" borderId="22" applyAlignment="1" pivotButton="0" quotePrefix="0" xfId="0">
      <alignment vertical="center"/>
    </xf>
    <xf numFmtId="0" fontId="32" fillId="5" borderId="23" applyAlignment="1" pivotButton="0" quotePrefix="0" xfId="0">
      <alignment vertical="center"/>
    </xf>
    <xf numFmtId="0" fontId="32" fillId="5" borderId="24" applyAlignment="1" pivotButton="0" quotePrefix="0" xfId="0">
      <alignment vertical="center"/>
    </xf>
    <xf numFmtId="0" fontId="34" fillId="0" borderId="13" applyAlignment="1" pivotButton="0" quotePrefix="0" xfId="0">
      <alignment vertical="center"/>
    </xf>
    <xf numFmtId="164" fontId="34" fillId="0" borderId="13" applyAlignment="1" pivotButton="0" quotePrefix="0" xfId="1">
      <alignment horizontal="center" vertical="center"/>
    </xf>
    <xf numFmtId="0" fontId="34" fillId="0" borderId="13" applyAlignment="1" pivotButton="0" quotePrefix="0" xfId="0">
      <alignment horizontal="center" vertical="center"/>
    </xf>
    <xf numFmtId="164" fontId="34" fillId="0" borderId="14" applyAlignment="1" pivotButton="0" quotePrefix="0" xfId="1">
      <alignment horizontal="right" vertical="center"/>
    </xf>
    <xf numFmtId="0" fontId="33" fillId="0" borderId="12" applyAlignment="1" pivotButton="0" quotePrefix="0" xfId="0">
      <alignment horizontal="center" vertical="center"/>
    </xf>
    <xf numFmtId="164" fontId="35" fillId="11" borderId="13" applyAlignment="1" pivotButton="0" quotePrefix="0" xfId="1">
      <alignment horizontal="center" vertical="center"/>
    </xf>
    <xf numFmtId="165" fontId="34" fillId="0" borderId="14" applyAlignment="1" pivotButton="0" quotePrefix="0" xfId="1">
      <alignment horizontal="right" vertical="center"/>
    </xf>
    <xf numFmtId="0" fontId="32" fillId="0" borderId="18" applyAlignment="1" pivotButton="0" quotePrefix="0" xfId="0">
      <alignment horizontal="center" vertical="center"/>
    </xf>
    <xf numFmtId="165" fontId="32" fillId="0" borderId="20" applyAlignment="1" pivotButton="0" quotePrefix="0" xfId="1">
      <alignment horizontal="right" vertical="center"/>
    </xf>
    <xf numFmtId="0" fontId="36" fillId="6" borderId="21" applyAlignment="1" pivotButton="0" quotePrefix="0" xfId="0">
      <alignment horizontal="center" vertical="center"/>
    </xf>
    <xf numFmtId="1" fontId="32" fillId="7" borderId="28" applyAlignment="1" pivotButton="0" quotePrefix="0" xfId="3">
      <alignment vertical="center" wrapText="1"/>
    </xf>
    <xf numFmtId="165" fontId="32" fillId="7" borderId="29" applyAlignment="1" pivotButton="0" quotePrefix="0" xfId="3">
      <alignment vertical="center" wrapText="1"/>
    </xf>
    <xf numFmtId="10" fontId="34" fillId="0" borderId="13" applyAlignment="1" pivotButton="0" quotePrefix="0" xfId="0">
      <alignment horizontal="center" vertical="center" wrapText="1"/>
    </xf>
    <xf numFmtId="165" fontId="34" fillId="8" borderId="14" applyAlignment="1" pivotButton="0" quotePrefix="0" xfId="1">
      <alignment horizontal="left" vertical="center" wrapText="1"/>
    </xf>
    <xf numFmtId="10" fontId="35" fillId="11" borderId="19" applyAlignment="1" pivotButton="0" quotePrefix="0" xfId="0">
      <alignment horizontal="center" vertical="center" wrapText="1"/>
    </xf>
    <xf numFmtId="0" fontId="34" fillId="0" borderId="16" applyAlignment="1" pivotButton="0" quotePrefix="0" xfId="0">
      <alignment horizontal="center" vertical="center"/>
    </xf>
    <xf numFmtId="0" fontId="32" fillId="0" borderId="7" applyAlignment="1" pivotButton="0" quotePrefix="0" xfId="0">
      <alignment vertical="center" wrapText="1"/>
    </xf>
    <xf numFmtId="0" fontId="34" fillId="0" borderId="7" applyAlignment="1" pivotButton="0" quotePrefix="0" xfId="0">
      <alignment horizontal="center" vertical="center" wrapText="1"/>
    </xf>
    <xf numFmtId="0" fontId="34" fillId="0" borderId="2" applyAlignment="1" pivotButton="0" quotePrefix="0" xfId="0">
      <alignment vertical="center" wrapText="1"/>
    </xf>
    <xf numFmtId="165" fontId="32" fillId="8" borderId="3" applyAlignment="1" pivotButton="0" quotePrefix="0" xfId="1">
      <alignment horizontal="left" vertical="center" wrapText="1"/>
    </xf>
    <xf numFmtId="0" fontId="32" fillId="0" borderId="18" applyAlignment="1" pivotButton="0" quotePrefix="0" xfId="0">
      <alignment vertical="center"/>
    </xf>
    <xf numFmtId="0" fontId="32" fillId="0" borderId="16" applyAlignment="1" pivotButton="0" quotePrefix="0" xfId="0">
      <alignment vertical="center"/>
    </xf>
    <xf numFmtId="165" fontId="32" fillId="0" borderId="17" applyAlignment="1" pivotButton="0" quotePrefix="0" xfId="0">
      <alignment vertical="center"/>
    </xf>
    <xf numFmtId="0" fontId="32" fillId="9" borderId="16" applyAlignment="1" pivotButton="0" quotePrefix="0" xfId="0">
      <alignment horizontal="center" vertical="center"/>
    </xf>
    <xf numFmtId="0" fontId="32" fillId="9" borderId="7" applyAlignment="1" pivotButton="0" quotePrefix="0" xfId="0">
      <alignment vertical="center"/>
    </xf>
    <xf numFmtId="0" fontId="32" fillId="9" borderId="17" applyAlignment="1" pivotButton="0" quotePrefix="0" xfId="0">
      <alignment vertical="center"/>
    </xf>
    <xf numFmtId="0" fontId="32" fillId="9" borderId="43" applyAlignment="1" pivotButton="0" quotePrefix="0" xfId="0">
      <alignment vertical="center"/>
    </xf>
    <xf numFmtId="165" fontId="32" fillId="9" borderId="68" applyAlignment="1" pivotButton="0" quotePrefix="0" xfId="0">
      <alignment vertical="center"/>
    </xf>
    <xf numFmtId="0" fontId="34" fillId="0" borderId="10" applyAlignment="1" pivotButton="0" quotePrefix="0" xfId="0">
      <alignment vertical="center"/>
    </xf>
    <xf numFmtId="10" fontId="34" fillId="0" borderId="10" applyAlignment="1" pivotButton="0" quotePrefix="0" xfId="0">
      <alignment horizontal="center" vertical="center"/>
    </xf>
    <xf numFmtId="165" fontId="34" fillId="0" borderId="11" applyAlignment="1" pivotButton="0" quotePrefix="0" xfId="1">
      <alignment horizontal="right" vertical="center"/>
    </xf>
    <xf numFmtId="10" fontId="34" fillId="0" borderId="13" applyAlignment="1" pivotButton="0" quotePrefix="0" xfId="0">
      <alignment horizontal="center" vertical="center"/>
    </xf>
    <xf numFmtId="0" fontId="33" fillId="0" borderId="30" applyAlignment="1" pivotButton="0" quotePrefix="0" xfId="0">
      <alignment horizontal="center" vertical="center"/>
    </xf>
    <xf numFmtId="0" fontId="34" fillId="0" borderId="31" applyAlignment="1" pivotButton="0" quotePrefix="0" xfId="0">
      <alignment vertical="center"/>
    </xf>
    <xf numFmtId="10" fontId="34" fillId="0" borderId="31" applyAlignment="1" pivotButton="0" quotePrefix="0" xfId="0">
      <alignment horizontal="center" vertical="center"/>
    </xf>
    <xf numFmtId="165" fontId="34" fillId="0" borderId="32" applyAlignment="1" pivotButton="0" quotePrefix="0" xfId="1">
      <alignment horizontal="right" vertical="center"/>
    </xf>
    <xf numFmtId="0" fontId="33" fillId="6" borderId="13" applyAlignment="1" pivotButton="0" quotePrefix="0" xfId="0">
      <alignment horizontal="center"/>
    </xf>
    <xf numFmtId="0" fontId="32" fillId="0" borderId="16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/>
    </xf>
    <xf numFmtId="2" fontId="33" fillId="6" borderId="13" applyAlignment="1" pivotButton="0" quotePrefix="0" xfId="0">
      <alignment horizontal="center" vertical="center"/>
    </xf>
    <xf numFmtId="165" fontId="33" fillId="6" borderId="13" applyAlignment="1" pivotButton="0" quotePrefix="0" xfId="1">
      <alignment horizontal="center"/>
    </xf>
    <xf numFmtId="169" fontId="33" fillId="6" borderId="13" applyAlignment="1" pivotButton="0" quotePrefix="0" xfId="2">
      <alignment horizontal="center"/>
    </xf>
    <xf numFmtId="0" fontId="32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164" fontId="34" fillId="0" borderId="0" applyAlignment="1" pivotButton="0" quotePrefix="0" xfId="1">
      <alignment horizontal="center" vertical="center"/>
    </xf>
    <xf numFmtId="0" fontId="36" fillId="0" borderId="0" applyAlignment="1" pivotButton="0" quotePrefix="0" xfId="0">
      <alignment horizontal="center" vertical="center"/>
    </xf>
    <xf numFmtId="164" fontId="32" fillId="0" borderId="0" applyAlignment="1" pivotButton="0" quotePrefix="0" xfId="1">
      <alignment horizontal="right" vertical="center"/>
    </xf>
    <xf numFmtId="0" fontId="37" fillId="10" borderId="1" applyAlignment="1" pivotButton="0" quotePrefix="0" xfId="0">
      <alignment vertical="center"/>
    </xf>
    <xf numFmtId="0" fontId="37" fillId="10" borderId="2" applyAlignment="1" pivotButton="0" quotePrefix="0" xfId="0">
      <alignment vertical="center"/>
    </xf>
    <xf numFmtId="0" fontId="32" fillId="0" borderId="21" applyAlignment="1" pivotButton="0" quotePrefix="0" xfId="0">
      <alignment horizontal="center" vertical="center"/>
    </xf>
    <xf numFmtId="0" fontId="38" fillId="0" borderId="28" applyAlignment="1" pivotButton="0" quotePrefix="0" xfId="0">
      <alignment vertical="center"/>
    </xf>
    <xf numFmtId="0" fontId="33" fillId="0" borderId="28" pivotButton="0" quotePrefix="0" xfId="0"/>
    <xf numFmtId="165" fontId="32" fillId="0" borderId="29" applyAlignment="1" pivotButton="0" quotePrefix="0" xfId="1">
      <alignment horizontal="right" vertical="center"/>
    </xf>
    <xf numFmtId="0" fontId="32" fillId="0" borderId="12" applyAlignment="1" pivotButton="0" quotePrefix="0" xfId="0">
      <alignment horizontal="center" vertical="center"/>
    </xf>
    <xf numFmtId="0" fontId="38" fillId="0" borderId="13" applyAlignment="1" pivotButton="0" quotePrefix="0" xfId="0">
      <alignment vertical="center" wrapText="1"/>
    </xf>
    <xf numFmtId="0" fontId="33" fillId="0" borderId="13" pivotButton="0" quotePrefix="0" xfId="0"/>
    <xf numFmtId="165" fontId="32" fillId="0" borderId="14" applyAlignment="1" pivotButton="0" quotePrefix="0" xfId="1">
      <alignment horizontal="right" vertical="center"/>
    </xf>
    <xf numFmtId="0" fontId="37" fillId="9" borderId="25" applyAlignment="1" pivotButton="0" quotePrefix="0" xfId="0">
      <alignment horizontal="center" vertical="center"/>
    </xf>
    <xf numFmtId="0" fontId="37" fillId="9" borderId="26" applyAlignment="1" pivotButton="0" quotePrefix="0" xfId="0">
      <alignment vertical="center"/>
    </xf>
    <xf numFmtId="0" fontId="39" fillId="9" borderId="26" applyAlignment="1" pivotButton="0" quotePrefix="0" xfId="0">
      <alignment horizontal="center" vertical="center"/>
    </xf>
    <xf numFmtId="165" fontId="37" fillId="9" borderId="27" applyAlignment="1" pivotButton="0" quotePrefix="0" xfId="1">
      <alignment horizontal="right" vertical="center"/>
    </xf>
    <xf numFmtId="165" fontId="33" fillId="0" borderId="0" pivotButton="0" quotePrefix="0" xfId="0"/>
    <xf numFmtId="165" fontId="33" fillId="0" borderId="0" applyAlignment="1" pivotButton="0" quotePrefix="0" xfId="0">
      <alignment horizontal="center"/>
    </xf>
    <xf numFmtId="164" fontId="33" fillId="0" borderId="0" pivotButton="0" quotePrefix="0" xfId="0"/>
    <xf numFmtId="9" fontId="33" fillId="0" borderId="0" pivotButton="0" quotePrefix="0" xfId="2"/>
    <xf numFmtId="9" fontId="33" fillId="0" borderId="0" applyAlignment="1" pivotButton="0" quotePrefix="0" xfId="2">
      <alignment horizontal="center"/>
    </xf>
    <xf numFmtId="165" fontId="8" fillId="0" borderId="0" pivotButton="0" quotePrefix="0" xfId="1"/>
    <xf numFmtId="0" fontId="29" fillId="0" borderId="23" pivotButton="0" quotePrefix="0" xfId="0"/>
    <xf numFmtId="0" fontId="29" fillId="0" borderId="74" pivotButton="0" quotePrefix="0" xfId="0"/>
    <xf numFmtId="0" fontId="29" fillId="0" borderId="37" pivotButton="0" quotePrefix="0" xfId="0"/>
    <xf numFmtId="0" fontId="29" fillId="0" borderId="38" pivotButton="0" quotePrefix="0" xfId="0"/>
    <xf numFmtId="0" fontId="29" fillId="0" borderId="13" pivotButton="0" quotePrefix="0" xfId="5"/>
    <xf numFmtId="0" fontId="17" fillId="11" borderId="13" applyAlignment="1" pivotButton="0" quotePrefix="0" xfId="5">
      <alignment horizontal="center" wrapText="1"/>
    </xf>
    <xf numFmtId="0" fontId="29" fillId="0" borderId="38" applyAlignment="1" pivotButton="0" quotePrefix="0" xfId="5">
      <alignment horizontal="center"/>
    </xf>
    <xf numFmtId="0" fontId="29" fillId="0" borderId="0" pivotButton="0" quotePrefix="0" xfId="5"/>
    <xf numFmtId="0" fontId="29" fillId="0" borderId="31" pivotButton="0" quotePrefix="0" xfId="5"/>
    <xf numFmtId="167" fontId="29" fillId="0" borderId="31" pivotButton="0" quotePrefix="0" xfId="5"/>
    <xf numFmtId="2" fontId="17" fillId="0" borderId="13" applyAlignment="1" pivotButton="0" quotePrefix="0" xfId="3">
      <alignment horizontal="center" vertical="center" wrapText="1"/>
    </xf>
    <xf numFmtId="0" fontId="40" fillId="0" borderId="16" applyAlignment="1" pivotButton="0" quotePrefix="0" xfId="5">
      <alignment horizontal="center" vertical="center" wrapText="1"/>
    </xf>
    <xf numFmtId="0" fontId="40" fillId="0" borderId="7" applyAlignment="1" pivotButton="0" quotePrefix="0" xfId="5">
      <alignment horizontal="center" vertical="center" wrapText="1"/>
    </xf>
    <xf numFmtId="0" fontId="40" fillId="22" borderId="49" applyAlignment="1" pivotButton="0" quotePrefix="0" xfId="5">
      <alignment horizontal="center" vertical="center" wrapText="1"/>
    </xf>
    <xf numFmtId="0" fontId="40" fillId="11" borderId="17" applyAlignment="1" pivotButton="0" quotePrefix="0" xfId="5">
      <alignment horizontal="center" vertical="center" wrapText="1"/>
    </xf>
    <xf numFmtId="0" fontId="29" fillId="0" borderId="75" pivotButton="0" quotePrefix="0" xfId="0"/>
    <xf numFmtId="0" fontId="29" fillId="0" borderId="72" pivotButton="0" quotePrefix="0" xfId="0"/>
    <xf numFmtId="0" fontId="29" fillId="0" borderId="10" applyAlignment="1" pivotButton="0" quotePrefix="0" xfId="5">
      <alignment horizontal="center"/>
    </xf>
    <xf numFmtId="0" fontId="29" fillId="0" borderId="10" applyAlignment="1" pivotButton="0" quotePrefix="0" xfId="5">
      <alignment horizontal="left"/>
    </xf>
    <xf numFmtId="167" fontId="8" fillId="0" borderId="10" applyAlignment="1" pivotButton="0" quotePrefix="0" xfId="5">
      <alignment horizontal="center" vertical="center" wrapText="1"/>
    </xf>
    <xf numFmtId="9" fontId="29" fillId="0" borderId="10" applyAlignment="1" pivotButton="0" quotePrefix="0" xfId="5">
      <alignment horizontal="center" vertical="center" wrapText="1"/>
    </xf>
    <xf numFmtId="2" fontId="29" fillId="0" borderId="10" applyAlignment="1" pivotButton="0" quotePrefix="0" xfId="5">
      <alignment horizontal="center" vertical="center" wrapText="1"/>
    </xf>
    <xf numFmtId="0" fontId="29" fillId="0" borderId="10" pivotButton="0" quotePrefix="0" xfId="5"/>
    <xf numFmtId="1" fontId="29" fillId="22" borderId="10" applyAlignment="1" pivotButton="0" quotePrefix="0" xfId="5">
      <alignment horizontal="center" vertical="center"/>
    </xf>
    <xf numFmtId="1" fontId="29" fillId="11" borderId="10" pivotButton="0" quotePrefix="0" xfId="5"/>
    <xf numFmtId="0" fontId="40" fillId="0" borderId="13" applyAlignment="1" pivotButton="0" quotePrefix="0" xfId="0">
      <alignment horizontal="center" vertical="center" wrapText="1"/>
    </xf>
    <xf numFmtId="0" fontId="40" fillId="23" borderId="13" applyAlignment="1" pivotButton="0" quotePrefix="0" xfId="0">
      <alignment horizontal="center" vertical="center" wrapText="1"/>
    </xf>
    <xf numFmtId="0" fontId="29" fillId="0" borderId="13" applyAlignment="1" pivotButton="0" quotePrefix="0" xfId="5">
      <alignment horizontal="center"/>
    </xf>
    <xf numFmtId="0" fontId="29" fillId="0" borderId="13" applyAlignment="1" pivotButton="0" quotePrefix="0" xfId="5">
      <alignment horizontal="left"/>
    </xf>
    <xf numFmtId="167" fontId="8" fillId="0" borderId="13" applyAlignment="1" pivotButton="0" quotePrefix="0" xfId="5">
      <alignment horizontal="center" vertical="center" wrapText="1"/>
    </xf>
    <xf numFmtId="2" fontId="29" fillId="0" borderId="13" applyAlignment="1" pivotButton="0" quotePrefix="0" xfId="5">
      <alignment horizontal="center" vertical="center" wrapText="1"/>
    </xf>
    <xf numFmtId="0" fontId="29" fillId="0" borderId="13" applyAlignment="1" pivotButton="0" quotePrefix="0" xfId="0">
      <alignment horizontal="center" vertical="center"/>
    </xf>
    <xf numFmtId="2" fontId="29" fillId="23" borderId="13" applyAlignment="1" pivotButton="0" quotePrefix="0" xfId="0">
      <alignment horizontal="center" vertical="center"/>
    </xf>
    <xf numFmtId="2" fontId="29" fillId="0" borderId="13" applyAlignment="1" pivotButton="0" quotePrefix="0" xfId="0">
      <alignment horizontal="center" vertical="center"/>
    </xf>
    <xf numFmtId="9" fontId="29" fillId="0" borderId="13" applyAlignment="1" pivotButton="0" quotePrefix="0" xfId="5">
      <alignment horizontal="center" vertical="center" wrapText="1"/>
    </xf>
    <xf numFmtId="2" fontId="29" fillId="0" borderId="13" applyAlignment="1" pivotButton="0" quotePrefix="0" xfId="5">
      <alignment horizontal="center" vertical="center"/>
    </xf>
    <xf numFmtId="0" fontId="36" fillId="0" borderId="25" applyAlignment="1" pivotButton="0" quotePrefix="0" xfId="5">
      <alignment horizontal="left"/>
    </xf>
    <xf numFmtId="0" fontId="36" fillId="0" borderId="26" applyAlignment="1" pivotButton="0" quotePrefix="0" xfId="5">
      <alignment horizontal="center"/>
    </xf>
    <xf numFmtId="0" fontId="36" fillId="0" borderId="26" pivotButton="0" quotePrefix="0" xfId="5"/>
    <xf numFmtId="2" fontId="36" fillId="0" borderId="26" pivotButton="0" quotePrefix="0" xfId="5"/>
    <xf numFmtId="1" fontId="36" fillId="22" borderId="27" pivotButton="0" quotePrefix="0" xfId="5"/>
    <xf numFmtId="1" fontId="36" fillId="11" borderId="27" pivotButton="0" quotePrefix="0" xfId="5"/>
    <xf numFmtId="0" fontId="29" fillId="0" borderId="69" pivotButton="0" quotePrefix="0" xfId="0"/>
    <xf numFmtId="0" fontId="29" fillId="0" borderId="70" pivotButton="0" quotePrefix="0" xfId="0"/>
    <xf numFmtId="1" fontId="29" fillId="22" borderId="10" pivotButton="0" quotePrefix="0" xfId="5"/>
    <xf numFmtId="1" fontId="29" fillId="22" borderId="13" pivotButton="0" quotePrefix="0" xfId="5"/>
    <xf numFmtId="1" fontId="29" fillId="11" borderId="13" pivotButton="0" quotePrefix="0" xfId="5"/>
    <xf numFmtId="167" fontId="17" fillId="0" borderId="13" applyAlignment="1" pivotButton="0" quotePrefix="0" xfId="3">
      <alignment horizontal="center" vertical="center" wrapText="1"/>
    </xf>
    <xf numFmtId="168" fontId="8" fillId="0" borderId="0" applyAlignment="1" pivotButton="0" quotePrefix="0" xfId="3">
      <alignment horizontal="right"/>
    </xf>
    <xf numFmtId="0" fontId="29" fillId="0" borderId="31" applyAlignment="1" pivotButton="0" quotePrefix="0" xfId="5">
      <alignment horizontal="center"/>
    </xf>
    <xf numFmtId="9" fontId="29" fillId="0" borderId="31" pivotButton="0" quotePrefix="0" xfId="5"/>
    <xf numFmtId="1" fontId="29" fillId="22" borderId="31" pivotButton="0" quotePrefix="0" xfId="5"/>
    <xf numFmtId="1" fontId="29" fillId="11" borderId="31" pivotButton="0" quotePrefix="0" xfId="5"/>
    <xf numFmtId="167" fontId="8" fillId="8" borderId="13" applyAlignment="1" pivotButton="0" quotePrefix="0" xfId="3">
      <alignment horizontal="center" vertical="center" wrapText="1"/>
    </xf>
    <xf numFmtId="0" fontId="36" fillId="10" borderId="16" applyAlignment="1" pivotButton="0" quotePrefix="0" xfId="5">
      <alignment horizontal="center"/>
    </xf>
    <xf numFmtId="0" fontId="36" fillId="10" borderId="7" pivotButton="0" quotePrefix="0" xfId="5"/>
    <xf numFmtId="1" fontId="36" fillId="22" borderId="17" pivotButton="0" quotePrefix="0" xfId="5"/>
    <xf numFmtId="1" fontId="36" fillId="11" borderId="17" pivotButton="0" quotePrefix="0" xfId="5"/>
    <xf numFmtId="167" fontId="29" fillId="0" borderId="0" pivotButton="0" quotePrefix="0" xfId="5"/>
    <xf numFmtId="166" fontId="8" fillId="0" borderId="0" pivotButton="0" quotePrefix="0" xfId="3"/>
    <xf numFmtId="167" fontId="8" fillId="22" borderId="0" pivotButton="0" quotePrefix="0" xfId="3"/>
    <xf numFmtId="165" fontId="17" fillId="8" borderId="16" applyAlignment="1" pivotButton="0" quotePrefix="0" xfId="1">
      <alignment horizontal="center" vertical="center" wrapText="1"/>
    </xf>
    <xf numFmtId="165" fontId="17" fillId="0" borderId="14" applyAlignment="1" pivotButton="0" quotePrefix="0" xfId="1">
      <alignment vertical="center" wrapText="1"/>
    </xf>
    <xf numFmtId="165" fontId="17" fillId="8" borderId="14" applyAlignment="1" pivotButton="0" quotePrefix="0" xfId="1">
      <alignment horizontal="left" vertical="center" wrapText="1"/>
    </xf>
    <xf numFmtId="164" fontId="17" fillId="0" borderId="0" pivotButton="0" quotePrefix="0" xfId="3"/>
    <xf numFmtId="0" fontId="29" fillId="0" borderId="77" pivotButton="0" quotePrefix="0" xfId="0"/>
    <xf numFmtId="0" fontId="29" fillId="0" borderId="78" pivotButton="0" quotePrefix="0" xfId="0"/>
    <xf numFmtId="165" fontId="17" fillId="8" borderId="35" applyAlignment="1" pivotButton="0" quotePrefix="0" xfId="1">
      <alignment horizontal="left" vertical="center" wrapText="1"/>
    </xf>
    <xf numFmtId="0" fontId="29" fillId="0" borderId="80" pivotButton="0" quotePrefix="0" xfId="0"/>
    <xf numFmtId="0" fontId="29" fillId="0" borderId="81" pivotButton="0" quotePrefix="0" xfId="0"/>
    <xf numFmtId="165" fontId="17" fillId="8" borderId="58" applyAlignment="1" pivotButton="0" quotePrefix="0" xfId="1">
      <alignment horizontal="left" vertical="center" wrapText="1"/>
    </xf>
    <xf numFmtId="164" fontId="8" fillId="0" borderId="0" applyAlignment="1" pivotButton="0" quotePrefix="0" xfId="3">
      <alignment horizontal="right"/>
    </xf>
    <xf numFmtId="165" fontId="17" fillId="0" borderId="14" applyAlignment="1" pivotButton="0" quotePrefix="0" xfId="1">
      <alignment horizontal="left" vertical="center" wrapText="1"/>
    </xf>
    <xf numFmtId="165" fontId="17" fillId="8" borderId="61" applyAlignment="1" pivotButton="0" quotePrefix="0" xfId="1">
      <alignment horizontal="left" vertical="center" wrapText="1"/>
    </xf>
    <xf numFmtId="1" fontId="17" fillId="21" borderId="56" applyAlignment="1" pivotButton="0" quotePrefix="0" xfId="3">
      <alignment horizontal="left" vertical="center" wrapText="1"/>
    </xf>
    <xf numFmtId="0" fontId="29" fillId="0" borderId="63" pivotButton="0" quotePrefix="0" xfId="0"/>
    <xf numFmtId="0" fontId="29" fillId="0" borderId="64" pivotButton="0" quotePrefix="0" xfId="0"/>
    <xf numFmtId="165" fontId="17" fillId="21" borderId="66" applyAlignment="1" pivotButton="0" quotePrefix="0" xfId="1">
      <alignment horizontal="left" vertical="center" wrapText="1"/>
    </xf>
    <xf numFmtId="165" fontId="17" fillId="8" borderId="67" applyAlignment="1" pivotButton="0" quotePrefix="0" xfId="1">
      <alignment horizontal="left" vertical="center" wrapText="1"/>
    </xf>
    <xf numFmtId="165" fontId="17" fillId="8" borderId="13" applyAlignment="1" pivotButton="0" quotePrefix="0" xfId="1">
      <alignment horizontal="left" vertical="center" wrapText="1"/>
    </xf>
    <xf numFmtId="164" fontId="8" fillId="0" borderId="0" applyAlignment="1" pivotButton="0" quotePrefix="0" xfId="3">
      <alignment horizontal="left"/>
    </xf>
    <xf numFmtId="0" fontId="37" fillId="10" borderId="1" applyAlignment="1" pivotButton="0" quotePrefix="0" xfId="0">
      <alignment horizontal="center" vertical="center"/>
    </xf>
    <xf numFmtId="0" fontId="29" fillId="0" borderId="42" pivotButton="0" quotePrefix="0" xfId="0"/>
    <xf numFmtId="0" fontId="29" fillId="0" borderId="45" pivotButton="0" quotePrefix="0" xfId="0"/>
    <xf numFmtId="0" fontId="38" fillId="0" borderId="21" applyAlignment="1" pivotButton="0" quotePrefix="0" xfId="0">
      <alignment vertical="center"/>
    </xf>
    <xf numFmtId="164" fontId="32" fillId="0" borderId="29" applyAlignment="1" pivotButton="0" quotePrefix="0" xfId="1">
      <alignment horizontal="right" vertical="center"/>
    </xf>
    <xf numFmtId="0" fontId="38" fillId="0" borderId="12" applyAlignment="1" pivotButton="0" quotePrefix="0" xfId="0">
      <alignment vertical="center" wrapText="1"/>
    </xf>
    <xf numFmtId="164" fontId="32" fillId="0" borderId="14" applyAlignment="1" pivotButton="0" quotePrefix="0" xfId="1">
      <alignment horizontal="right" vertical="center"/>
    </xf>
    <xf numFmtId="0" fontId="33" fillId="0" borderId="0" pivotButton="0" quotePrefix="0" xfId="0"/>
    <xf numFmtId="0" fontId="33" fillId="0" borderId="0" applyAlignment="1" pivotButton="0" quotePrefix="0" xfId="0">
      <alignment horizontal="center" vertical="center"/>
    </xf>
    <xf numFmtId="0" fontId="36" fillId="0" borderId="13" applyAlignment="1" pivotButton="0" quotePrefix="0" xfId="0">
      <alignment horizontal="center"/>
    </xf>
    <xf numFmtId="0" fontId="36" fillId="0" borderId="13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/>
    </xf>
    <xf numFmtId="2" fontId="33" fillId="0" borderId="13" applyAlignment="1" pivotButton="0" quotePrefix="0" xfId="0">
      <alignment horizontal="center" vertical="center"/>
    </xf>
    <xf numFmtId="0" fontId="13" fillId="12" borderId="48" applyAlignment="1" pivotButton="0" quotePrefix="0" xfId="0">
      <alignment horizontal="center" vertical="center"/>
    </xf>
    <xf numFmtId="166" fontId="13" fillId="12" borderId="45" applyAlignment="1" pivotButton="0" quotePrefix="0" xfId="0">
      <alignment horizontal="center" vertical="center"/>
    </xf>
    <xf numFmtId="9" fontId="31" fillId="12" borderId="45" applyAlignment="1" pivotButton="0" quotePrefix="0" xfId="0">
      <alignment horizontal="center" vertical="center"/>
    </xf>
    <xf numFmtId="2" fontId="31" fillId="12" borderId="45" applyAlignment="1" pivotButton="0" quotePrefix="0" xfId="0">
      <alignment horizontal="center" vertical="center"/>
    </xf>
    <xf numFmtId="0" fontId="31" fillId="12" borderId="45" applyAlignment="1" pivotButton="0" quotePrefix="0" xfId="0">
      <alignment horizontal="center" vertical="center"/>
    </xf>
    <xf numFmtId="0" fontId="29" fillId="0" borderId="47" pivotButton="0" quotePrefix="0" xfId="0"/>
    <xf numFmtId="0" fontId="31" fillId="15" borderId="7" applyAlignment="1" pivotButton="0" quotePrefix="0" xfId="0">
      <alignment horizontal="center" vertical="center" wrapText="1"/>
    </xf>
    <xf numFmtId="167" fontId="14" fillId="13" borderId="10" applyAlignment="1" pivotButton="0" quotePrefix="0" xfId="0">
      <alignment horizontal="center" vertical="center"/>
    </xf>
    <xf numFmtId="167" fontId="15" fillId="0" borderId="1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23" pivotButton="0" quotePrefix="0" xfId="0"/>
    <xf numFmtId="0" fontId="0" fillId="0" borderId="74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75" pivotButton="0" quotePrefix="0" xfId="0"/>
    <xf numFmtId="0" fontId="0" fillId="0" borderId="72" pivotButton="0" quotePrefix="0" xfId="0"/>
    <xf numFmtId="0" fontId="0" fillId="0" borderId="69" pivotButton="0" quotePrefix="0" xfId="0"/>
    <xf numFmtId="0" fontId="0" fillId="0" borderId="70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42" pivotButton="0" quotePrefix="0" xfId="0"/>
    <xf numFmtId="0" fontId="0" fillId="0" borderId="45" pivotButton="0" quotePrefix="0" xfId="0"/>
    <xf numFmtId="0" fontId="0" fillId="0" borderId="47" pivotButton="0" quotePrefix="0" xfId="0"/>
  </cellXfs>
  <cellStyles count="6">
    <cellStyle name="Normal" xfId="0" builtinId="0"/>
    <cellStyle name="Comma" xfId="1" builtinId="3"/>
    <cellStyle name="Percent" xfId="2" builtinId="5"/>
    <cellStyle name="Normal 2 2" xfId="3"/>
    <cellStyle name="Comma 2" xfId="4"/>
    <cellStyle name="Normal 6" xf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etwerkmanufacturing-my.sharepoint.com/Development/ICF%20R%20Tank/COSTING%20OF%20RETENTION%20TANK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A1:J40"/>
  <sheetViews>
    <sheetView tabSelected="1" zoomScale="76" zoomScaleNormal="25" workbookViewId="0">
      <pane ySplit="2" topLeftCell="A22" activePane="bottomLeft" state="frozen"/>
      <selection pane="bottomLeft" activeCell="H28" sqref="H28"/>
    </sheetView>
  </sheetViews>
  <sheetFormatPr baseColWidth="8" defaultColWidth="7.7109375" defaultRowHeight="15.75"/>
  <cols>
    <col width="7.7109375" customWidth="1" style="1" min="1" max="2"/>
    <col width="31.28515625" customWidth="1" style="1" min="3" max="3"/>
    <col width="17" customWidth="1" style="26" min="4" max="4"/>
    <col width="19" bestFit="1" customWidth="1" style="1" min="5" max="5"/>
    <col width="21.7109375" bestFit="1" customWidth="1" style="1" min="6" max="6"/>
    <col width="9.85546875" bestFit="1" customWidth="1" style="1" min="7" max="7"/>
    <col width="15.7109375" bestFit="1" customWidth="1" style="287" min="8" max="9"/>
    <col width="9.140625" bestFit="1" customWidth="1" style="287" min="10" max="10"/>
    <col width="7.7109375" customWidth="1" style="1" min="11" max="16384"/>
  </cols>
  <sheetData>
    <row r="1" ht="19.5" customFormat="1" customHeight="1" s="26" thickBot="1">
      <c r="A1" s="359" t="n"/>
      <c r="B1" s="360" t="inlineStr">
        <is>
          <t>Quotations</t>
        </is>
      </c>
      <c r="C1" s="573" t="n"/>
      <c r="D1" s="574" t="n"/>
      <c r="E1" s="363" t="inlineStr">
        <is>
          <t>Assy No.</t>
        </is>
      </c>
      <c r="F1" s="364">
        <f>IFERROR('Summary RIG ADAPTOR'!B3, "")</f>
        <v/>
      </c>
      <c r="G1" s="359" t="n"/>
      <c r="H1" s="359" t="n"/>
      <c r="I1" s="359" t="n"/>
      <c r="J1" s="359" t="n"/>
    </row>
    <row r="2" ht="19.5" customHeight="1" thickBot="1">
      <c r="A2" s="359" t="n"/>
      <c r="B2" s="365">
        <f>IFERROR('Summary RIG ADAPTOR'!B2, "")</f>
        <v/>
      </c>
      <c r="C2" s="573" t="n"/>
      <c r="D2" s="574" t="n"/>
      <c r="E2" s="366" t="inlineStr">
        <is>
          <t>MOQ Qty</t>
        </is>
      </c>
      <c r="F2" s="367">
        <f>IFERROR('Summary RIG ADAPTOR'!F3, "")</f>
        <v/>
      </c>
      <c r="G2" s="359" t="n"/>
      <c r="H2" s="359" t="n"/>
      <c r="I2" s="359" t="n"/>
      <c r="J2" s="359" t="n"/>
    </row>
    <row r="3">
      <c r="A3" s="359" t="n"/>
      <c r="B3" s="368" t="inlineStr">
        <is>
          <t>A.</t>
        </is>
      </c>
      <c r="C3" s="369" t="inlineStr">
        <is>
          <t>RM Cost</t>
        </is>
      </c>
      <c r="D3" s="370" t="n"/>
      <c r="E3" s="371" t="inlineStr">
        <is>
          <t>Weight in Kg.</t>
        </is>
      </c>
      <c r="F3" s="372" t="inlineStr">
        <is>
          <t>Price in INR</t>
        </is>
      </c>
      <c r="G3" s="359" t="n"/>
      <c r="H3" s="359" t="n"/>
      <c r="I3" s="359" t="n"/>
      <c r="J3" s="359" t="n"/>
    </row>
    <row r="4" ht="31.5" customHeight="1">
      <c r="A4" s="359" t="n"/>
      <c r="B4" s="373" t="inlineStr">
        <is>
          <t>i.</t>
        </is>
      </c>
      <c r="C4" s="374" t="inlineStr">
        <is>
          <t>RM Gross Weight</t>
        </is>
      </c>
      <c r="D4" s="375" t="n"/>
      <c r="E4" s="376">
        <f>IFERROR('Summary RIG ADAPTOR'!G8, "")</f>
        <v/>
      </c>
      <c r="F4" s="377" t="n"/>
      <c r="G4" s="359" t="n"/>
      <c r="H4" s="359" t="n"/>
      <c r="I4" s="359" t="n"/>
      <c r="J4" s="359" t="n"/>
    </row>
    <row r="5">
      <c r="A5" s="359" t="n"/>
      <c r="B5" s="373" t="inlineStr">
        <is>
          <t>ii.</t>
        </is>
      </c>
      <c r="C5" s="374" t="inlineStr">
        <is>
          <t>RM Net Weight</t>
        </is>
      </c>
      <c r="D5" s="378" t="n"/>
      <c r="E5" s="376">
        <f>IFERROR('Summary RIG ADAPTOR'!G9, "")</f>
        <v/>
      </c>
      <c r="F5" s="379" t="n"/>
      <c r="G5" s="359" t="n"/>
      <c r="H5" s="359" t="n"/>
      <c r="I5" s="359" t="n"/>
      <c r="J5" s="359" t="n"/>
    </row>
    <row r="6">
      <c r="A6" s="359" t="n"/>
      <c r="B6" s="380" t="inlineStr">
        <is>
          <t>iii.</t>
        </is>
      </c>
      <c r="C6" s="381" t="inlineStr">
        <is>
          <t xml:space="preserve">Raw Material </t>
        </is>
      </c>
      <c r="D6" s="382" t="n"/>
      <c r="E6" s="383" t="n"/>
      <c r="F6" s="384">
        <f>IFERROR('Summary RIG ADAPTOR'!G13, "")</f>
        <v/>
      </c>
      <c r="G6" s="359" t="n"/>
      <c r="H6" s="359" t="n"/>
      <c r="I6" s="359" t="n"/>
      <c r="J6" s="359" t="n"/>
    </row>
    <row r="7" ht="27" customHeight="1" thickBot="1">
      <c r="A7" s="359" t="n"/>
      <c r="B7" s="385" t="inlineStr">
        <is>
          <t>iv.</t>
        </is>
      </c>
      <c r="C7" s="386" t="inlineStr">
        <is>
          <t>BOP + Fastener</t>
        </is>
      </c>
      <c r="D7" s="387" t="n"/>
      <c r="E7" s="388" t="n"/>
      <c r="F7" s="389">
        <f>IFERROR('Summary RIG ADAPTOR'!F19, "")</f>
        <v/>
      </c>
      <c r="G7" s="359" t="n"/>
      <c r="H7" s="359" t="n"/>
      <c r="I7" s="359" t="n"/>
      <c r="J7" s="359" t="n"/>
    </row>
    <row r="8" ht="16.5" customHeight="1" thickBot="1">
      <c r="A8" s="359" t="n"/>
      <c r="B8" s="390" t="n"/>
      <c r="C8" s="391" t="inlineStr">
        <is>
          <t>TOTAL RM COST</t>
        </is>
      </c>
      <c r="D8" s="392" t="n"/>
      <c r="E8" s="392" t="n"/>
      <c r="F8" s="393">
        <f>IFERROR(SUM(F6:F7), "")</f>
        <v/>
      </c>
      <c r="G8" s="359" t="n"/>
      <c r="H8" s="359" t="n"/>
      <c r="I8" s="359" t="n"/>
      <c r="J8" s="359" t="n"/>
    </row>
    <row r="9" ht="16.5" customHeight="1" thickBot="1">
      <c r="A9" s="359" t="n"/>
      <c r="B9" s="394" t="n"/>
      <c r="C9" s="395" t="n"/>
      <c r="D9" s="396" t="n"/>
      <c r="E9" s="397">
        <f>IFERROR((E4-E5)/E4, "")</f>
        <v/>
      </c>
      <c r="F9" s="398" t="n"/>
      <c r="G9" s="359" t="n"/>
      <c r="H9" s="359" t="n"/>
      <c r="I9" s="359" t="n"/>
      <c r="J9" s="359" t="n"/>
    </row>
    <row r="10">
      <c r="A10" s="359" t="n"/>
      <c r="B10" s="399" t="inlineStr">
        <is>
          <t>B.</t>
        </is>
      </c>
      <c r="C10" s="400" t="inlineStr">
        <is>
          <t>Process Cost</t>
        </is>
      </c>
      <c r="D10" s="401" t="n"/>
      <c r="E10" s="401" t="n"/>
      <c r="F10" s="402" t="n"/>
      <c r="G10" s="359" t="n"/>
      <c r="H10" s="359" t="n"/>
      <c r="I10" s="359" t="n"/>
      <c r="J10" s="359" t="n"/>
    </row>
    <row r="11">
      <c r="A11" s="359" t="n"/>
      <c r="B11" s="373" t="inlineStr">
        <is>
          <t>i.</t>
        </is>
      </c>
      <c r="C11" s="403" t="inlineStr">
        <is>
          <t>Assy Cost</t>
        </is>
      </c>
      <c r="D11" s="404" t="n">
        <v>0</v>
      </c>
      <c r="E11" s="405" t="n"/>
      <c r="F11" s="406">
        <f>IFERROR(D11*E5, "")</f>
        <v/>
      </c>
      <c r="G11" s="359" t="n"/>
      <c r="H11" s="359" t="n"/>
      <c r="I11" s="359" t="n"/>
      <c r="J11" s="359" t="n"/>
    </row>
    <row r="12">
      <c r="A12" s="359" t="n"/>
      <c r="B12" s="373" t="inlineStr">
        <is>
          <t>ii.</t>
        </is>
      </c>
      <c r="C12" s="403" t="inlineStr">
        <is>
          <t>Fabrication / Process Cost</t>
        </is>
      </c>
      <c r="D12" s="404" t="n">
        <v>0</v>
      </c>
      <c r="E12" s="405" t="n"/>
      <c r="F12" s="384">
        <f>IFERROR('Summary RIG ADAPTOR'!F33, "")</f>
        <v/>
      </c>
      <c r="G12" s="359" t="n"/>
      <c r="H12" s="359" t="n"/>
      <c r="I12" s="359" t="n"/>
      <c r="J12" s="359" t="n"/>
    </row>
    <row r="13">
      <c r="A13" s="359" t="n"/>
      <c r="B13" s="373" t="inlineStr">
        <is>
          <t>iii.</t>
        </is>
      </c>
      <c r="C13" s="403" t="inlineStr">
        <is>
          <t>Inspection and Testing</t>
        </is>
      </c>
      <c r="D13" s="404" t="n">
        <v>8</v>
      </c>
      <c r="E13" s="405" t="n"/>
      <c r="F13" s="384">
        <f>IFERROR($D$13*E5, "")</f>
        <v/>
      </c>
      <c r="G13" s="359" t="n"/>
      <c r="H13" s="359" t="n"/>
      <c r="I13" s="359" t="n"/>
      <c r="J13" s="359" t="n"/>
    </row>
    <row r="14">
      <c r="A14" s="359" t="n"/>
      <c r="B14" s="407" t="inlineStr">
        <is>
          <t>iv.</t>
        </is>
      </c>
      <c r="C14" s="403" t="inlineStr">
        <is>
          <t xml:space="preserve">Painting </t>
        </is>
      </c>
      <c r="D14" s="404" t="n">
        <v>10</v>
      </c>
      <c r="E14" s="405" t="n"/>
      <c r="F14" s="384">
        <f>IFERROR($D$14*E5, "")</f>
        <v/>
      </c>
      <c r="G14" s="359" t="n"/>
      <c r="H14" s="359" t="n"/>
      <c r="I14" s="359" t="n"/>
      <c r="J14" s="359" t="n"/>
    </row>
    <row r="15" ht="16.5" customHeight="1" thickBot="1">
      <c r="A15" s="359" t="n"/>
      <c r="B15" s="407" t="inlineStr">
        <is>
          <t>v</t>
        </is>
      </c>
      <c r="C15" s="403" t="inlineStr">
        <is>
          <t xml:space="preserve">Packaging </t>
        </is>
      </c>
      <c r="D15" s="408" t="inlineStr">
        <is>
          <t xml:space="preserve">Customer Scope </t>
        </is>
      </c>
      <c r="E15" s="405" t="n"/>
      <c r="F15" s="409" t="n">
        <v>0</v>
      </c>
      <c r="G15" s="359" t="n"/>
      <c r="H15" s="359" t="n"/>
      <c r="I15" s="359" t="n"/>
      <c r="J15" s="359" t="n"/>
    </row>
    <row r="16" ht="16.5" customHeight="1" thickBot="1">
      <c r="A16" s="359" t="n"/>
      <c r="B16" s="390" t="n"/>
      <c r="C16" s="391" t="inlineStr">
        <is>
          <t>TOTAL BASIC COST</t>
        </is>
      </c>
      <c r="D16" s="392" t="n"/>
      <c r="E16" s="392" t="n"/>
      <c r="F16" s="393">
        <f>IFERROR(SUM(F8:F15), "")</f>
        <v/>
      </c>
      <c r="G16" s="359" t="n"/>
      <c r="H16" s="359" t="n"/>
      <c r="I16" s="359" t="n"/>
      <c r="J16" s="359" t="n"/>
    </row>
    <row r="17" ht="16.5" customHeight="1" thickBot="1">
      <c r="A17" s="359" t="n"/>
      <c r="B17" s="410" t="n"/>
      <c r="C17" s="395" t="n"/>
      <c r="D17" s="396" t="n"/>
      <c r="E17" s="396" t="n"/>
      <c r="F17" s="411" t="n"/>
      <c r="G17" s="359" t="n"/>
      <c r="H17" s="359" t="n"/>
      <c r="I17" s="359" t="n"/>
      <c r="J17" s="359" t="n"/>
    </row>
    <row r="18">
      <c r="A18" s="359" t="n"/>
      <c r="B18" s="412" t="inlineStr">
        <is>
          <t>C.</t>
        </is>
      </c>
      <c r="C18" s="413" t="inlineStr">
        <is>
          <t>Fixed Cost</t>
        </is>
      </c>
      <c r="D18" s="413" t="n"/>
      <c r="E18" s="413" t="n"/>
      <c r="F18" s="414" t="n"/>
      <c r="G18" s="359" t="n"/>
      <c r="H18" s="359" t="n"/>
      <c r="I18" s="359" t="n"/>
      <c r="J18" s="359" t="n"/>
    </row>
    <row r="19">
      <c r="A19" s="359" t="n"/>
      <c r="B19" s="407" t="inlineStr">
        <is>
          <t>i</t>
        </is>
      </c>
      <c r="C19" s="374" t="inlineStr">
        <is>
          <t>ICC Cost</t>
        </is>
      </c>
      <c r="D19" s="415" t="n">
        <v>0.01</v>
      </c>
      <c r="E19" s="374" t="n"/>
      <c r="F19" s="416">
        <f>IFERROR(F22*$D$19, "")</f>
        <v/>
      </c>
      <c r="G19" s="359" t="n"/>
      <c r="H19" s="359" t="n"/>
      <c r="I19" s="359" t="n"/>
      <c r="J19" s="359" t="n"/>
    </row>
    <row r="20">
      <c r="A20" s="359" t="n"/>
      <c r="B20" s="407" t="inlineStr">
        <is>
          <t>ii</t>
        </is>
      </c>
      <c r="C20" s="374" t="inlineStr">
        <is>
          <t>Rejection</t>
        </is>
      </c>
      <c r="D20" s="415" t="n">
        <v>0.015</v>
      </c>
      <c r="E20" s="374" t="n"/>
      <c r="F20" s="416">
        <f>IFERROR(F22*$D$20, "")</f>
        <v/>
      </c>
      <c r="G20" s="359" t="n"/>
      <c r="H20" s="359" t="n"/>
      <c r="I20" s="359" t="n"/>
      <c r="J20" s="359" t="n"/>
    </row>
    <row r="21" ht="16.5" customHeight="1" thickBot="1">
      <c r="A21" s="359" t="n"/>
      <c r="B21" s="385" t="inlineStr">
        <is>
          <t>iii</t>
        </is>
      </c>
      <c r="C21" s="386" t="inlineStr">
        <is>
          <t>Transportation</t>
        </is>
      </c>
      <c r="D21" s="417" t="inlineStr">
        <is>
          <t xml:space="preserve">Ex-works </t>
        </is>
      </c>
      <c r="E21" s="386" t="n"/>
      <c r="F21" s="409" t="n">
        <v>0</v>
      </c>
      <c r="G21" s="359" t="n"/>
      <c r="H21" s="359" t="n"/>
      <c r="I21" s="359" t="n"/>
      <c r="J21" s="359" t="n"/>
    </row>
    <row r="22" ht="16.5" customHeight="1" thickBot="1">
      <c r="A22" s="359" t="n"/>
      <c r="B22" s="418" t="n"/>
      <c r="C22" s="419" t="inlineStr">
        <is>
          <t>Sub Total</t>
        </is>
      </c>
      <c r="D22" s="420" t="n"/>
      <c r="E22" s="421" t="n"/>
      <c r="F22" s="422">
        <f>IFERROR(SUM(F19:F21)+F16, "")</f>
        <v/>
      </c>
      <c r="G22" s="359" t="n"/>
      <c r="H22" s="359" t="n"/>
      <c r="I22" s="359" t="n"/>
      <c r="J22" s="359" t="n"/>
    </row>
    <row r="23" ht="16.5" customHeight="1" thickBot="1">
      <c r="A23" s="359" t="n"/>
      <c r="B23" s="423" t="n"/>
      <c r="C23" s="395" t="n"/>
      <c r="D23" s="395" t="n"/>
      <c r="E23" s="424" t="n"/>
      <c r="F23" s="425" t="n"/>
      <c r="G23" s="359" t="n"/>
      <c r="H23" s="359" t="n"/>
      <c r="I23" s="359" t="n"/>
      <c r="J23" s="359" t="n"/>
    </row>
    <row r="24" ht="16.5" customHeight="1" thickBot="1">
      <c r="A24" s="359" t="n"/>
      <c r="B24" s="426" t="inlineStr">
        <is>
          <t>D.</t>
        </is>
      </c>
      <c r="C24" s="427" t="inlineStr">
        <is>
          <t>Variable Cost</t>
        </is>
      </c>
      <c r="D24" s="428" t="n"/>
      <c r="E24" s="429" t="n"/>
      <c r="F24" s="430" t="n"/>
      <c r="G24" s="359" t="n"/>
      <c r="H24" s="359" t="n"/>
      <c r="I24" s="359" t="n"/>
      <c r="J24" s="359" t="n"/>
    </row>
    <row r="25">
      <c r="A25" s="359" t="n"/>
      <c r="B25" s="380" t="inlineStr">
        <is>
          <t>i</t>
        </is>
      </c>
      <c r="C25" s="431" t="inlineStr">
        <is>
          <t xml:space="preserve">Contingency / Warranty </t>
        </is>
      </c>
      <c r="D25" s="432" t="n">
        <v>0.01</v>
      </c>
      <c r="E25" s="432" t="n"/>
      <c r="F25" s="433">
        <f>IFERROR(F28*$D$25, "")</f>
        <v/>
      </c>
      <c r="G25" s="359" t="n"/>
      <c r="H25" s="359" t="n"/>
      <c r="I25" s="359" t="n"/>
      <c r="J25" s="359" t="n"/>
    </row>
    <row r="26">
      <c r="A26" s="359" t="n"/>
      <c r="B26" s="407" t="inlineStr">
        <is>
          <t>ii</t>
        </is>
      </c>
      <c r="C26" s="403" t="inlineStr">
        <is>
          <t>Overheads</t>
        </is>
      </c>
      <c r="D26" s="434" t="n">
        <v>0.08</v>
      </c>
      <c r="E26" s="434" t="n"/>
      <c r="F26" s="409">
        <f>IFERROR(F28*$D$26, "")</f>
        <v/>
      </c>
      <c r="G26" s="359" t="n"/>
      <c r="H26" s="359" t="n"/>
      <c r="I26" s="359" t="n"/>
      <c r="J26" s="359" t="n"/>
    </row>
    <row r="27" ht="16.5" customHeight="1" thickBot="1">
      <c r="A27" s="359" t="n"/>
      <c r="B27" s="435" t="inlineStr">
        <is>
          <t>iii</t>
        </is>
      </c>
      <c r="C27" s="436" t="inlineStr">
        <is>
          <t xml:space="preserve">Contribution / Profit </t>
        </is>
      </c>
      <c r="D27" s="437" t="n">
        <v>0.1</v>
      </c>
      <c r="E27" s="437" t="n"/>
      <c r="F27" s="438">
        <f>IFERROR(F28*$D$27, "")</f>
        <v/>
      </c>
      <c r="G27" s="359" t="n"/>
      <c r="H27" s="439" t="inlineStr">
        <is>
          <t xml:space="preserve">Per kg cost </t>
        </is>
      </c>
      <c r="I27" s="439" t="inlineStr">
        <is>
          <t xml:space="preserve">Internal Cost </t>
        </is>
      </c>
      <c r="J27" s="439" t="inlineStr">
        <is>
          <t>Margin%</t>
        </is>
      </c>
    </row>
    <row r="28" ht="21.75" customHeight="1" thickBot="1">
      <c r="A28" s="359" t="n"/>
      <c r="B28" s="440" t="n"/>
      <c r="C28" s="391" t="inlineStr">
        <is>
          <t>Total Price for x Parts</t>
        </is>
      </c>
      <c r="D28" s="441" t="n"/>
      <c r="E28" s="392">
        <f>IFERROR(F2, "")</f>
        <v/>
      </c>
      <c r="F28" s="393">
        <f>IFERROR(SUM(F22:F27), "")</f>
        <v/>
      </c>
      <c r="G28" s="359" t="n"/>
      <c r="H28" s="442">
        <f>IFERROR(F28/E5, "")</f>
        <v/>
      </c>
      <c r="I28" s="443">
        <f>IFERROR('Summary RIG ADAPTOR'!F36, "")</f>
        <v/>
      </c>
      <c r="J28" s="444">
        <f>IFERROR((F28-I28)/F28, "")</f>
        <v/>
      </c>
    </row>
    <row r="29" ht="21.75" customHeight="1" thickBot="1">
      <c r="A29" s="359" t="n"/>
      <c r="B29" s="440" t="n"/>
      <c r="C29" s="391" t="inlineStr">
        <is>
          <t>Total Price Per Part</t>
        </is>
      </c>
      <c r="D29" s="441" t="n"/>
      <c r="E29" s="392" t="n">
        <v>1</v>
      </c>
      <c r="F29" s="393">
        <f>IFERROR(F28/E28, "")</f>
        <v/>
      </c>
      <c r="G29" s="359" t="n"/>
      <c r="H29" s="359" t="n"/>
      <c r="I29" s="359" t="n"/>
      <c r="J29" s="359" t="n"/>
    </row>
    <row r="30">
      <c r="A30" s="359" t="n"/>
      <c r="B30" s="445" t="n"/>
      <c r="C30" s="446" t="n"/>
      <c r="D30" s="447" t="n"/>
      <c r="E30" s="448" t="n"/>
      <c r="F30" s="449" t="n"/>
      <c r="G30" s="359" t="n"/>
      <c r="H30" s="359" t="n"/>
      <c r="I30" s="359" t="n"/>
      <c r="J30" s="359" t="n"/>
    </row>
    <row r="31" ht="16.5" customHeight="1" thickBot="1">
      <c r="A31" s="359" t="n"/>
      <c r="B31" s="445" t="n"/>
      <c r="C31" s="446" t="n"/>
      <c r="D31" s="447" t="n"/>
      <c r="E31" s="448" t="n"/>
      <c r="F31" s="449" t="n"/>
      <c r="G31" s="359" t="n"/>
      <c r="H31" s="359" t="n"/>
      <c r="I31" s="359" t="n"/>
      <c r="J31" s="359" t="n"/>
    </row>
    <row r="32" ht="19.5" customHeight="1" thickBot="1">
      <c r="A32" s="359" t="n"/>
      <c r="B32" s="450" t="inlineStr">
        <is>
          <t>NON-RECURRING  COST</t>
        </is>
      </c>
      <c r="C32" s="451" t="n"/>
      <c r="D32" s="451" t="n"/>
      <c r="E32" s="363" t="inlineStr">
        <is>
          <t>Assy No,</t>
        </is>
      </c>
      <c r="F32" s="364">
        <f>IFERROR(F1, "")</f>
        <v/>
      </c>
      <c r="G32" s="359" t="n"/>
      <c r="H32" s="359" t="n"/>
      <c r="I32" s="359" t="n"/>
      <c r="J32" s="359" t="n"/>
    </row>
    <row r="33" ht="21.75" customHeight="1">
      <c r="A33" s="359" t="n"/>
      <c r="B33" s="452" t="inlineStr">
        <is>
          <t>E.</t>
        </is>
      </c>
      <c r="C33" s="453" t="inlineStr">
        <is>
          <t>ENGINEERING CHARGES</t>
        </is>
      </c>
      <c r="D33" s="453" t="n"/>
      <c r="E33" s="454" t="n"/>
      <c r="F33" s="455">
        <f>IFERROR('Summary RIG ADAPTOR'!F41, "")</f>
        <v/>
      </c>
      <c r="G33" s="359" t="n"/>
      <c r="H33" s="359" t="n"/>
      <c r="I33" s="359" t="n"/>
      <c r="J33" s="359" t="n"/>
    </row>
    <row r="34" ht="30" customHeight="1">
      <c r="A34" s="359" t="n"/>
      <c r="B34" s="456" t="inlineStr">
        <is>
          <t>F.</t>
        </is>
      </c>
      <c r="C34" s="457" t="inlineStr">
        <is>
          <t>DEVELOPMENT OF JIG AND FIXTURES (01 time)</t>
        </is>
      </c>
      <c r="D34" s="457" t="n"/>
      <c r="E34" s="458" t="n"/>
      <c r="F34" s="459">
        <f>IFERROR('Summary RIG ADAPTOR'!F42, "")</f>
        <v/>
      </c>
      <c r="G34" s="359" t="n"/>
      <c r="H34" s="359" t="n"/>
      <c r="I34" s="359" t="n"/>
      <c r="J34" s="359" t="n"/>
    </row>
    <row r="35" ht="19.5" customHeight="1" thickBot="1">
      <c r="A35" s="359" t="n"/>
      <c r="B35" s="460" t="n"/>
      <c r="C35" s="461" t="inlineStr">
        <is>
          <t xml:space="preserve">Sub Cost </t>
        </is>
      </c>
      <c r="D35" s="462" t="n"/>
      <c r="E35" s="462" t="n"/>
      <c r="F35" s="463">
        <f>IFERROR(SUM(F33:F34), "")</f>
        <v/>
      </c>
      <c r="G35" s="464" t="n"/>
      <c r="H35" s="465" t="n"/>
      <c r="I35" s="359" t="n"/>
      <c r="J35" s="359" t="n"/>
    </row>
    <row r="36">
      <c r="A36" s="359" t="n"/>
      <c r="B36" s="407" t="inlineStr">
        <is>
          <t>i</t>
        </is>
      </c>
      <c r="C36" s="403" t="inlineStr">
        <is>
          <t>Contingency</t>
        </is>
      </c>
      <c r="D36" s="432" t="n">
        <v>0.02</v>
      </c>
      <c r="E36" s="434" t="n"/>
      <c r="F36" s="409">
        <f>IFERROR(F39*$D$36, "")</f>
        <v/>
      </c>
      <c r="G36" s="359" t="n"/>
      <c r="H36" s="359" t="n"/>
      <c r="I36" s="359" t="n"/>
      <c r="J36" s="359" t="n"/>
    </row>
    <row r="37">
      <c r="A37" s="359" t="n"/>
      <c r="B37" s="407" t="inlineStr">
        <is>
          <t>ii</t>
        </is>
      </c>
      <c r="C37" s="403" t="inlineStr">
        <is>
          <t>Overheads</t>
        </is>
      </c>
      <c r="D37" s="434" t="n">
        <v>0.08</v>
      </c>
      <c r="E37" s="434" t="n"/>
      <c r="F37" s="409">
        <f>IFERROR(F39*$D$37, "")</f>
        <v/>
      </c>
      <c r="G37" s="359" t="n"/>
      <c r="H37" s="359" t="n"/>
      <c r="I37" s="359" t="n"/>
      <c r="J37" s="359" t="n"/>
    </row>
    <row r="38" ht="16.5" customHeight="1" thickBot="1">
      <c r="A38" s="359" t="n"/>
      <c r="B38" s="435" t="inlineStr">
        <is>
          <t>iii</t>
        </is>
      </c>
      <c r="C38" s="436" t="inlineStr">
        <is>
          <t xml:space="preserve">Contribution / Profit </t>
        </is>
      </c>
      <c r="D38" s="437" t="n">
        <v>0.113</v>
      </c>
      <c r="E38" s="437" t="n"/>
      <c r="F38" s="438">
        <f>IFERROR(F39*$D$38, "")</f>
        <v/>
      </c>
      <c r="G38" s="359" t="n"/>
      <c r="H38" s="439" t="inlineStr">
        <is>
          <t xml:space="preserve">Per kg cost </t>
        </is>
      </c>
      <c r="I38" s="439" t="inlineStr">
        <is>
          <t xml:space="preserve">Internal Cost </t>
        </is>
      </c>
      <c r="J38" s="439" t="inlineStr">
        <is>
          <t>Margin%</t>
        </is>
      </c>
    </row>
    <row r="39" ht="21.75" customHeight="1" thickBot="1">
      <c r="A39" s="359" t="n"/>
      <c r="B39" s="440" t="n"/>
      <c r="C39" s="391" t="inlineStr">
        <is>
          <t xml:space="preserve">Total NRC Cost </t>
        </is>
      </c>
      <c r="D39" s="441" t="n"/>
      <c r="E39" s="392" t="n">
        <v>1</v>
      </c>
      <c r="F39" s="393">
        <f>IFERROR(SUM(F35:F38), "")</f>
        <v/>
      </c>
      <c r="G39" s="466" t="n"/>
      <c r="H39" s="442">
        <f>IFERROR(F39/E5, "")</f>
        <v/>
      </c>
      <c r="I39" s="443">
        <f>IFERROR('Summary RIG ADAPTOR'!F43, "")</f>
        <v/>
      </c>
      <c r="J39" s="444">
        <f>IFERROR((F39-I39)/F39, "")</f>
        <v/>
      </c>
    </row>
    <row r="40">
      <c r="A40" s="359" t="n"/>
      <c r="B40" s="359" t="n"/>
      <c r="C40" s="359" t="n"/>
      <c r="D40" s="359" t="n"/>
      <c r="E40" s="359" t="n"/>
      <c r="F40" s="359" t="n"/>
      <c r="G40" s="467" t="n"/>
      <c r="H40" s="468" t="n"/>
      <c r="I40" s="359" t="n"/>
      <c r="J40" s="359" t="n"/>
    </row>
  </sheetData>
  <mergeCells count="2">
    <mergeCell ref="B1:D1"/>
    <mergeCell ref="B2:D2"/>
  </mergeCells>
  <pageMargins left="0.25" right="0.25" top="0.75" bottom="0.75" header="0.3" footer="0.3"/>
  <pageSetup orientation="portrait" paperSize="9" fitToWidth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60"/>
  <sheetViews>
    <sheetView topLeftCell="G3" zoomScale="85" zoomScaleNormal="85" zoomScaleSheetLayoutView="100" workbookViewId="0">
      <selection activeCell="Q12" sqref="Q12"/>
    </sheetView>
  </sheetViews>
  <sheetFormatPr baseColWidth="8" defaultRowHeight="12.75"/>
  <cols>
    <col width="43.5703125" bestFit="1" customWidth="1" style="86" min="1" max="1"/>
    <col width="16.85546875" customWidth="1" style="86" min="2" max="2"/>
    <col width="12.85546875" customWidth="1" style="86" min="3" max="3"/>
    <col width="14.85546875" customWidth="1" style="86" min="4" max="4"/>
    <col width="14.5703125" bestFit="1" customWidth="1" style="86" min="5" max="5"/>
    <col width="16.7109375" bestFit="1" customWidth="1" style="469" min="6" max="6"/>
    <col width="14.5703125" customWidth="1" style="90" min="7" max="7"/>
    <col width="12" bestFit="1" customWidth="1" style="85" min="8" max="8"/>
    <col width="12" customWidth="1" style="85" min="9" max="10"/>
    <col width="10.7109375" bestFit="1" customWidth="1" style="86" min="11" max="11"/>
    <col width="9.85546875" bestFit="1" customWidth="1" style="86" min="12" max="12"/>
    <col width="19.140625" bestFit="1" customWidth="1" style="86" min="13" max="13"/>
    <col width="24.7109375" bestFit="1" customWidth="1" style="86" min="14" max="14"/>
    <col width="11.28515625" customWidth="1" style="273" min="15" max="15"/>
    <col width="11.28515625" customWidth="1" style="86" min="16" max="16"/>
    <col width="21.5703125" customWidth="1" style="86" min="17" max="17"/>
    <col width="21.5703125" customWidth="1" style="273" min="18" max="18"/>
    <col width="16.85546875" customWidth="1" style="281" min="19" max="22"/>
    <col width="7.140625" bestFit="1" customWidth="1" style="86" min="23" max="23"/>
    <col width="10.28515625" bestFit="1" customWidth="1" style="86" min="24" max="24"/>
    <col width="30.140625" bestFit="1" customWidth="1" style="86" min="25" max="25"/>
    <col width="6.85546875" bestFit="1" customWidth="1" style="86" min="26" max="26"/>
    <col width="19.5703125" bestFit="1" customWidth="1" style="86" min="27" max="27"/>
    <col width="10.85546875" bestFit="1" customWidth="1" style="86" min="28" max="28"/>
    <col width="22" bestFit="1" customWidth="1" style="86" min="29" max="29"/>
    <col width="13.5703125" bestFit="1" customWidth="1" style="86" min="30" max="30"/>
    <col width="7.85546875" bestFit="1" customWidth="1" style="86" min="31" max="31"/>
    <col width="10.28515625" bestFit="1" customWidth="1" style="86" min="32" max="32"/>
    <col width="17.85546875" bestFit="1" customWidth="1" style="86" min="33" max="33"/>
    <col width="11" bestFit="1" customWidth="1" style="86" min="34" max="34"/>
    <col width="9.140625" customWidth="1" style="86" min="35" max="218"/>
    <col width="37.42578125" customWidth="1" style="86" min="219" max="219"/>
    <col width="13.5703125" customWidth="1" style="86" min="220" max="220"/>
    <col width="14.42578125" customWidth="1" style="86" min="221" max="221"/>
    <col width="8.42578125" bestFit="1" customWidth="1" style="86" min="222" max="222"/>
    <col width="16.85546875" customWidth="1" style="86" min="223" max="223"/>
    <col width="9.140625" customWidth="1" style="86" min="224" max="224"/>
    <col width="11.28515625" customWidth="1" style="86" min="225" max="225"/>
    <col width="9.140625" customWidth="1" style="86" min="226" max="474"/>
    <col width="37.42578125" customWidth="1" style="86" min="475" max="475"/>
    <col width="13.5703125" customWidth="1" style="86" min="476" max="476"/>
    <col width="14.42578125" customWidth="1" style="86" min="477" max="477"/>
    <col width="8.42578125" bestFit="1" customWidth="1" style="86" min="478" max="478"/>
    <col width="16.85546875" customWidth="1" style="86" min="479" max="479"/>
    <col width="9.140625" customWidth="1" style="86" min="480" max="480"/>
    <col width="11.28515625" customWidth="1" style="86" min="481" max="481"/>
    <col width="9.140625" customWidth="1" style="86" min="482" max="730"/>
    <col width="37.42578125" customWidth="1" style="86" min="731" max="731"/>
    <col width="13.5703125" customWidth="1" style="86" min="732" max="732"/>
    <col width="14.42578125" customWidth="1" style="86" min="733" max="733"/>
    <col width="8.42578125" bestFit="1" customWidth="1" style="86" min="734" max="734"/>
    <col width="16.85546875" customWidth="1" style="86" min="735" max="735"/>
    <col width="9.140625" customWidth="1" style="86" min="736" max="736"/>
    <col width="11.28515625" customWidth="1" style="86" min="737" max="737"/>
    <col width="9.140625" customWidth="1" style="86" min="738" max="986"/>
    <col width="37.42578125" customWidth="1" style="86" min="987" max="987"/>
    <col width="13.5703125" customWidth="1" style="86" min="988" max="988"/>
    <col width="14.42578125" customWidth="1" style="86" min="989" max="989"/>
    <col width="8.42578125" bestFit="1" customWidth="1" style="86" min="990" max="990"/>
    <col width="16.85546875" customWidth="1" style="86" min="991" max="991"/>
    <col width="9.140625" customWidth="1" style="86" min="992" max="992"/>
    <col width="11.28515625" customWidth="1" style="86" min="993" max="993"/>
    <col width="9.140625" customWidth="1" style="86" min="994" max="1242"/>
    <col width="37.42578125" customWidth="1" style="86" min="1243" max="1243"/>
    <col width="13.5703125" customWidth="1" style="86" min="1244" max="1244"/>
    <col width="14.42578125" customWidth="1" style="86" min="1245" max="1245"/>
    <col width="8.42578125" bestFit="1" customWidth="1" style="86" min="1246" max="1246"/>
    <col width="16.85546875" customWidth="1" style="86" min="1247" max="1247"/>
    <col width="9.140625" customWidth="1" style="86" min="1248" max="1248"/>
    <col width="11.28515625" customWidth="1" style="86" min="1249" max="1249"/>
    <col width="9.140625" customWidth="1" style="86" min="1250" max="1498"/>
    <col width="37.42578125" customWidth="1" style="86" min="1499" max="1499"/>
    <col width="13.5703125" customWidth="1" style="86" min="1500" max="1500"/>
    <col width="14.42578125" customWidth="1" style="86" min="1501" max="1501"/>
    <col width="8.42578125" bestFit="1" customWidth="1" style="86" min="1502" max="1502"/>
    <col width="16.85546875" customWidth="1" style="86" min="1503" max="1503"/>
    <col width="9.140625" customWidth="1" style="86" min="1504" max="1504"/>
    <col width="11.28515625" customWidth="1" style="86" min="1505" max="1505"/>
    <col width="9.140625" customWidth="1" style="86" min="1506" max="1754"/>
    <col width="37.42578125" customWidth="1" style="86" min="1755" max="1755"/>
    <col width="13.5703125" customWidth="1" style="86" min="1756" max="1756"/>
    <col width="14.42578125" customWidth="1" style="86" min="1757" max="1757"/>
    <col width="8.42578125" bestFit="1" customWidth="1" style="86" min="1758" max="1758"/>
    <col width="16.85546875" customWidth="1" style="86" min="1759" max="1759"/>
    <col width="9.140625" customWidth="1" style="86" min="1760" max="1760"/>
    <col width="11.28515625" customWidth="1" style="86" min="1761" max="1761"/>
    <col width="9.140625" customWidth="1" style="86" min="1762" max="2010"/>
    <col width="37.42578125" customWidth="1" style="86" min="2011" max="2011"/>
    <col width="13.5703125" customWidth="1" style="86" min="2012" max="2012"/>
    <col width="14.42578125" customWidth="1" style="86" min="2013" max="2013"/>
    <col width="8.42578125" bestFit="1" customWidth="1" style="86" min="2014" max="2014"/>
    <col width="16.85546875" customWidth="1" style="86" min="2015" max="2015"/>
    <col width="9.140625" customWidth="1" style="86" min="2016" max="2016"/>
    <col width="11.28515625" customWidth="1" style="86" min="2017" max="2017"/>
    <col width="9.140625" customWidth="1" style="86" min="2018" max="2266"/>
    <col width="37.42578125" customWidth="1" style="86" min="2267" max="2267"/>
    <col width="13.5703125" customWidth="1" style="86" min="2268" max="2268"/>
    <col width="14.42578125" customWidth="1" style="86" min="2269" max="2269"/>
    <col width="8.42578125" bestFit="1" customWidth="1" style="86" min="2270" max="2270"/>
    <col width="16.85546875" customWidth="1" style="86" min="2271" max="2271"/>
    <col width="9.140625" customWidth="1" style="86" min="2272" max="2272"/>
    <col width="11.28515625" customWidth="1" style="86" min="2273" max="2273"/>
    <col width="9.140625" customWidth="1" style="86" min="2274" max="2522"/>
    <col width="37.42578125" customWidth="1" style="86" min="2523" max="2523"/>
    <col width="13.5703125" customWidth="1" style="86" min="2524" max="2524"/>
    <col width="14.42578125" customWidth="1" style="86" min="2525" max="2525"/>
    <col width="8.42578125" bestFit="1" customWidth="1" style="86" min="2526" max="2526"/>
    <col width="16.85546875" customWidth="1" style="86" min="2527" max="2527"/>
    <col width="9.140625" customWidth="1" style="86" min="2528" max="2528"/>
    <col width="11.28515625" customWidth="1" style="86" min="2529" max="2529"/>
    <col width="9.140625" customWidth="1" style="86" min="2530" max="2778"/>
    <col width="37.42578125" customWidth="1" style="86" min="2779" max="2779"/>
    <col width="13.5703125" customWidth="1" style="86" min="2780" max="2780"/>
    <col width="14.42578125" customWidth="1" style="86" min="2781" max="2781"/>
    <col width="8.42578125" bestFit="1" customWidth="1" style="86" min="2782" max="2782"/>
    <col width="16.85546875" customWidth="1" style="86" min="2783" max="2783"/>
    <col width="9.140625" customWidth="1" style="86" min="2784" max="2784"/>
    <col width="11.28515625" customWidth="1" style="86" min="2785" max="2785"/>
    <col width="9.140625" customWidth="1" style="86" min="2786" max="3034"/>
    <col width="37.42578125" customWidth="1" style="86" min="3035" max="3035"/>
    <col width="13.5703125" customWidth="1" style="86" min="3036" max="3036"/>
    <col width="14.42578125" customWidth="1" style="86" min="3037" max="3037"/>
    <col width="8.42578125" bestFit="1" customWidth="1" style="86" min="3038" max="3038"/>
    <col width="16.85546875" customWidth="1" style="86" min="3039" max="3039"/>
    <col width="9.140625" customWidth="1" style="86" min="3040" max="3040"/>
    <col width="11.28515625" customWidth="1" style="86" min="3041" max="3041"/>
    <col width="9.140625" customWidth="1" style="86" min="3042" max="3290"/>
    <col width="37.42578125" customWidth="1" style="86" min="3291" max="3291"/>
    <col width="13.5703125" customWidth="1" style="86" min="3292" max="3292"/>
    <col width="14.42578125" customWidth="1" style="86" min="3293" max="3293"/>
    <col width="8.42578125" bestFit="1" customWidth="1" style="86" min="3294" max="3294"/>
    <col width="16.85546875" customWidth="1" style="86" min="3295" max="3295"/>
    <col width="9.140625" customWidth="1" style="86" min="3296" max="3296"/>
    <col width="11.28515625" customWidth="1" style="86" min="3297" max="3297"/>
    <col width="9.140625" customWidth="1" style="86" min="3298" max="3546"/>
    <col width="37.42578125" customWidth="1" style="86" min="3547" max="3547"/>
    <col width="13.5703125" customWidth="1" style="86" min="3548" max="3548"/>
    <col width="14.42578125" customWidth="1" style="86" min="3549" max="3549"/>
    <col width="8.42578125" bestFit="1" customWidth="1" style="86" min="3550" max="3550"/>
    <col width="16.85546875" customWidth="1" style="86" min="3551" max="3551"/>
    <col width="9.140625" customWidth="1" style="86" min="3552" max="3552"/>
    <col width="11.28515625" customWidth="1" style="86" min="3553" max="3553"/>
    <col width="9.140625" customWidth="1" style="86" min="3554" max="3802"/>
    <col width="37.42578125" customWidth="1" style="86" min="3803" max="3803"/>
    <col width="13.5703125" customWidth="1" style="86" min="3804" max="3804"/>
    <col width="14.42578125" customWidth="1" style="86" min="3805" max="3805"/>
    <col width="8.42578125" bestFit="1" customWidth="1" style="86" min="3806" max="3806"/>
    <col width="16.85546875" customWidth="1" style="86" min="3807" max="3807"/>
    <col width="9.140625" customWidth="1" style="86" min="3808" max="3808"/>
    <col width="11.28515625" customWidth="1" style="86" min="3809" max="3809"/>
    <col width="9.140625" customWidth="1" style="86" min="3810" max="4058"/>
    <col width="37.42578125" customWidth="1" style="86" min="4059" max="4059"/>
    <col width="13.5703125" customWidth="1" style="86" min="4060" max="4060"/>
    <col width="14.42578125" customWidth="1" style="86" min="4061" max="4061"/>
    <col width="8.42578125" bestFit="1" customWidth="1" style="86" min="4062" max="4062"/>
    <col width="16.85546875" customWidth="1" style="86" min="4063" max="4063"/>
    <col width="9.140625" customWidth="1" style="86" min="4064" max="4064"/>
    <col width="11.28515625" customWidth="1" style="86" min="4065" max="4065"/>
    <col width="9.140625" customWidth="1" style="86" min="4066" max="4314"/>
    <col width="37.42578125" customWidth="1" style="86" min="4315" max="4315"/>
    <col width="13.5703125" customWidth="1" style="86" min="4316" max="4316"/>
    <col width="14.42578125" customWidth="1" style="86" min="4317" max="4317"/>
    <col width="8.42578125" bestFit="1" customWidth="1" style="86" min="4318" max="4318"/>
    <col width="16.85546875" customWidth="1" style="86" min="4319" max="4319"/>
    <col width="9.140625" customWidth="1" style="86" min="4320" max="4320"/>
    <col width="11.28515625" customWidth="1" style="86" min="4321" max="4321"/>
    <col width="9.140625" customWidth="1" style="86" min="4322" max="4570"/>
    <col width="37.42578125" customWidth="1" style="86" min="4571" max="4571"/>
    <col width="13.5703125" customWidth="1" style="86" min="4572" max="4572"/>
    <col width="14.42578125" customWidth="1" style="86" min="4573" max="4573"/>
    <col width="8.42578125" bestFit="1" customWidth="1" style="86" min="4574" max="4574"/>
    <col width="16.85546875" customWidth="1" style="86" min="4575" max="4575"/>
    <col width="9.140625" customWidth="1" style="86" min="4576" max="4576"/>
    <col width="11.28515625" customWidth="1" style="86" min="4577" max="4577"/>
    <col width="9.140625" customWidth="1" style="86" min="4578" max="4826"/>
    <col width="37.42578125" customWidth="1" style="86" min="4827" max="4827"/>
    <col width="13.5703125" customWidth="1" style="86" min="4828" max="4828"/>
    <col width="14.42578125" customWidth="1" style="86" min="4829" max="4829"/>
    <col width="8.42578125" bestFit="1" customWidth="1" style="86" min="4830" max="4830"/>
    <col width="16.85546875" customWidth="1" style="86" min="4831" max="4831"/>
    <col width="9.140625" customWidth="1" style="86" min="4832" max="4832"/>
    <col width="11.28515625" customWidth="1" style="86" min="4833" max="4833"/>
    <col width="9.140625" customWidth="1" style="86" min="4834" max="5082"/>
    <col width="37.42578125" customWidth="1" style="86" min="5083" max="5083"/>
    <col width="13.5703125" customWidth="1" style="86" min="5084" max="5084"/>
    <col width="14.42578125" customWidth="1" style="86" min="5085" max="5085"/>
    <col width="8.42578125" bestFit="1" customWidth="1" style="86" min="5086" max="5086"/>
    <col width="16.85546875" customWidth="1" style="86" min="5087" max="5087"/>
    <col width="9.140625" customWidth="1" style="86" min="5088" max="5088"/>
    <col width="11.28515625" customWidth="1" style="86" min="5089" max="5089"/>
    <col width="9.140625" customWidth="1" style="86" min="5090" max="5338"/>
    <col width="37.42578125" customWidth="1" style="86" min="5339" max="5339"/>
    <col width="13.5703125" customWidth="1" style="86" min="5340" max="5340"/>
    <col width="14.42578125" customWidth="1" style="86" min="5341" max="5341"/>
    <col width="8.42578125" bestFit="1" customWidth="1" style="86" min="5342" max="5342"/>
    <col width="16.85546875" customWidth="1" style="86" min="5343" max="5343"/>
    <col width="9.140625" customWidth="1" style="86" min="5344" max="5344"/>
    <col width="11.28515625" customWidth="1" style="86" min="5345" max="5345"/>
    <col width="9.140625" customWidth="1" style="86" min="5346" max="5594"/>
    <col width="37.42578125" customWidth="1" style="86" min="5595" max="5595"/>
    <col width="13.5703125" customWidth="1" style="86" min="5596" max="5596"/>
    <col width="14.42578125" customWidth="1" style="86" min="5597" max="5597"/>
    <col width="8.42578125" bestFit="1" customWidth="1" style="86" min="5598" max="5598"/>
    <col width="16.85546875" customWidth="1" style="86" min="5599" max="5599"/>
    <col width="9.140625" customWidth="1" style="86" min="5600" max="5600"/>
    <col width="11.28515625" customWidth="1" style="86" min="5601" max="5601"/>
    <col width="9.140625" customWidth="1" style="86" min="5602" max="5850"/>
    <col width="37.42578125" customWidth="1" style="86" min="5851" max="5851"/>
    <col width="13.5703125" customWidth="1" style="86" min="5852" max="5852"/>
    <col width="14.42578125" customWidth="1" style="86" min="5853" max="5853"/>
    <col width="8.42578125" bestFit="1" customWidth="1" style="86" min="5854" max="5854"/>
    <col width="16.85546875" customWidth="1" style="86" min="5855" max="5855"/>
    <col width="9.140625" customWidth="1" style="86" min="5856" max="5856"/>
    <col width="11.28515625" customWidth="1" style="86" min="5857" max="5857"/>
    <col width="9.140625" customWidth="1" style="86" min="5858" max="6106"/>
    <col width="37.42578125" customWidth="1" style="86" min="6107" max="6107"/>
    <col width="13.5703125" customWidth="1" style="86" min="6108" max="6108"/>
    <col width="14.42578125" customWidth="1" style="86" min="6109" max="6109"/>
    <col width="8.42578125" bestFit="1" customWidth="1" style="86" min="6110" max="6110"/>
    <col width="16.85546875" customWidth="1" style="86" min="6111" max="6111"/>
    <col width="9.140625" customWidth="1" style="86" min="6112" max="6112"/>
    <col width="11.28515625" customWidth="1" style="86" min="6113" max="6113"/>
    <col width="9.140625" customWidth="1" style="86" min="6114" max="6362"/>
    <col width="37.42578125" customWidth="1" style="86" min="6363" max="6363"/>
    <col width="13.5703125" customWidth="1" style="86" min="6364" max="6364"/>
    <col width="14.42578125" customWidth="1" style="86" min="6365" max="6365"/>
    <col width="8.42578125" bestFit="1" customWidth="1" style="86" min="6366" max="6366"/>
    <col width="16.85546875" customWidth="1" style="86" min="6367" max="6367"/>
    <col width="9.140625" customWidth="1" style="86" min="6368" max="6368"/>
    <col width="11.28515625" customWidth="1" style="86" min="6369" max="6369"/>
    <col width="9.140625" customWidth="1" style="86" min="6370" max="6618"/>
    <col width="37.42578125" customWidth="1" style="86" min="6619" max="6619"/>
    <col width="13.5703125" customWidth="1" style="86" min="6620" max="6620"/>
    <col width="14.42578125" customWidth="1" style="86" min="6621" max="6621"/>
    <col width="8.42578125" bestFit="1" customWidth="1" style="86" min="6622" max="6622"/>
    <col width="16.85546875" customWidth="1" style="86" min="6623" max="6623"/>
    <col width="9.140625" customWidth="1" style="86" min="6624" max="6624"/>
    <col width="11.28515625" customWidth="1" style="86" min="6625" max="6625"/>
    <col width="9.140625" customWidth="1" style="86" min="6626" max="6874"/>
    <col width="37.42578125" customWidth="1" style="86" min="6875" max="6875"/>
    <col width="13.5703125" customWidth="1" style="86" min="6876" max="6876"/>
    <col width="14.42578125" customWidth="1" style="86" min="6877" max="6877"/>
    <col width="8.42578125" bestFit="1" customWidth="1" style="86" min="6878" max="6878"/>
    <col width="16.85546875" customWidth="1" style="86" min="6879" max="6879"/>
    <col width="9.140625" customWidth="1" style="86" min="6880" max="6880"/>
    <col width="11.28515625" customWidth="1" style="86" min="6881" max="6881"/>
    <col width="9.140625" customWidth="1" style="86" min="6882" max="7130"/>
    <col width="37.42578125" customWidth="1" style="86" min="7131" max="7131"/>
    <col width="13.5703125" customWidth="1" style="86" min="7132" max="7132"/>
    <col width="14.42578125" customWidth="1" style="86" min="7133" max="7133"/>
    <col width="8.42578125" bestFit="1" customWidth="1" style="86" min="7134" max="7134"/>
    <col width="16.85546875" customWidth="1" style="86" min="7135" max="7135"/>
    <col width="9.140625" customWidth="1" style="86" min="7136" max="7136"/>
    <col width="11.28515625" customWidth="1" style="86" min="7137" max="7137"/>
    <col width="9.140625" customWidth="1" style="86" min="7138" max="7386"/>
    <col width="37.42578125" customWidth="1" style="86" min="7387" max="7387"/>
    <col width="13.5703125" customWidth="1" style="86" min="7388" max="7388"/>
    <col width="14.42578125" customWidth="1" style="86" min="7389" max="7389"/>
    <col width="8.42578125" bestFit="1" customWidth="1" style="86" min="7390" max="7390"/>
    <col width="16.85546875" customWidth="1" style="86" min="7391" max="7391"/>
    <col width="9.140625" customWidth="1" style="86" min="7392" max="7392"/>
    <col width="11.28515625" customWidth="1" style="86" min="7393" max="7393"/>
    <col width="9.140625" customWidth="1" style="86" min="7394" max="7642"/>
    <col width="37.42578125" customWidth="1" style="86" min="7643" max="7643"/>
    <col width="13.5703125" customWidth="1" style="86" min="7644" max="7644"/>
    <col width="14.42578125" customWidth="1" style="86" min="7645" max="7645"/>
    <col width="8.42578125" bestFit="1" customWidth="1" style="86" min="7646" max="7646"/>
    <col width="16.85546875" customWidth="1" style="86" min="7647" max="7647"/>
    <col width="9.140625" customWidth="1" style="86" min="7648" max="7648"/>
    <col width="11.28515625" customWidth="1" style="86" min="7649" max="7649"/>
    <col width="9.140625" customWidth="1" style="86" min="7650" max="7898"/>
    <col width="37.42578125" customWidth="1" style="86" min="7899" max="7899"/>
    <col width="13.5703125" customWidth="1" style="86" min="7900" max="7900"/>
    <col width="14.42578125" customWidth="1" style="86" min="7901" max="7901"/>
    <col width="8.42578125" bestFit="1" customWidth="1" style="86" min="7902" max="7902"/>
    <col width="16.85546875" customWidth="1" style="86" min="7903" max="7903"/>
    <col width="9.140625" customWidth="1" style="86" min="7904" max="7904"/>
    <col width="11.28515625" customWidth="1" style="86" min="7905" max="7905"/>
    <col width="9.140625" customWidth="1" style="86" min="7906" max="8154"/>
    <col width="37.42578125" customWidth="1" style="86" min="8155" max="8155"/>
    <col width="13.5703125" customWidth="1" style="86" min="8156" max="8156"/>
    <col width="14.42578125" customWidth="1" style="86" min="8157" max="8157"/>
    <col width="8.42578125" bestFit="1" customWidth="1" style="86" min="8158" max="8158"/>
    <col width="16.85546875" customWidth="1" style="86" min="8159" max="8159"/>
    <col width="9.140625" customWidth="1" style="86" min="8160" max="8160"/>
    <col width="11.28515625" customWidth="1" style="86" min="8161" max="8161"/>
    <col width="9.140625" customWidth="1" style="86" min="8162" max="8410"/>
    <col width="37.42578125" customWidth="1" style="86" min="8411" max="8411"/>
    <col width="13.5703125" customWidth="1" style="86" min="8412" max="8412"/>
    <col width="14.42578125" customWidth="1" style="86" min="8413" max="8413"/>
    <col width="8.42578125" bestFit="1" customWidth="1" style="86" min="8414" max="8414"/>
    <col width="16.85546875" customWidth="1" style="86" min="8415" max="8415"/>
    <col width="9.140625" customWidth="1" style="86" min="8416" max="8416"/>
    <col width="11.28515625" customWidth="1" style="86" min="8417" max="8417"/>
    <col width="9.140625" customWidth="1" style="86" min="8418" max="8666"/>
    <col width="37.42578125" customWidth="1" style="86" min="8667" max="8667"/>
    <col width="13.5703125" customWidth="1" style="86" min="8668" max="8668"/>
    <col width="14.42578125" customWidth="1" style="86" min="8669" max="8669"/>
    <col width="8.42578125" bestFit="1" customWidth="1" style="86" min="8670" max="8670"/>
    <col width="16.85546875" customWidth="1" style="86" min="8671" max="8671"/>
    <col width="9.140625" customWidth="1" style="86" min="8672" max="8672"/>
    <col width="11.28515625" customWidth="1" style="86" min="8673" max="8673"/>
    <col width="9.140625" customWidth="1" style="86" min="8674" max="8922"/>
    <col width="37.42578125" customWidth="1" style="86" min="8923" max="8923"/>
    <col width="13.5703125" customWidth="1" style="86" min="8924" max="8924"/>
    <col width="14.42578125" customWidth="1" style="86" min="8925" max="8925"/>
    <col width="8.42578125" bestFit="1" customWidth="1" style="86" min="8926" max="8926"/>
    <col width="16.85546875" customWidth="1" style="86" min="8927" max="8927"/>
    <col width="9.140625" customWidth="1" style="86" min="8928" max="8928"/>
    <col width="11.28515625" customWidth="1" style="86" min="8929" max="8929"/>
    <col width="9.140625" customWidth="1" style="86" min="8930" max="9178"/>
    <col width="37.42578125" customWidth="1" style="86" min="9179" max="9179"/>
    <col width="13.5703125" customWidth="1" style="86" min="9180" max="9180"/>
    <col width="14.42578125" customWidth="1" style="86" min="9181" max="9181"/>
    <col width="8.42578125" bestFit="1" customWidth="1" style="86" min="9182" max="9182"/>
    <col width="16.85546875" customWidth="1" style="86" min="9183" max="9183"/>
    <col width="9.140625" customWidth="1" style="86" min="9184" max="9184"/>
    <col width="11.28515625" customWidth="1" style="86" min="9185" max="9185"/>
    <col width="9.140625" customWidth="1" style="86" min="9186" max="9434"/>
    <col width="37.42578125" customWidth="1" style="86" min="9435" max="9435"/>
    <col width="13.5703125" customWidth="1" style="86" min="9436" max="9436"/>
    <col width="14.42578125" customWidth="1" style="86" min="9437" max="9437"/>
    <col width="8.42578125" bestFit="1" customWidth="1" style="86" min="9438" max="9438"/>
    <col width="16.85546875" customWidth="1" style="86" min="9439" max="9439"/>
    <col width="9.140625" customWidth="1" style="86" min="9440" max="9440"/>
    <col width="11.28515625" customWidth="1" style="86" min="9441" max="9441"/>
    <col width="9.140625" customWidth="1" style="86" min="9442" max="9690"/>
    <col width="37.42578125" customWidth="1" style="86" min="9691" max="9691"/>
    <col width="13.5703125" customWidth="1" style="86" min="9692" max="9692"/>
    <col width="14.42578125" customWidth="1" style="86" min="9693" max="9693"/>
    <col width="8.42578125" bestFit="1" customWidth="1" style="86" min="9694" max="9694"/>
    <col width="16.85546875" customWidth="1" style="86" min="9695" max="9695"/>
    <col width="9.140625" customWidth="1" style="86" min="9696" max="9696"/>
    <col width="11.28515625" customWidth="1" style="86" min="9697" max="9697"/>
    <col width="9.140625" customWidth="1" style="86" min="9698" max="9946"/>
    <col width="37.42578125" customWidth="1" style="86" min="9947" max="9947"/>
    <col width="13.5703125" customWidth="1" style="86" min="9948" max="9948"/>
    <col width="14.42578125" customWidth="1" style="86" min="9949" max="9949"/>
    <col width="8.42578125" bestFit="1" customWidth="1" style="86" min="9950" max="9950"/>
    <col width="16.85546875" customWidth="1" style="86" min="9951" max="9951"/>
    <col width="9.140625" customWidth="1" style="86" min="9952" max="9952"/>
    <col width="11.28515625" customWidth="1" style="86" min="9953" max="9953"/>
    <col width="9.140625" customWidth="1" style="86" min="9954" max="10202"/>
    <col width="37.42578125" customWidth="1" style="86" min="10203" max="10203"/>
    <col width="13.5703125" customWidth="1" style="86" min="10204" max="10204"/>
    <col width="14.42578125" customWidth="1" style="86" min="10205" max="10205"/>
    <col width="8.42578125" bestFit="1" customWidth="1" style="86" min="10206" max="10206"/>
    <col width="16.85546875" customWidth="1" style="86" min="10207" max="10207"/>
    <col width="9.140625" customWidth="1" style="86" min="10208" max="10208"/>
    <col width="11.28515625" customWidth="1" style="86" min="10209" max="10209"/>
    <col width="9.140625" customWidth="1" style="86" min="10210" max="10458"/>
    <col width="37.42578125" customWidth="1" style="86" min="10459" max="10459"/>
    <col width="13.5703125" customWidth="1" style="86" min="10460" max="10460"/>
    <col width="14.42578125" customWidth="1" style="86" min="10461" max="10461"/>
    <col width="8.42578125" bestFit="1" customWidth="1" style="86" min="10462" max="10462"/>
    <col width="16.85546875" customWidth="1" style="86" min="10463" max="10463"/>
    <col width="9.140625" customWidth="1" style="86" min="10464" max="10464"/>
    <col width="11.28515625" customWidth="1" style="86" min="10465" max="10465"/>
    <col width="9.140625" customWidth="1" style="86" min="10466" max="10714"/>
    <col width="37.42578125" customWidth="1" style="86" min="10715" max="10715"/>
    <col width="13.5703125" customWidth="1" style="86" min="10716" max="10716"/>
    <col width="14.42578125" customWidth="1" style="86" min="10717" max="10717"/>
    <col width="8.42578125" bestFit="1" customWidth="1" style="86" min="10718" max="10718"/>
    <col width="16.85546875" customWidth="1" style="86" min="10719" max="10719"/>
    <col width="9.140625" customWidth="1" style="86" min="10720" max="10720"/>
    <col width="11.28515625" customWidth="1" style="86" min="10721" max="10721"/>
    <col width="9.140625" customWidth="1" style="86" min="10722" max="10970"/>
    <col width="37.42578125" customWidth="1" style="86" min="10971" max="10971"/>
    <col width="13.5703125" customWidth="1" style="86" min="10972" max="10972"/>
    <col width="14.42578125" customWidth="1" style="86" min="10973" max="10973"/>
    <col width="8.42578125" bestFit="1" customWidth="1" style="86" min="10974" max="10974"/>
    <col width="16.85546875" customWidth="1" style="86" min="10975" max="10975"/>
    <col width="9.140625" customWidth="1" style="86" min="10976" max="10976"/>
    <col width="11.28515625" customWidth="1" style="86" min="10977" max="10977"/>
    <col width="9.140625" customWidth="1" style="86" min="10978" max="11226"/>
    <col width="37.42578125" customWidth="1" style="86" min="11227" max="11227"/>
    <col width="13.5703125" customWidth="1" style="86" min="11228" max="11228"/>
    <col width="14.42578125" customWidth="1" style="86" min="11229" max="11229"/>
    <col width="8.42578125" bestFit="1" customWidth="1" style="86" min="11230" max="11230"/>
    <col width="16.85546875" customWidth="1" style="86" min="11231" max="11231"/>
    <col width="9.140625" customWidth="1" style="86" min="11232" max="11232"/>
    <col width="11.28515625" customWidth="1" style="86" min="11233" max="11233"/>
    <col width="9.140625" customWidth="1" style="86" min="11234" max="11482"/>
    <col width="37.42578125" customWidth="1" style="86" min="11483" max="11483"/>
    <col width="13.5703125" customWidth="1" style="86" min="11484" max="11484"/>
    <col width="14.42578125" customWidth="1" style="86" min="11485" max="11485"/>
    <col width="8.42578125" bestFit="1" customWidth="1" style="86" min="11486" max="11486"/>
    <col width="16.85546875" customWidth="1" style="86" min="11487" max="11487"/>
    <col width="9.140625" customWidth="1" style="86" min="11488" max="11488"/>
    <col width="11.28515625" customWidth="1" style="86" min="11489" max="11489"/>
    <col width="9.140625" customWidth="1" style="86" min="11490" max="11738"/>
    <col width="37.42578125" customWidth="1" style="86" min="11739" max="11739"/>
    <col width="13.5703125" customWidth="1" style="86" min="11740" max="11740"/>
    <col width="14.42578125" customWidth="1" style="86" min="11741" max="11741"/>
    <col width="8.42578125" bestFit="1" customWidth="1" style="86" min="11742" max="11742"/>
    <col width="16.85546875" customWidth="1" style="86" min="11743" max="11743"/>
    <col width="9.140625" customWidth="1" style="86" min="11744" max="11744"/>
    <col width="11.28515625" customWidth="1" style="86" min="11745" max="11745"/>
    <col width="9.140625" customWidth="1" style="86" min="11746" max="11994"/>
    <col width="37.42578125" customWidth="1" style="86" min="11995" max="11995"/>
    <col width="13.5703125" customWidth="1" style="86" min="11996" max="11996"/>
    <col width="14.42578125" customWidth="1" style="86" min="11997" max="11997"/>
    <col width="8.42578125" bestFit="1" customWidth="1" style="86" min="11998" max="11998"/>
    <col width="16.85546875" customWidth="1" style="86" min="11999" max="11999"/>
    <col width="9.140625" customWidth="1" style="86" min="12000" max="12000"/>
    <col width="11.28515625" customWidth="1" style="86" min="12001" max="12001"/>
    <col width="9.140625" customWidth="1" style="86" min="12002" max="12250"/>
    <col width="37.42578125" customWidth="1" style="86" min="12251" max="12251"/>
    <col width="13.5703125" customWidth="1" style="86" min="12252" max="12252"/>
    <col width="14.42578125" customWidth="1" style="86" min="12253" max="12253"/>
    <col width="8.42578125" bestFit="1" customWidth="1" style="86" min="12254" max="12254"/>
    <col width="16.85546875" customWidth="1" style="86" min="12255" max="12255"/>
    <col width="9.140625" customWidth="1" style="86" min="12256" max="12256"/>
    <col width="11.28515625" customWidth="1" style="86" min="12257" max="12257"/>
    <col width="9.140625" customWidth="1" style="86" min="12258" max="12506"/>
    <col width="37.42578125" customWidth="1" style="86" min="12507" max="12507"/>
    <col width="13.5703125" customWidth="1" style="86" min="12508" max="12508"/>
    <col width="14.42578125" customWidth="1" style="86" min="12509" max="12509"/>
    <col width="8.42578125" bestFit="1" customWidth="1" style="86" min="12510" max="12510"/>
    <col width="16.85546875" customWidth="1" style="86" min="12511" max="12511"/>
    <col width="9.140625" customWidth="1" style="86" min="12512" max="12512"/>
    <col width="11.28515625" customWidth="1" style="86" min="12513" max="12513"/>
    <col width="9.140625" customWidth="1" style="86" min="12514" max="12762"/>
    <col width="37.42578125" customWidth="1" style="86" min="12763" max="12763"/>
    <col width="13.5703125" customWidth="1" style="86" min="12764" max="12764"/>
    <col width="14.42578125" customWidth="1" style="86" min="12765" max="12765"/>
    <col width="8.42578125" bestFit="1" customWidth="1" style="86" min="12766" max="12766"/>
    <col width="16.85546875" customWidth="1" style="86" min="12767" max="12767"/>
    <col width="9.140625" customWidth="1" style="86" min="12768" max="12768"/>
    <col width="11.28515625" customWidth="1" style="86" min="12769" max="12769"/>
    <col width="9.140625" customWidth="1" style="86" min="12770" max="13018"/>
    <col width="37.42578125" customWidth="1" style="86" min="13019" max="13019"/>
    <col width="13.5703125" customWidth="1" style="86" min="13020" max="13020"/>
    <col width="14.42578125" customWidth="1" style="86" min="13021" max="13021"/>
    <col width="8.42578125" bestFit="1" customWidth="1" style="86" min="13022" max="13022"/>
    <col width="16.85546875" customWidth="1" style="86" min="13023" max="13023"/>
    <col width="9.140625" customWidth="1" style="86" min="13024" max="13024"/>
    <col width="11.28515625" customWidth="1" style="86" min="13025" max="13025"/>
    <col width="9.140625" customWidth="1" style="86" min="13026" max="13274"/>
    <col width="37.42578125" customWidth="1" style="86" min="13275" max="13275"/>
    <col width="13.5703125" customWidth="1" style="86" min="13276" max="13276"/>
    <col width="14.42578125" customWidth="1" style="86" min="13277" max="13277"/>
    <col width="8.42578125" bestFit="1" customWidth="1" style="86" min="13278" max="13278"/>
    <col width="16.85546875" customWidth="1" style="86" min="13279" max="13279"/>
    <col width="9.140625" customWidth="1" style="86" min="13280" max="13280"/>
    <col width="11.28515625" customWidth="1" style="86" min="13281" max="13281"/>
    <col width="9.140625" customWidth="1" style="86" min="13282" max="13530"/>
    <col width="37.42578125" customWidth="1" style="86" min="13531" max="13531"/>
    <col width="13.5703125" customWidth="1" style="86" min="13532" max="13532"/>
    <col width="14.42578125" customWidth="1" style="86" min="13533" max="13533"/>
    <col width="8.42578125" bestFit="1" customWidth="1" style="86" min="13534" max="13534"/>
    <col width="16.85546875" customWidth="1" style="86" min="13535" max="13535"/>
    <col width="9.140625" customWidth="1" style="86" min="13536" max="13536"/>
    <col width="11.28515625" customWidth="1" style="86" min="13537" max="13537"/>
    <col width="9.140625" customWidth="1" style="86" min="13538" max="13786"/>
    <col width="37.42578125" customWidth="1" style="86" min="13787" max="13787"/>
    <col width="13.5703125" customWidth="1" style="86" min="13788" max="13788"/>
    <col width="14.42578125" customWidth="1" style="86" min="13789" max="13789"/>
    <col width="8.42578125" bestFit="1" customWidth="1" style="86" min="13790" max="13790"/>
    <col width="16.85546875" customWidth="1" style="86" min="13791" max="13791"/>
    <col width="9.140625" customWidth="1" style="86" min="13792" max="13792"/>
    <col width="11.28515625" customWidth="1" style="86" min="13793" max="13793"/>
    <col width="9.140625" customWidth="1" style="86" min="13794" max="14042"/>
    <col width="37.42578125" customWidth="1" style="86" min="14043" max="14043"/>
    <col width="13.5703125" customWidth="1" style="86" min="14044" max="14044"/>
    <col width="14.42578125" customWidth="1" style="86" min="14045" max="14045"/>
    <col width="8.42578125" bestFit="1" customWidth="1" style="86" min="14046" max="14046"/>
    <col width="16.85546875" customWidth="1" style="86" min="14047" max="14047"/>
    <col width="9.140625" customWidth="1" style="86" min="14048" max="14048"/>
    <col width="11.28515625" customWidth="1" style="86" min="14049" max="14049"/>
    <col width="9.140625" customWidth="1" style="86" min="14050" max="14298"/>
    <col width="37.42578125" customWidth="1" style="86" min="14299" max="14299"/>
    <col width="13.5703125" customWidth="1" style="86" min="14300" max="14300"/>
    <col width="14.42578125" customWidth="1" style="86" min="14301" max="14301"/>
    <col width="8.42578125" bestFit="1" customWidth="1" style="86" min="14302" max="14302"/>
    <col width="16.85546875" customWidth="1" style="86" min="14303" max="14303"/>
    <col width="9.140625" customWidth="1" style="86" min="14304" max="14304"/>
    <col width="11.28515625" customWidth="1" style="86" min="14305" max="14305"/>
    <col width="9.140625" customWidth="1" style="86" min="14306" max="14554"/>
    <col width="37.42578125" customWidth="1" style="86" min="14555" max="14555"/>
    <col width="13.5703125" customWidth="1" style="86" min="14556" max="14556"/>
    <col width="14.42578125" customWidth="1" style="86" min="14557" max="14557"/>
    <col width="8.42578125" bestFit="1" customWidth="1" style="86" min="14558" max="14558"/>
    <col width="16.85546875" customWidth="1" style="86" min="14559" max="14559"/>
    <col width="9.140625" customWidth="1" style="86" min="14560" max="14560"/>
    <col width="11.28515625" customWidth="1" style="86" min="14561" max="14561"/>
    <col width="9.140625" customWidth="1" style="86" min="14562" max="14810"/>
    <col width="37.42578125" customWidth="1" style="86" min="14811" max="14811"/>
    <col width="13.5703125" customWidth="1" style="86" min="14812" max="14812"/>
    <col width="14.42578125" customWidth="1" style="86" min="14813" max="14813"/>
    <col width="8.42578125" bestFit="1" customWidth="1" style="86" min="14814" max="14814"/>
    <col width="16.85546875" customWidth="1" style="86" min="14815" max="14815"/>
    <col width="9.140625" customWidth="1" style="86" min="14816" max="14816"/>
    <col width="11.28515625" customWidth="1" style="86" min="14817" max="14817"/>
    <col width="9.140625" customWidth="1" style="86" min="14818" max="15066"/>
    <col width="37.42578125" customWidth="1" style="86" min="15067" max="15067"/>
    <col width="13.5703125" customWidth="1" style="86" min="15068" max="15068"/>
    <col width="14.42578125" customWidth="1" style="86" min="15069" max="15069"/>
    <col width="8.42578125" bestFit="1" customWidth="1" style="86" min="15070" max="15070"/>
    <col width="16.85546875" customWidth="1" style="86" min="15071" max="15071"/>
    <col width="9.140625" customWidth="1" style="86" min="15072" max="15072"/>
    <col width="11.28515625" customWidth="1" style="86" min="15073" max="15073"/>
    <col width="9.140625" customWidth="1" style="86" min="15074" max="15322"/>
    <col width="37.42578125" customWidth="1" style="86" min="15323" max="15323"/>
    <col width="13.5703125" customWidth="1" style="86" min="15324" max="15324"/>
    <col width="14.42578125" customWidth="1" style="86" min="15325" max="15325"/>
    <col width="8.42578125" bestFit="1" customWidth="1" style="86" min="15326" max="15326"/>
    <col width="16.85546875" customWidth="1" style="86" min="15327" max="15327"/>
    <col width="9.140625" customWidth="1" style="86" min="15328" max="15328"/>
    <col width="11.28515625" customWidth="1" style="86" min="15329" max="15329"/>
    <col width="9.140625" customWidth="1" style="86" min="15330" max="15578"/>
    <col width="37.42578125" customWidth="1" style="86" min="15579" max="15579"/>
    <col width="13.5703125" customWidth="1" style="86" min="15580" max="15580"/>
    <col width="14.42578125" customWidth="1" style="86" min="15581" max="15581"/>
    <col width="8.42578125" bestFit="1" customWidth="1" style="86" min="15582" max="15582"/>
    <col width="16.85546875" customWidth="1" style="86" min="15583" max="15583"/>
    <col width="9.140625" customWidth="1" style="86" min="15584" max="15584"/>
    <col width="11.28515625" customWidth="1" style="86" min="15585" max="15585"/>
    <col width="9.140625" customWidth="1" style="86" min="15586" max="15834"/>
    <col width="37.42578125" customWidth="1" style="86" min="15835" max="15835"/>
    <col width="13.5703125" customWidth="1" style="86" min="15836" max="15836"/>
    <col width="14.42578125" customWidth="1" style="86" min="15837" max="15837"/>
    <col width="8.42578125" bestFit="1" customWidth="1" style="86" min="15838" max="15838"/>
    <col width="16.85546875" customWidth="1" style="86" min="15839" max="15839"/>
    <col width="9.140625" customWidth="1" style="86" min="15840" max="15840"/>
    <col width="11.28515625" customWidth="1" style="86" min="15841" max="15841"/>
    <col width="9.140625" customWidth="1" style="86" min="15842" max="16090"/>
    <col width="37.42578125" customWidth="1" style="86" min="16091" max="16091"/>
    <col width="13.5703125" customWidth="1" style="86" min="16092" max="16092"/>
    <col width="14.42578125" customWidth="1" style="86" min="16093" max="16093"/>
    <col width="8.42578125" bestFit="1" customWidth="1" style="86" min="16094" max="16094"/>
    <col width="16.85546875" customWidth="1" style="86" min="16095" max="16095"/>
    <col width="9.140625" customWidth="1" style="86" min="16096" max="16096"/>
    <col width="11.28515625" customWidth="1" style="86" min="16097" max="16097"/>
    <col width="9.140625" customWidth="1" style="86" min="16098" max="16384"/>
  </cols>
  <sheetData>
    <row r="1" ht="25.9" customHeight="1">
      <c r="A1" s="329" t="inlineStr">
        <is>
          <t xml:space="preserve">RC COSTING SHEET </t>
        </is>
      </c>
      <c r="B1" s="575" t="n"/>
      <c r="C1" s="575" t="n"/>
      <c r="D1" s="575" t="n"/>
      <c r="E1" s="575" t="n"/>
      <c r="F1" s="576" t="n"/>
      <c r="G1" s="84" t="n"/>
      <c r="H1" s="359" t="n"/>
      <c r="I1" s="359" t="n"/>
      <c r="J1" s="359" t="n"/>
      <c r="K1" s="359" t="n"/>
      <c r="L1" s="359" t="n"/>
      <c r="M1" s="359" t="n"/>
      <c r="N1" s="359" t="n"/>
      <c r="O1" s="359" t="n"/>
      <c r="P1" s="359" t="n"/>
      <c r="Q1" s="359" t="n"/>
      <c r="R1" s="359" t="n"/>
      <c r="S1" s="359" t="n"/>
      <c r="T1" s="359" t="n"/>
      <c r="U1" s="359" t="n"/>
      <c r="V1" s="359" t="n"/>
      <c r="W1" s="359" t="n"/>
      <c r="X1" s="359" t="n"/>
      <c r="Y1" s="359" t="n"/>
      <c r="Z1" s="359" t="n"/>
      <c r="AA1" s="359" t="n"/>
      <c r="AB1" s="359" t="n"/>
      <c r="AC1" s="359" t="n"/>
      <c r="AD1" s="359" t="n"/>
      <c r="AE1" s="359" t="n"/>
      <c r="AF1" s="359" t="n"/>
      <c r="AG1" s="359" t="n"/>
      <c r="AH1" s="359" t="n"/>
      <c r="AI1" s="359" t="n"/>
    </row>
    <row r="2" ht="26.45" customHeight="1">
      <c r="A2" s="88" t="inlineStr">
        <is>
          <t>PRODUCT NAME:-</t>
        </is>
      </c>
      <c r="B2" s="91">
        <f>IFERROR('BOM RIG ADAPTOR'!E3, "")</f>
        <v/>
      </c>
      <c r="C2" s="577" t="n"/>
      <c r="D2" s="578" t="n"/>
      <c r="E2" s="91" t="inlineStr">
        <is>
          <t>RFQ Ref.</t>
        </is>
      </c>
      <c r="F2" s="89" t="n"/>
      <c r="G2" s="359" t="n"/>
      <c r="H2" s="359" t="n"/>
      <c r="I2" s="359" t="n"/>
      <c r="J2" s="359" t="n"/>
      <c r="K2" s="359" t="n"/>
      <c r="L2" s="359" t="n"/>
      <c r="M2" s="359" t="n"/>
      <c r="N2" s="359" t="n"/>
      <c r="O2" s="359" t="n"/>
      <c r="P2" s="359" t="n"/>
      <c r="Q2" s="359" t="n"/>
      <c r="R2" s="359" t="n"/>
      <c r="S2" s="359" t="n"/>
      <c r="T2" s="359" t="n"/>
      <c r="U2" s="359" t="n"/>
      <c r="V2" s="359" t="n"/>
      <c r="W2" s="359" t="n"/>
      <c r="X2" s="474" t="n"/>
      <c r="Y2" s="474" t="inlineStr">
        <is>
          <t>As per spec STD000910-4.3</t>
        </is>
      </c>
      <c r="Z2" s="474" t="n"/>
      <c r="AA2" s="474" t="n"/>
      <c r="AB2" s="474" t="n"/>
      <c r="AC2" s="474" t="n"/>
      <c r="AD2" s="475" t="inlineStr">
        <is>
          <t xml:space="preserve">Akzonobel/Jotun </t>
        </is>
      </c>
      <c r="AE2" s="578" t="n"/>
      <c r="AF2" s="476" t="n"/>
      <c r="AG2" s="476" t="n"/>
      <c r="AH2" s="474" t="n"/>
      <c r="AI2" s="477" t="n"/>
    </row>
    <row r="3" ht="24.6" customHeight="1" thickBot="1">
      <c r="A3" s="88" t="inlineStr">
        <is>
          <t>ITEM DRG NO</t>
        </is>
      </c>
      <c r="B3" s="91">
        <f>IFERROR('BOM RIG ADAPTOR'!C3, "")</f>
        <v/>
      </c>
      <c r="C3" s="577" t="n"/>
      <c r="D3" s="578" t="n"/>
      <c r="E3" s="91" t="inlineStr">
        <is>
          <t>MOQ</t>
        </is>
      </c>
      <c r="F3" s="91">
        <f>IFERROR('BOM RIG ADAPTOR'!F3, "")</f>
        <v/>
      </c>
      <c r="G3" s="84" t="n"/>
      <c r="H3" s="359" t="n"/>
      <c r="I3" s="359" t="n"/>
      <c r="J3" s="359" t="n"/>
      <c r="K3" s="359" t="n"/>
      <c r="L3" s="359" t="n"/>
      <c r="M3" s="359" t="n"/>
      <c r="N3" s="359" t="n"/>
      <c r="O3" s="359" t="n"/>
      <c r="P3" s="359" t="n"/>
      <c r="Q3" s="359" t="n"/>
      <c r="R3" s="359" t="n"/>
      <c r="S3" s="359" t="n"/>
      <c r="T3" s="359" t="n"/>
      <c r="U3" s="359" t="n"/>
      <c r="V3" s="359" t="n"/>
      <c r="W3" s="359" t="n"/>
      <c r="X3" s="478" t="n"/>
      <c r="Y3" s="478" t="n"/>
      <c r="Z3" s="478" t="n"/>
      <c r="AA3" s="478" t="n"/>
      <c r="AB3" s="478" t="n"/>
      <c r="AC3" s="478" t="inlineStr">
        <is>
          <t>Total Area</t>
        </is>
      </c>
      <c r="AD3" s="479">
        <f>IFERROR('BOM RIG ADAPTOR'!AC3, "")</f>
        <v/>
      </c>
      <c r="AE3" s="479" t="n"/>
      <c r="AF3" s="478" t="inlineStr">
        <is>
          <t>SQM</t>
        </is>
      </c>
      <c r="AG3" s="478" t="inlineStr">
        <is>
          <t xml:space="preserve">As per drawing </t>
        </is>
      </c>
      <c r="AH3" s="359" t="n"/>
      <c r="AI3" s="477" t="n"/>
    </row>
    <row r="4" ht="30.75" customHeight="1" thickBot="1">
      <c r="A4" s="88" t="inlineStr">
        <is>
          <t xml:space="preserve">Total Net WT as per Drawing </t>
        </is>
      </c>
      <c r="B4" s="480">
        <f>IFERROR('BOM RIG ADAPTOR'!H3, "")</f>
        <v/>
      </c>
      <c r="C4" s="577" t="n"/>
      <c r="D4" s="578" t="n"/>
      <c r="E4" s="92" t="n"/>
      <c r="F4" s="92" t="n"/>
      <c r="G4" s="84" t="n"/>
      <c r="H4" s="359" t="n"/>
      <c r="I4" s="359" t="n"/>
      <c r="J4" s="359" t="n"/>
      <c r="K4" s="359" t="n"/>
      <c r="L4" s="359" t="n"/>
      <c r="M4" s="359" t="n"/>
      <c r="N4" s="359" t="n"/>
      <c r="O4" s="359" t="n"/>
      <c r="P4" s="359" t="n"/>
      <c r="Q4" s="359" t="n"/>
      <c r="R4" s="359" t="n"/>
      <c r="S4" s="359" t="n"/>
      <c r="T4" s="359" t="n"/>
      <c r="U4" s="359" t="n"/>
      <c r="V4" s="359" t="n"/>
      <c r="W4" s="359" t="n"/>
      <c r="X4" s="481" t="n"/>
      <c r="Y4" s="482" t="inlineStr">
        <is>
          <t>Paint Details</t>
        </is>
      </c>
      <c r="Z4" s="482" t="inlineStr">
        <is>
          <t>DFT</t>
        </is>
      </c>
      <c r="AA4" s="482" t="inlineStr">
        <is>
          <t>Tho. Coverage
(Area m2)</t>
        </is>
      </c>
      <c r="AB4" s="482" t="inlineStr">
        <is>
          <t>Wastage factor</t>
        </is>
      </c>
      <c r="AC4" s="482" t="inlineStr">
        <is>
          <t>Actual Coverage 
(Area m2)</t>
        </is>
      </c>
      <c r="AD4" s="482" t="inlineStr">
        <is>
          <t>Req Paint 
(Litre)</t>
        </is>
      </c>
      <c r="AE4" s="482" t="inlineStr">
        <is>
          <t>MOQ Qty.</t>
        </is>
      </c>
      <c r="AF4" s="482" t="inlineStr">
        <is>
          <t>Rate of paint</t>
        </is>
      </c>
      <c r="AG4" s="483" t="inlineStr">
        <is>
          <t xml:space="preserve">Actual Amount </t>
        </is>
      </c>
      <c r="AH4" s="484" t="inlineStr">
        <is>
          <t xml:space="preserve">MOQ Amount </t>
        </is>
      </c>
      <c r="AI4" s="477" t="n"/>
    </row>
    <row r="5" ht="21.75" customHeight="1" thickBot="1">
      <c r="A5" s="332" t="inlineStr">
        <is>
          <t>COSTBREAKUP OF COMPONENT (QTY-01 No.)</t>
        </is>
      </c>
      <c r="B5" s="579" t="n"/>
      <c r="C5" s="579" t="n"/>
      <c r="D5" s="579" t="n"/>
      <c r="E5" s="579" t="n"/>
      <c r="F5" s="580" t="n"/>
      <c r="G5" s="93" t="n"/>
      <c r="H5" s="359" t="n"/>
      <c r="I5" s="359" t="n"/>
      <c r="J5" s="359" t="n"/>
      <c r="K5" s="359" t="n"/>
      <c r="L5" s="359" t="n"/>
      <c r="M5" s="359" t="n"/>
      <c r="N5" s="359" t="n"/>
      <c r="O5" s="359" t="n"/>
      <c r="P5" s="359" t="n"/>
      <c r="Q5" s="359" t="n"/>
      <c r="R5" s="359" t="n"/>
      <c r="S5" s="359" t="n"/>
      <c r="T5" s="359" t="n"/>
      <c r="U5" s="359" t="n"/>
      <c r="V5" s="359" t="n"/>
      <c r="W5" s="359" t="n"/>
      <c r="X5" s="487" t="inlineStr">
        <is>
          <t xml:space="preserve">Primer </t>
        </is>
      </c>
      <c r="Y5" s="488" t="inlineStr">
        <is>
          <t>Intergard 345</t>
        </is>
      </c>
      <c r="Z5" s="489" t="n">
        <v>150</v>
      </c>
      <c r="AA5" s="489">
        <f>IFERROR(125*5.6/Z5, "")</f>
        <v/>
      </c>
      <c r="AB5" s="490" t="n">
        <v>0.55</v>
      </c>
      <c r="AC5" s="491">
        <f>IFERROR(AA5*(100%-AB5), "")</f>
        <v/>
      </c>
      <c r="AD5" s="491">
        <f>IFERROR((1/AC5)*$AD$3, "")</f>
        <v/>
      </c>
      <c r="AE5" s="491" t="n">
        <v>20</v>
      </c>
      <c r="AF5" s="492" t="n">
        <v>1000</v>
      </c>
      <c r="AG5" s="493">
        <f>IFERROR(AF5*AD5, "")</f>
        <v/>
      </c>
      <c r="AH5" s="494">
        <f>IFERROR(AF5*AE5, "")</f>
        <v/>
      </c>
      <c r="AI5" s="477" t="n"/>
    </row>
    <row r="6" ht="28.5" customHeight="1" thickBot="1">
      <c r="A6" s="335" t="inlineStr">
        <is>
          <t>RAW MATERIAL COST</t>
        </is>
      </c>
      <c r="B6" s="573" t="n"/>
      <c r="C6" s="573" t="n"/>
      <c r="D6" s="573" t="n"/>
      <c r="E6" s="573" t="n"/>
      <c r="F6" s="574" t="n"/>
      <c r="G6" s="93" t="n"/>
      <c r="H6" s="359" t="n"/>
      <c r="I6" s="359" t="n"/>
      <c r="J6" s="359" t="n"/>
      <c r="K6" s="270" t="inlineStr">
        <is>
          <t>S.No</t>
        </is>
      </c>
      <c r="L6" s="270" t="inlineStr">
        <is>
          <t xml:space="preserve">Profile </t>
        </is>
      </c>
      <c r="M6" s="270" t="inlineStr">
        <is>
          <t>Size 
(mm)</t>
        </is>
      </c>
      <c r="N6" s="270" t="inlineStr">
        <is>
          <t xml:space="preserve">Material </t>
        </is>
      </c>
      <c r="O6" s="274" t="inlineStr">
        <is>
          <t xml:space="preserve">Net 
weight kg </t>
        </is>
      </c>
      <c r="P6" s="270" t="inlineStr">
        <is>
          <t>Gross 
Weight kg</t>
        </is>
      </c>
      <c r="Q6" s="495" t="inlineStr">
        <is>
          <t xml:space="preserve">MOQ Weight </t>
        </is>
      </c>
      <c r="R6" s="496" t="inlineStr">
        <is>
          <t>Cal. Gross Wt</t>
        </is>
      </c>
      <c r="S6" s="281" t="inlineStr">
        <is>
          <t>Scrap %</t>
        </is>
      </c>
      <c r="T6" s="359" t="n"/>
      <c r="U6" s="359" t="n"/>
      <c r="V6" s="359" t="n"/>
      <c r="W6" s="359" t="n"/>
      <c r="X6" s="497" t="inlineStr">
        <is>
          <t xml:space="preserve">Paint </t>
        </is>
      </c>
      <c r="Y6" s="498" t="inlineStr">
        <is>
          <t>Interthane 990 (Ral 9016)</t>
        </is>
      </c>
      <c r="Z6" s="489" t="n">
        <v>75</v>
      </c>
      <c r="AA6" s="499">
        <f>IFERROR(50*11.4/Z6, "")</f>
        <v/>
      </c>
      <c r="AB6" s="490" t="n">
        <v>0.55</v>
      </c>
      <c r="AC6" s="500">
        <f>IFERROR(AA6*(100%-AB6), "")</f>
        <v/>
      </c>
      <c r="AD6" s="491">
        <f>IFERROR((1/AC6)*$AD$3, "")</f>
        <v/>
      </c>
      <c r="AE6" s="491" t="n">
        <v>20</v>
      </c>
      <c r="AF6" s="492" t="n">
        <v>800</v>
      </c>
      <c r="AG6" s="493">
        <f>IFERROR(AF6*AD6, "")</f>
        <v/>
      </c>
      <c r="AH6" s="494">
        <f>IFERROR(AF6*AE6, "")</f>
        <v/>
      </c>
      <c r="AI6" s="477" t="n"/>
    </row>
    <row r="7" ht="27" customHeight="1" thickBot="1">
      <c r="A7" s="94" t="inlineStr">
        <is>
          <t>SPEC</t>
        </is>
      </c>
      <c r="B7" s="279" t="n"/>
      <c r="C7" s="95" t="n"/>
      <c r="D7" s="95">
        <f>IFERROR(N7, "")</f>
        <v/>
      </c>
      <c r="E7" s="95" t="inlineStr">
        <is>
          <t>IS2062: E250A
 Block</t>
        </is>
      </c>
      <c r="F7" s="95" t="inlineStr">
        <is>
          <t>IS2062: E250A
 Plate</t>
        </is>
      </c>
      <c r="G7" s="93" t="n"/>
      <c r="H7" s="359" t="n"/>
      <c r="I7" s="359" t="n"/>
      <c r="J7" s="359" t="n"/>
      <c r="K7" s="501" t="n">
        <v>1</v>
      </c>
      <c r="L7" s="158" t="inlineStr">
        <is>
          <t>Pipe</t>
        </is>
      </c>
      <c r="M7" s="253" t="inlineStr">
        <is>
          <t>OD 355.6 x 19.05 thk</t>
        </is>
      </c>
      <c r="N7" s="158" t="inlineStr">
        <is>
          <t>ASTM A106 GR.B</t>
        </is>
      </c>
      <c r="O7" s="502">
        <f>IFERROR('BOM RIG ADAPTOR'!I4, "")</f>
        <v/>
      </c>
      <c r="P7" s="503">
        <f>IFERROR('BOM RIG ADAPTOR'!O4, "")</f>
        <v/>
      </c>
      <c r="Q7" s="503">
        <f>IFERROR(158.11*6, "")</f>
        <v/>
      </c>
      <c r="R7" s="278">
        <f>IFERROR(IF(Q7&gt;P7,Q7,IF(Q7&lt;P7,P7)), "")</f>
        <v/>
      </c>
      <c r="S7" s="282">
        <f>IFERROR((R7-O7)/R7, "")</f>
        <v/>
      </c>
      <c r="T7" s="359" t="n"/>
      <c r="U7" s="282" t="n"/>
      <c r="V7" s="282" t="n"/>
      <c r="W7" s="359" t="n"/>
      <c r="X7" s="497" t="inlineStr">
        <is>
          <t xml:space="preserve">Thinner </t>
        </is>
      </c>
      <c r="Y7" s="497" t="n"/>
      <c r="Z7" s="497" t="n"/>
      <c r="AA7" s="500" t="n"/>
      <c r="AB7" s="504" t="n"/>
      <c r="AC7" s="500" t="n"/>
      <c r="AD7" s="505">
        <f>IFERROR(SUM(AD5:AD6)*0.3, "")</f>
        <v/>
      </c>
      <c r="AE7" s="505" t="n">
        <v>20</v>
      </c>
      <c r="AF7" s="474" t="n">
        <v>200</v>
      </c>
      <c r="AG7" s="493">
        <f>IFERROR(AF7*AD7, "")</f>
        <v/>
      </c>
      <c r="AH7" s="494">
        <f>IFERROR(AF7*AE7, "")</f>
        <v/>
      </c>
      <c r="AI7" s="477" t="n"/>
    </row>
    <row r="8" ht="17.25" customHeight="1" thickBot="1">
      <c r="A8" s="96" t="inlineStr">
        <is>
          <t>GROSS WT. (KG)</t>
        </is>
      </c>
      <c r="B8" s="97" t="n"/>
      <c r="C8" s="272" t="n"/>
      <c r="D8" s="97">
        <f>IFERROR(R7, "")</f>
        <v/>
      </c>
      <c r="E8" s="97">
        <f>IFERROR(R8, "")</f>
        <v/>
      </c>
      <c r="F8" s="98">
        <f>IFERROR(SUM(R9:R12), "")</f>
        <v/>
      </c>
      <c r="G8" s="93">
        <f>IFERROR(SUM(B8:F8), "")</f>
        <v/>
      </c>
      <c r="H8" s="359" t="n"/>
      <c r="I8" s="359" t="n"/>
      <c r="J8" s="359" t="n"/>
      <c r="K8" s="501" t="n">
        <v>2</v>
      </c>
      <c r="L8" s="158" t="inlineStr">
        <is>
          <t xml:space="preserve">Block </t>
        </is>
      </c>
      <c r="M8" s="252" t="n">
        <v>180</v>
      </c>
      <c r="N8" s="158" t="inlineStr">
        <is>
          <t>IS2062: E250A</t>
        </is>
      </c>
      <c r="O8" s="502">
        <f>IFERROR('BOM RIG ADAPTOR'!I5, "")</f>
        <v/>
      </c>
      <c r="P8" s="503">
        <f>IFERROR('BOM RIG ADAPTOR'!O5, "")</f>
        <v/>
      </c>
      <c r="Q8" s="503">
        <f>IFERROR(M8*1500*3000*0.00000785*1/8, "")</f>
        <v/>
      </c>
      <c r="R8" s="278">
        <f>IFERROR(IF(Q8&gt;P8,Q8,IF(Q8&lt;P8,P8)), "")</f>
        <v/>
      </c>
      <c r="S8" s="282">
        <f>IFERROR((R8-O8)/R8, "")</f>
        <v/>
      </c>
      <c r="T8" s="359" t="n"/>
      <c r="U8" s="282" t="n"/>
      <c r="V8" s="282" t="n"/>
      <c r="W8" s="359" t="n"/>
      <c r="X8" s="506" t="inlineStr">
        <is>
          <t xml:space="preserve">Total </t>
        </is>
      </c>
      <c r="Y8" s="507" t="n"/>
      <c r="Z8" s="507" t="n"/>
      <c r="AA8" s="508" t="n"/>
      <c r="AB8" s="508" t="n"/>
      <c r="AC8" s="508" t="n"/>
      <c r="AD8" s="509">
        <f>IFERROR(SUM(AD5:AD7), "")</f>
        <v/>
      </c>
      <c r="AE8" s="509" t="n"/>
      <c r="AF8" s="508" t="n"/>
      <c r="AG8" s="510">
        <f>IFERROR(SUM(AG5:AG7), "")</f>
        <v/>
      </c>
      <c r="AH8" s="511">
        <f>IFERROR(SUM(AH5:AH7), "")</f>
        <v/>
      </c>
      <c r="AI8" s="477" t="n"/>
    </row>
    <row r="9" ht="18" customHeight="1">
      <c r="A9" s="102" t="inlineStr">
        <is>
          <t>NET WT (KG)</t>
        </is>
      </c>
      <c r="B9" s="100" t="n"/>
      <c r="C9" s="100" t="n"/>
      <c r="D9" s="100">
        <f>IFERROR(O7, "")</f>
        <v/>
      </c>
      <c r="E9" s="100">
        <f>IFERROR(O8, "")</f>
        <v/>
      </c>
      <c r="F9" s="101">
        <f>IFERROR(SUM(O9:O12), "")</f>
        <v/>
      </c>
      <c r="G9" s="93">
        <f>IFERROR(SUM(B9:F9), "")</f>
        <v/>
      </c>
      <c r="H9" s="359" t="n"/>
      <c r="I9" s="359" t="n"/>
      <c r="J9" s="359" t="n"/>
      <c r="K9" s="501" t="n">
        <v>3</v>
      </c>
      <c r="L9" s="158" t="inlineStr">
        <is>
          <t xml:space="preserve">Plate </t>
        </is>
      </c>
      <c r="M9" s="252" t="n">
        <v>40</v>
      </c>
      <c r="N9" s="158" t="inlineStr">
        <is>
          <t>IS2062: E250A</t>
        </is>
      </c>
      <c r="O9" s="502">
        <f>IFERROR('BOM RIG ADAPTOR'!I6, "")</f>
        <v/>
      </c>
      <c r="P9" s="503">
        <f>IFERROR('BOM RIG ADAPTOR'!O6, "")</f>
        <v/>
      </c>
      <c r="Q9" s="503">
        <f>IFERROR(M9*1500*3000*0.00000785*1/2, "")</f>
        <v/>
      </c>
      <c r="R9" s="278">
        <f>IFERROR(IF(Q9&gt;P9,Q9,IF(Q9&lt;P9,P9)), "")</f>
        <v/>
      </c>
      <c r="S9" s="282">
        <f>IFERROR((R9-O9)/R9, "")</f>
        <v/>
      </c>
      <c r="T9" s="359" t="n"/>
      <c r="U9" s="282" t="n"/>
      <c r="V9" s="282" t="n"/>
      <c r="W9" s="359" t="n"/>
      <c r="X9" s="488" t="n"/>
      <c r="Y9" s="492" t="n"/>
      <c r="Z9" s="492" t="n"/>
      <c r="AA9" s="492" t="n"/>
      <c r="AB9" s="492" t="n"/>
      <c r="AC9" s="487" t="inlineStr">
        <is>
          <t>Paint Applying Cost (Labour and Consuables)</t>
        </is>
      </c>
      <c r="AD9" s="581" t="n"/>
      <c r="AE9" s="581" t="n"/>
      <c r="AF9" s="582" t="n"/>
      <c r="AG9" s="514">
        <f>IFERROR(AD3*500, "")</f>
        <v/>
      </c>
      <c r="AH9" s="494">
        <f>IFERROR(AD3*500, "")</f>
        <v/>
      </c>
      <c r="AI9" s="477" t="inlineStr">
        <is>
          <t>`@500 SQM</t>
        </is>
      </c>
    </row>
    <row r="10" ht="15.75" customHeight="1">
      <c r="A10" s="102" t="inlineStr">
        <is>
          <t>SCRAP (KG)</t>
        </is>
      </c>
      <c r="B10" s="103" t="n"/>
      <c r="C10" s="103" t="n"/>
      <c r="D10" s="103">
        <f>IFERROR((D8-D9)*85%, "")</f>
        <v/>
      </c>
      <c r="E10" s="103">
        <f>IFERROR((E8-E9)*85%, "")</f>
        <v/>
      </c>
      <c r="F10" s="103">
        <f>IFERROR((F8-F9)*85%, "")</f>
        <v/>
      </c>
      <c r="G10" s="104">
        <f>IFERROR((G8-G9)/G8, "")</f>
        <v/>
      </c>
      <c r="H10" s="359" t="n"/>
      <c r="I10" s="359" t="n"/>
      <c r="J10" s="359" t="n"/>
      <c r="K10" s="501" t="n">
        <v>4</v>
      </c>
      <c r="L10" s="158" t="inlineStr">
        <is>
          <t xml:space="preserve">Plate </t>
        </is>
      </c>
      <c r="M10" s="269" t="n">
        <v>32</v>
      </c>
      <c r="N10" s="158" t="inlineStr">
        <is>
          <t>IS2062: E250A</t>
        </is>
      </c>
      <c r="O10" s="502">
        <f>IFERROR('BOM RIG ADAPTOR'!I7, "")</f>
        <v/>
      </c>
      <c r="P10" s="503">
        <f>IFERROR('BOM RIG ADAPTOR'!O7, "")</f>
        <v/>
      </c>
      <c r="Q10" s="503">
        <f>IFERROR(M10*1500*3000*0.00000785*1/2, "")</f>
        <v/>
      </c>
      <c r="R10" s="278">
        <f>IFERROR(IF(Q10&gt;P10,Q10,IF(Q10&lt;P10,P10)), "")</f>
        <v/>
      </c>
      <c r="S10" s="282">
        <f>IFERROR((R10-O10)/R10, "")</f>
        <v/>
      </c>
      <c r="T10" s="359" t="n"/>
      <c r="U10" s="282" t="n"/>
      <c r="V10" s="282" t="n"/>
      <c r="W10" s="359" t="n"/>
      <c r="X10" s="497" t="inlineStr">
        <is>
          <t xml:space="preserve">Total Paint Cost </t>
        </is>
      </c>
      <c r="Y10" s="578" t="n"/>
      <c r="Z10" s="474" t="n"/>
      <c r="AA10" s="474" t="n"/>
      <c r="AB10" s="474" t="n"/>
      <c r="AC10" s="474" t="n"/>
      <c r="AD10" s="474" t="n"/>
      <c r="AE10" s="474" t="n"/>
      <c r="AF10" s="474" t="n"/>
      <c r="AG10" s="515">
        <f>IFERROR(AG8+AG9, "")</f>
        <v/>
      </c>
      <c r="AH10" s="516">
        <f>IFERROR(AH8+AH9, "")</f>
        <v/>
      </c>
      <c r="AI10" s="477" t="n"/>
    </row>
    <row r="11" ht="16.5" customHeight="1" thickBot="1">
      <c r="A11" s="105" t="inlineStr">
        <is>
          <t>RM RATE (RS/KG)</t>
        </is>
      </c>
      <c r="B11" s="517" t="n"/>
      <c r="C11" s="517" t="n"/>
      <c r="D11" s="517" t="n">
        <v>120</v>
      </c>
      <c r="E11" s="517" t="n">
        <v>95</v>
      </c>
      <c r="F11" s="517" t="n">
        <v>75</v>
      </c>
      <c r="G11" s="93">
        <f>IFERROR(SUMPRODUCT(B11:F11,B8:F8), "")</f>
        <v/>
      </c>
      <c r="H11" s="518" t="n"/>
      <c r="I11" s="518" t="n"/>
      <c r="J11" s="518" t="n"/>
      <c r="K11" s="501" t="n">
        <v>5</v>
      </c>
      <c r="L11" s="158" t="inlineStr">
        <is>
          <t xml:space="preserve">Plate </t>
        </is>
      </c>
      <c r="M11" s="252" t="n">
        <v>25</v>
      </c>
      <c r="N11" s="158" t="inlineStr">
        <is>
          <t>IS2062: E250A</t>
        </is>
      </c>
      <c r="O11" s="502">
        <f>IFERROR('BOM RIG ADAPTOR'!I8, "")</f>
        <v/>
      </c>
      <c r="P11" s="503">
        <f>IFERROR('BOM RIG ADAPTOR'!O8, "")</f>
        <v/>
      </c>
      <c r="Q11" s="503">
        <f>IFERROR(M11*1500*3000*0.00000785*1/2, "")</f>
        <v/>
      </c>
      <c r="R11" s="278">
        <f>IFERROR(IF(Q11&gt;P11,Q11,IF(Q11&lt;P11,P11)), "")</f>
        <v/>
      </c>
      <c r="S11" s="282">
        <f>IFERROR((R11-O11)/R11, "")</f>
        <v/>
      </c>
      <c r="T11" s="359" t="n"/>
      <c r="U11" s="282" t="n"/>
      <c r="V11" s="282" t="n"/>
      <c r="W11" s="359" t="n"/>
      <c r="X11" s="519" t="inlineStr">
        <is>
          <t>Trail &amp; Extra paint touch up cost (25%)</t>
        </is>
      </c>
      <c r="Y11" s="580" t="n"/>
      <c r="Z11" s="478" t="n"/>
      <c r="AA11" s="478" t="n"/>
      <c r="AB11" s="478" t="n"/>
      <c r="AC11" s="478" t="n"/>
      <c r="AD11" s="478" t="n"/>
      <c r="AE11" s="478" t="n"/>
      <c r="AF11" s="520" t="n">
        <v>0.25</v>
      </c>
      <c r="AG11" s="521">
        <f>IFERROR(AG10*AF11, "")</f>
        <v/>
      </c>
      <c r="AH11" s="522">
        <f>IFERROR(AH10*AF11, "")</f>
        <v/>
      </c>
      <c r="AI11" s="477" t="n"/>
    </row>
    <row r="12" ht="16.5" customHeight="1" thickBot="1">
      <c r="A12" s="102" t="inlineStr">
        <is>
          <t>SCRAP RATE (RS/KG)</t>
        </is>
      </c>
      <c r="B12" s="523" t="n"/>
      <c r="C12" s="523" t="n"/>
      <c r="D12" s="523" t="n">
        <v>33</v>
      </c>
      <c r="E12" s="523" t="n">
        <v>33</v>
      </c>
      <c r="F12" s="523" t="n">
        <v>33</v>
      </c>
      <c r="G12" s="93" t="n"/>
      <c r="H12" s="359" t="n"/>
      <c r="I12" s="359" t="n"/>
      <c r="J12" s="359" t="n"/>
      <c r="K12" s="501" t="n">
        <v>6</v>
      </c>
      <c r="L12" s="158" t="inlineStr">
        <is>
          <t xml:space="preserve">Plate </t>
        </is>
      </c>
      <c r="M12" s="252" t="n">
        <v>20</v>
      </c>
      <c r="N12" s="158" t="inlineStr">
        <is>
          <t>IS2062: E250A</t>
        </is>
      </c>
      <c r="O12" s="502">
        <f>IFERROR('BOM RIG ADAPTOR'!I9+'BOM RIG ADAPTOR'!I10, "")</f>
        <v/>
      </c>
      <c r="P12" s="503">
        <f>IFERROR('BOM RIG ADAPTOR'!O9+'BOM RIG ADAPTOR'!O10, "")</f>
        <v/>
      </c>
      <c r="Q12" s="503">
        <f>IFERROR(M12*1500*3000*0.00000785*1/4, "")</f>
        <v/>
      </c>
      <c r="R12" s="278">
        <f>IFERROR(IF(Q12&gt;P12,Q12,IF(Q12&lt;P12,P12)), "")</f>
        <v/>
      </c>
      <c r="S12" s="282">
        <f>IFERROR((R12-O12)/R12, "")</f>
        <v/>
      </c>
      <c r="T12" s="359" t="n"/>
      <c r="U12" s="282" t="n"/>
      <c r="V12" s="282" t="n"/>
      <c r="W12" s="359" t="n"/>
      <c r="X12" s="524" t="inlineStr">
        <is>
          <t>Total cost</t>
        </is>
      </c>
      <c r="Y12" s="574" t="n"/>
      <c r="Z12" s="525" t="n"/>
      <c r="AA12" s="525" t="n"/>
      <c r="AB12" s="525" t="n"/>
      <c r="AC12" s="525" t="n"/>
      <c r="AD12" s="525" t="n"/>
      <c r="AE12" s="525" t="n"/>
      <c r="AF12" s="525" t="n"/>
      <c r="AG12" s="526">
        <f>IFERROR(AG11+AG10, "")</f>
        <v/>
      </c>
      <c r="AH12" s="527">
        <f>IFERROR(AH11+AH10, "")</f>
        <v/>
      </c>
      <c r="AI12" s="528">
        <f>IFERROR(AH12/AD3, "")</f>
        <v/>
      </c>
    </row>
    <row r="13" ht="21.75" customHeight="1" thickBot="1">
      <c r="A13" s="109" t="inlineStr">
        <is>
          <t>NET RM COST (RS)</t>
        </is>
      </c>
      <c r="B13" s="110">
        <f>IFERROR((B8*B11)-(B10*B12), "")</f>
        <v/>
      </c>
      <c r="C13" s="110">
        <f>IFERROR((C8*C11)-(C10*C12), "")</f>
        <v/>
      </c>
      <c r="D13" s="110">
        <f>IFERROR((D8*D11)-(D10*D12), "")</f>
        <v/>
      </c>
      <c r="E13" s="110">
        <f>IFERROR((E8*E11)-(E10*E12), "")</f>
        <v/>
      </c>
      <c r="F13" s="111">
        <f>IFERROR((F8*F11)-(F10*F12), "")</f>
        <v/>
      </c>
      <c r="G13" s="112">
        <f>IFERROR(SUM(B13:F13), "")</f>
        <v/>
      </c>
      <c r="H13" s="359" t="n"/>
      <c r="I13" s="359" t="n"/>
      <c r="J13" s="359" t="n"/>
      <c r="K13" s="359" t="n"/>
      <c r="L13" s="529" t="n"/>
      <c r="M13" s="529" t="n"/>
      <c r="N13" s="359" t="n"/>
      <c r="O13" s="359" t="n"/>
      <c r="P13" s="359" t="n"/>
      <c r="Q13" s="359" t="n"/>
      <c r="R13" s="359" t="n"/>
      <c r="S13" s="359" t="n"/>
      <c r="T13" s="359" t="n"/>
      <c r="U13" s="282" t="n"/>
      <c r="V13" s="282" t="n"/>
      <c r="W13" s="359" t="n"/>
      <c r="X13" s="359" t="n"/>
      <c r="Y13" s="359" t="n"/>
      <c r="Z13" s="359" t="n"/>
      <c r="AA13" s="359" t="n"/>
      <c r="AB13" s="359" t="n"/>
      <c r="AC13" s="359" t="n"/>
      <c r="AD13" s="359" t="n"/>
      <c r="AE13" s="359" t="n"/>
      <c r="AF13" s="359" t="n"/>
      <c r="AG13" s="530">
        <f>IFERROR(AG12/AD3, "")</f>
        <v/>
      </c>
      <c r="AH13" s="530">
        <f>IFERROR(AH12/AD3, "")</f>
        <v/>
      </c>
      <c r="AI13" s="359" t="n"/>
    </row>
    <row r="14" ht="29.25" customHeight="1" thickBot="1">
      <c r="A14" s="113" t="inlineStr">
        <is>
          <t>TOTAL (RS)</t>
        </is>
      </c>
      <c r="B14" s="531">
        <f>IFERROR(SUM(B13:F13), "")</f>
        <v/>
      </c>
      <c r="C14" s="573" t="n"/>
      <c r="D14" s="573" t="n"/>
      <c r="E14" s="573" t="n"/>
      <c r="F14" s="574" t="n"/>
      <c r="G14" s="114">
        <f>IFERROR(G13/G9, "")</f>
        <v/>
      </c>
      <c r="H14" s="115" t="n"/>
      <c r="I14" s="115" t="n"/>
      <c r="J14" s="115" t="n"/>
      <c r="K14" s="359" t="n"/>
      <c r="L14" s="529" t="n"/>
      <c r="M14" s="529" t="n"/>
      <c r="N14" s="359" t="n"/>
      <c r="O14" s="359" t="n"/>
      <c r="P14" s="359" t="n"/>
      <c r="Q14" s="359" t="n"/>
      <c r="R14" s="359" t="n"/>
      <c r="S14" s="359" t="n"/>
      <c r="T14" s="359" t="n"/>
      <c r="U14" s="282" t="n"/>
      <c r="V14" s="282" t="n"/>
      <c r="W14" s="359" t="n"/>
      <c r="X14" s="359" t="n"/>
      <c r="Y14" s="359" t="n"/>
      <c r="Z14" s="359" t="n"/>
      <c r="AA14" s="359" t="n"/>
      <c r="AB14" s="359" t="n"/>
      <c r="AC14" s="359" t="n"/>
      <c r="AD14" s="359" t="n"/>
      <c r="AE14" s="359" t="n"/>
      <c r="AF14" s="359" t="n"/>
      <c r="AG14" s="359" t="n"/>
      <c r="AH14" s="359" t="n"/>
      <c r="AI14" s="359" t="n"/>
    </row>
    <row r="15" ht="22.5" customHeight="1">
      <c r="A15" s="342" t="inlineStr">
        <is>
          <t>BOP COST</t>
        </is>
      </c>
      <c r="B15" s="581" t="n"/>
      <c r="C15" s="581" t="n"/>
      <c r="D15" s="581" t="n"/>
      <c r="E15" s="581" t="n"/>
      <c r="F15" s="582" t="n"/>
      <c r="G15" s="93" t="n"/>
      <c r="H15" s="90" t="n"/>
      <c r="I15" s="90" t="n"/>
      <c r="J15" s="90" t="n"/>
      <c r="K15" s="359" t="n"/>
      <c r="L15" s="529" t="n"/>
      <c r="M15" s="359" t="n"/>
      <c r="N15" s="359" t="n"/>
      <c r="O15" s="359" t="n"/>
      <c r="P15" s="359" t="n"/>
      <c r="Q15" s="359" t="n"/>
      <c r="R15" s="359" t="n"/>
      <c r="S15" s="359" t="n"/>
      <c r="T15" s="359" t="n"/>
      <c r="U15" s="283" t="n"/>
      <c r="V15" s="284" t="n"/>
      <c r="W15" s="359" t="n"/>
      <c r="X15" s="359" t="n"/>
      <c r="Y15" s="359" t="n"/>
      <c r="Z15" s="359" t="n"/>
      <c r="AA15" s="359" t="n"/>
      <c r="AB15" s="359" t="n"/>
      <c r="AC15" s="359" t="n"/>
      <c r="AD15" s="359" t="n"/>
      <c r="AE15" s="359" t="n"/>
      <c r="AF15" s="359" t="n"/>
      <c r="AG15" s="359" t="n"/>
      <c r="AH15" s="359" t="n"/>
      <c r="AI15" s="359" t="n"/>
    </row>
    <row r="16" ht="24.75" customHeight="1">
      <c r="A16" s="327" t="inlineStr">
        <is>
          <t>BOP COST (RS)</t>
        </is>
      </c>
      <c r="B16" s="117" t="n"/>
      <c r="C16" s="117" t="n"/>
      <c r="D16" s="117" t="n"/>
      <c r="E16" s="118" t="n"/>
      <c r="F16" s="532" t="n">
        <v>0</v>
      </c>
      <c r="G16" s="238" t="n"/>
      <c r="H16" s="90" t="n"/>
      <c r="I16" s="90" t="n"/>
      <c r="J16" s="90" t="n"/>
      <c r="K16" s="359" t="n"/>
      <c r="L16" s="529" t="n"/>
      <c r="M16" s="359" t="n"/>
      <c r="N16" s="359" t="n"/>
      <c r="O16" s="359" t="n"/>
      <c r="P16" s="359" t="n"/>
      <c r="Q16" s="359" t="n"/>
      <c r="R16" s="359" t="n"/>
      <c r="S16" s="359" t="n"/>
      <c r="T16" s="359" t="n"/>
      <c r="U16" s="282" t="n"/>
      <c r="V16" s="282" t="n"/>
      <c r="W16" s="359" t="n"/>
      <c r="X16" s="359" t="n"/>
      <c r="Y16" s="359" t="n"/>
      <c r="Z16" s="359" t="n"/>
      <c r="AA16" s="359" t="n"/>
      <c r="AB16" s="359" t="n"/>
      <c r="AC16" s="359" t="n"/>
      <c r="AD16" s="359" t="n"/>
      <c r="AE16" s="359" t="n"/>
      <c r="AF16" s="359" t="n"/>
      <c r="AG16" s="359" t="n"/>
      <c r="AH16" s="359" t="n"/>
      <c r="AI16" s="359" t="n"/>
    </row>
    <row r="17" ht="21.75" customHeight="1">
      <c r="A17" s="327" t="inlineStr">
        <is>
          <t xml:space="preserve">Fastener Cost </t>
        </is>
      </c>
      <c r="B17" s="328" t="n"/>
      <c r="C17" s="328" t="n"/>
      <c r="D17" s="328" t="n"/>
      <c r="E17" s="121" t="n"/>
      <c r="F17" s="532" t="n">
        <v>0</v>
      </c>
      <c r="G17" s="238" t="n"/>
      <c r="H17" s="359" t="n"/>
      <c r="I17" s="359" t="n"/>
      <c r="J17" s="359" t="n"/>
      <c r="K17" s="359" t="n"/>
      <c r="L17" s="529" t="n"/>
      <c r="M17" s="359" t="n"/>
      <c r="N17" s="359" t="n"/>
      <c r="O17" s="359" t="n"/>
      <c r="P17" s="359" t="n"/>
      <c r="Q17" s="359" t="n"/>
      <c r="R17" s="359" t="n"/>
      <c r="S17" s="359" t="n"/>
      <c r="T17" s="359" t="n"/>
      <c r="U17" s="282" t="n"/>
      <c r="V17" s="282" t="n"/>
      <c r="W17" s="359" t="n"/>
      <c r="X17" s="359" t="n"/>
      <c r="Y17" s="359" t="n"/>
      <c r="Z17" s="359" t="n"/>
      <c r="AA17" s="359" t="n"/>
      <c r="AB17" s="359" t="n"/>
      <c r="AC17" s="359" t="n"/>
      <c r="AD17" s="359" t="n"/>
      <c r="AE17" s="359" t="n"/>
      <c r="AF17" s="359" t="n"/>
      <c r="AG17" s="359" t="n"/>
      <c r="AH17" s="359" t="n"/>
      <c r="AI17" s="359" t="n"/>
    </row>
    <row r="18" ht="21.75" customHeight="1">
      <c r="A18" s="327" t="inlineStr">
        <is>
          <t>Pins and Shaft</t>
        </is>
      </c>
      <c r="B18" s="328" t="n"/>
      <c r="C18" s="328" t="n"/>
      <c r="D18" s="328" t="n"/>
      <c r="E18" s="121" t="n"/>
      <c r="F18" s="532" t="n">
        <v>0</v>
      </c>
      <c r="G18" s="93" t="n"/>
      <c r="H18" s="359" t="n"/>
      <c r="I18" s="359" t="n"/>
      <c r="J18" s="359" t="n"/>
      <c r="K18" s="359" t="n"/>
      <c r="L18" s="529" t="n"/>
      <c r="M18" s="359" t="n"/>
      <c r="N18" s="359" t="n"/>
      <c r="O18" s="359" t="n"/>
      <c r="P18" s="359" t="n"/>
      <c r="Q18" s="359" t="n"/>
      <c r="R18" s="359" t="n"/>
      <c r="S18" s="359" t="n"/>
      <c r="T18" s="359" t="n"/>
      <c r="U18" s="282" t="n"/>
      <c r="V18" s="282" t="n"/>
      <c r="W18" s="359" t="n"/>
      <c r="X18" s="359" t="n"/>
      <c r="Y18" s="359" t="n"/>
      <c r="Z18" s="359" t="n"/>
      <c r="AA18" s="359" t="n"/>
      <c r="AB18" s="359" t="n"/>
      <c r="AC18" s="359" t="n"/>
      <c r="AD18" s="359" t="n"/>
      <c r="AE18" s="359" t="n"/>
      <c r="AF18" s="359" t="n"/>
      <c r="AG18" s="359" t="n"/>
      <c r="AH18" s="359" t="n"/>
      <c r="AI18" s="359" t="n"/>
    </row>
    <row r="19" ht="20.25" customHeight="1">
      <c r="A19" s="327" t="inlineStr">
        <is>
          <t xml:space="preserve">TOTAL BOP </t>
        </is>
      </c>
      <c r="B19" s="577" t="n"/>
      <c r="C19" s="577" t="n"/>
      <c r="D19" s="577" t="n"/>
      <c r="E19" s="578" t="n"/>
      <c r="F19" s="533">
        <f>IFERROR(SUM(F16:F18), "")</f>
        <v/>
      </c>
      <c r="G19" s="314" t="n"/>
      <c r="I19" s="315" t="n"/>
      <c r="J19" s="315" t="n"/>
      <c r="K19" s="534" t="n"/>
      <c r="L19" s="529" t="n"/>
      <c r="M19" s="359" t="n"/>
      <c r="N19" s="359" t="n"/>
      <c r="O19" s="359" t="n"/>
      <c r="P19" s="359" t="n"/>
      <c r="Q19" s="359" t="n"/>
      <c r="R19" s="359" t="n"/>
      <c r="S19" s="359" t="n"/>
      <c r="T19" s="359" t="n"/>
      <c r="U19" s="282" t="n"/>
      <c r="V19" s="282" t="n"/>
      <c r="W19" s="359" t="n"/>
      <c r="X19" s="359" t="n"/>
      <c r="Y19" s="359" t="n"/>
      <c r="Z19" s="359" t="n"/>
      <c r="AA19" s="359" t="n"/>
      <c r="AB19" s="359" t="n"/>
      <c r="AC19" s="359" t="n"/>
      <c r="AD19" s="359" t="n"/>
      <c r="AE19" s="359" t="n"/>
      <c r="AF19" s="359" t="n"/>
      <c r="AG19" s="359" t="n"/>
      <c r="AH19" s="359" t="n"/>
      <c r="AI19" s="359" t="n"/>
    </row>
    <row r="20" ht="13.5" customHeight="1" thickBot="1">
      <c r="A20" s="316" t="inlineStr">
        <is>
          <t>TOTAL OF RM + BOP (RS)</t>
        </is>
      </c>
      <c r="B20" s="583" t="n"/>
      <c r="C20" s="583" t="n"/>
      <c r="D20" s="583" t="n"/>
      <c r="E20" s="584" t="n"/>
      <c r="F20" s="537">
        <f>IFERROR(B14+F19, "")</f>
        <v/>
      </c>
      <c r="G20" s="93" t="n"/>
      <c r="H20" s="359" t="n"/>
      <c r="I20" s="359" t="n"/>
      <c r="J20" s="359" t="n"/>
      <c r="K20" s="85" t="n"/>
      <c r="L20" s="529" t="n"/>
      <c r="M20" s="359" t="n"/>
      <c r="N20" s="359" t="n"/>
      <c r="O20" s="359" t="n"/>
      <c r="P20" s="359" t="n"/>
      <c r="Q20" s="359" t="n"/>
      <c r="R20" s="359" t="n"/>
      <c r="S20" s="359" t="n"/>
      <c r="T20" s="359" t="n"/>
      <c r="U20" s="282" t="n"/>
      <c r="V20" s="282" t="n"/>
      <c r="W20" s="359" t="n"/>
      <c r="X20" s="359" t="n"/>
      <c r="Y20" s="359" t="n"/>
      <c r="Z20" s="359" t="n"/>
      <c r="AA20" s="359" t="n"/>
      <c r="AB20" s="359" t="n"/>
      <c r="AC20" s="359" t="n"/>
      <c r="AD20" s="359" t="n"/>
      <c r="AE20" s="359" t="n"/>
      <c r="AF20" s="359" t="n"/>
      <c r="AG20" s="359" t="n"/>
      <c r="AH20" s="359" t="n"/>
      <c r="AI20" s="359" t="n"/>
    </row>
    <row r="21" ht="22.5" customHeight="1">
      <c r="A21" s="318" t="inlineStr">
        <is>
          <t>PROCESS COST</t>
        </is>
      </c>
      <c r="B21" s="585" t="n"/>
      <c r="C21" s="585" t="n"/>
      <c r="D21" s="585" t="n"/>
      <c r="E21" s="585" t="n"/>
      <c r="F21" s="586" t="n"/>
      <c r="G21" s="93" t="n"/>
      <c r="H21" s="359" t="n"/>
      <c r="I21" s="359" t="n"/>
      <c r="J21" s="359" t="n"/>
      <c r="K21" s="85" t="n"/>
      <c r="L21" s="529" t="n"/>
      <c r="M21" s="359" t="n"/>
      <c r="N21" s="359" t="n"/>
      <c r="O21" s="359" t="n"/>
      <c r="P21" s="359" t="n"/>
      <c r="Q21" s="359" t="n"/>
      <c r="R21" s="359" t="n"/>
      <c r="S21" s="359" t="n"/>
      <c r="T21" s="359" t="n"/>
      <c r="U21" s="282" t="n"/>
      <c r="V21" s="282" t="n"/>
      <c r="W21" s="359" t="n"/>
      <c r="X21" s="359" t="n"/>
      <c r="Y21" s="359" t="n"/>
      <c r="Z21" s="359" t="n"/>
      <c r="AA21" s="359" t="n"/>
      <c r="AB21" s="359" t="n"/>
      <c r="AC21" s="359" t="n"/>
      <c r="AD21" s="359" t="n"/>
      <c r="AE21" s="359" t="n"/>
      <c r="AF21" s="359" t="n"/>
      <c r="AG21" s="359" t="n"/>
      <c r="AH21" s="359" t="n"/>
      <c r="AI21" s="359" t="n"/>
    </row>
    <row r="22">
      <c r="A22" s="124" t="inlineStr">
        <is>
          <t>SPEC</t>
        </is>
      </c>
      <c r="B22" s="125" t="inlineStr">
        <is>
          <t>QTY</t>
        </is>
      </c>
      <c r="C22" s="125" t="n"/>
      <c r="D22" s="125" t="n"/>
      <c r="E22" s="126" t="inlineStr">
        <is>
          <t>RATE</t>
        </is>
      </c>
      <c r="F22" s="540" t="inlineStr">
        <is>
          <t>TOTAL COST</t>
        </is>
      </c>
      <c r="G22" s="93" t="n"/>
      <c r="H22" s="541" t="n"/>
      <c r="I22" s="541" t="n"/>
      <c r="J22" s="541" t="n"/>
      <c r="K22" s="85" t="n"/>
      <c r="L22" s="359" t="n"/>
      <c r="M22" s="359" t="n"/>
      <c r="N22" s="359" t="n"/>
      <c r="O22" s="359" t="n"/>
      <c r="P22" s="359" t="n"/>
      <c r="Q22" s="359" t="n"/>
      <c r="R22" s="359" t="n"/>
      <c r="S22" s="359" t="n"/>
      <c r="T22" s="359" t="n"/>
      <c r="U22" s="282" t="n"/>
      <c r="V22" s="282" t="n"/>
      <c r="W22" s="359" t="n"/>
      <c r="X22" s="359" t="n"/>
      <c r="Y22" s="359" t="n"/>
      <c r="Z22" s="359" t="n"/>
      <c r="AA22" s="359" t="n"/>
      <c r="AB22" s="359" t="n"/>
      <c r="AC22" s="359" t="n"/>
      <c r="AD22" s="359" t="n"/>
      <c r="AE22" s="359" t="n"/>
      <c r="AF22" s="359" t="n"/>
      <c r="AG22" s="359" t="n"/>
      <c r="AH22" s="359" t="n"/>
      <c r="AI22" s="359" t="n"/>
    </row>
    <row r="23" ht="18" customHeight="1">
      <c r="A23" s="129" t="inlineStr">
        <is>
          <t>LASER /PLASMA/PIPE -  Cutting (Min.)</t>
        </is>
      </c>
      <c r="B23" s="130">
        <f>IFERROR(63.5*F3, "")</f>
        <v/>
      </c>
      <c r="C23" s="130" t="n"/>
      <c r="D23" s="130" t="n"/>
      <c r="E23" s="131" t="n">
        <v>75</v>
      </c>
      <c r="F23" s="533">
        <f>IFERROR(B23*E23, "")</f>
        <v/>
      </c>
      <c r="G23" s="132" t="n"/>
      <c r="H23" s="541">
        <f>IFERROR(F23/$G$9, "")</f>
        <v/>
      </c>
      <c r="I23" s="541" t="n"/>
      <c r="J23" s="541" t="n"/>
      <c r="K23" s="85" t="n"/>
      <c r="L23" s="359" t="n"/>
      <c r="M23" s="359" t="n"/>
      <c r="N23" s="359" t="n"/>
      <c r="O23" s="359" t="n"/>
      <c r="P23" s="359" t="n"/>
      <c r="Q23" s="359" t="n"/>
      <c r="R23" s="359" t="n"/>
      <c r="S23" s="359" t="n"/>
      <c r="T23" s="359" t="n"/>
      <c r="U23" s="282" t="n"/>
      <c r="V23" s="282" t="n"/>
      <c r="W23" s="359" t="n"/>
      <c r="X23" s="359" t="n"/>
      <c r="Y23" s="359" t="n"/>
      <c r="Z23" s="359" t="n"/>
      <c r="AA23" s="359" t="n"/>
      <c r="AB23" s="359" t="n"/>
      <c r="AC23" s="359" t="n"/>
      <c r="AD23" s="359" t="n"/>
      <c r="AE23" s="359" t="n"/>
      <c r="AF23" s="359" t="n"/>
      <c r="AG23" s="359" t="n"/>
      <c r="AH23" s="359" t="n"/>
      <c r="AI23" s="359" t="n"/>
    </row>
    <row r="24" ht="20.25" customHeight="1">
      <c r="A24" s="129" t="inlineStr">
        <is>
          <t>Machining (Hrs)</t>
        </is>
      </c>
      <c r="B24" s="130">
        <f>IFERROR('BOM RIG ADAPTOR'!V3/60, "")</f>
        <v/>
      </c>
      <c r="C24" s="130" t="n"/>
      <c r="D24" s="130" t="n"/>
      <c r="E24" s="131" t="n">
        <v>3200</v>
      </c>
      <c r="F24" s="533">
        <f>IFERROR(B24*E24, "")</f>
        <v/>
      </c>
      <c r="G24" s="133" t="n"/>
      <c r="H24" s="541">
        <f>IFERROR(F24/$G$9, "")</f>
        <v/>
      </c>
      <c r="I24" s="541" t="n"/>
      <c r="J24" s="541" t="n"/>
      <c r="K24" s="85" t="n"/>
      <c r="L24" s="359" t="n"/>
      <c r="M24" s="359" t="n"/>
      <c r="N24" s="359" t="n"/>
      <c r="O24" s="359" t="n"/>
      <c r="P24" s="359" t="n"/>
      <c r="Q24" s="359" t="n"/>
      <c r="R24" s="359" t="n"/>
      <c r="S24" s="359" t="n"/>
      <c r="T24" s="359" t="n"/>
      <c r="U24" s="282" t="n"/>
      <c r="V24" s="282" t="n"/>
      <c r="W24" s="359" t="n"/>
      <c r="X24" s="359" t="n"/>
      <c r="Y24" s="359" t="n"/>
      <c r="Z24" s="359" t="n"/>
      <c r="AA24" s="359" t="n"/>
      <c r="AB24" s="359" t="n"/>
      <c r="AC24" s="359" t="n"/>
      <c r="AD24" s="359" t="n"/>
      <c r="AE24" s="359" t="n"/>
      <c r="AF24" s="359" t="n"/>
      <c r="AG24" s="359" t="n"/>
      <c r="AH24" s="359" t="n"/>
      <c r="AI24" s="359" t="n"/>
    </row>
    <row r="25" ht="18" customHeight="1">
      <c r="A25" s="129" t="inlineStr">
        <is>
          <t>BENDING BY CNC BENDING (STROKE)</t>
        </is>
      </c>
      <c r="B25" s="130">
        <f>IFERROR('BOM RIG ADAPTOR'!T3, "")</f>
        <v/>
      </c>
      <c r="C25" s="130" t="n"/>
      <c r="D25" s="130" t="n"/>
      <c r="E25" s="131" t="n">
        <v>200</v>
      </c>
      <c r="F25" s="533">
        <f>IFERROR(B25*E25, "")</f>
        <v/>
      </c>
      <c r="G25" s="133" t="n"/>
      <c r="H25" s="541">
        <f>IFERROR(F25/$G$9, "")</f>
        <v/>
      </c>
      <c r="I25" s="541" t="n"/>
      <c r="J25" s="541" t="n"/>
      <c r="K25" s="85" t="n"/>
      <c r="L25" s="359" t="n"/>
      <c r="M25" s="359" t="n"/>
      <c r="N25" s="359" t="n"/>
      <c r="O25" s="359" t="n"/>
      <c r="P25" s="359" t="n"/>
      <c r="Q25" s="359" t="n"/>
      <c r="R25" s="359" t="n"/>
      <c r="S25" s="359" t="n"/>
      <c r="T25" s="359" t="n"/>
      <c r="U25" s="282" t="n"/>
      <c r="V25" s="282" t="n"/>
      <c r="W25" s="359" t="n"/>
      <c r="X25" s="359" t="n"/>
      <c r="Y25" s="359" t="n"/>
      <c r="Z25" s="359" t="n"/>
      <c r="AA25" s="359" t="n"/>
      <c r="AB25" s="359" t="n"/>
      <c r="AC25" s="359" t="n"/>
      <c r="AD25" s="359" t="n"/>
      <c r="AE25" s="359" t="n"/>
      <c r="AF25" s="359" t="n"/>
      <c r="AG25" s="359" t="n"/>
      <c r="AH25" s="359" t="n"/>
      <c r="AI25" s="359" t="n"/>
    </row>
    <row r="26" ht="18" customHeight="1">
      <c r="A26" s="129" t="inlineStr">
        <is>
          <t xml:space="preserve">MIG WELDING (MTR.) </t>
        </is>
      </c>
      <c r="B26" s="130">
        <f>IFERROR(45*F3, "")</f>
        <v/>
      </c>
      <c r="C26" s="130" t="n"/>
      <c r="D26" s="130" t="n"/>
      <c r="E26" s="131" t="n">
        <v>250</v>
      </c>
      <c r="F26" s="533">
        <f>IFERROR(B26*E26, "")</f>
        <v/>
      </c>
      <c r="G26" s="132" t="n"/>
      <c r="H26" s="541">
        <f>IFERROR(F26/$G$9, "")</f>
        <v/>
      </c>
      <c r="I26" s="541" t="n"/>
      <c r="J26" s="541" t="n"/>
      <c r="K26" s="85" t="n"/>
      <c r="L26" s="359" t="n"/>
      <c r="M26" s="359" t="n"/>
      <c r="N26" s="359" t="n"/>
      <c r="O26" s="359" t="n"/>
      <c r="P26" s="359" t="n"/>
      <c r="Q26" s="359" t="n"/>
      <c r="R26" s="359" t="n"/>
      <c r="S26" s="359" t="n"/>
      <c r="T26" s="359" t="n"/>
      <c r="U26" s="282" t="n"/>
      <c r="V26" s="282" t="n"/>
      <c r="W26" s="359" t="n"/>
      <c r="X26" s="359" t="n"/>
      <c r="Y26" s="359" t="n"/>
      <c r="Z26" s="359" t="n"/>
      <c r="AA26" s="359" t="n"/>
      <c r="AB26" s="359" t="n"/>
      <c r="AC26" s="359" t="n"/>
      <c r="AD26" s="359" t="n"/>
      <c r="AE26" s="359" t="n"/>
      <c r="AF26" s="359" t="n"/>
      <c r="AG26" s="359" t="n"/>
      <c r="AH26" s="359" t="n"/>
      <c r="AI26" s="359" t="n"/>
    </row>
    <row r="27" ht="18" customHeight="1">
      <c r="A27" s="129" t="inlineStr">
        <is>
          <t>GRINDING/BUFFING &amp; FINISHING (hrs)</t>
        </is>
      </c>
      <c r="B27" s="130">
        <f>IFERROR(B26*0.2, "")</f>
        <v/>
      </c>
      <c r="C27" s="130" t="n"/>
      <c r="D27" s="130" t="n"/>
      <c r="E27" s="131" t="n">
        <v>250</v>
      </c>
      <c r="F27" s="533">
        <f>IFERROR(B27*E27, "")</f>
        <v/>
      </c>
      <c r="G27" s="132" t="n"/>
      <c r="H27" s="541">
        <f>IFERROR(F27/$G$9, "")</f>
        <v/>
      </c>
      <c r="I27" s="541" t="n"/>
      <c r="J27" s="541" t="n"/>
      <c r="K27" s="85" t="n"/>
      <c r="L27" s="359" t="n"/>
      <c r="M27" s="359" t="n"/>
      <c r="N27" s="359" t="n"/>
      <c r="O27" s="359" t="n"/>
      <c r="P27" s="359" t="n"/>
      <c r="Q27" s="359" t="n"/>
      <c r="R27" s="359" t="n"/>
      <c r="S27" s="359" t="n"/>
      <c r="T27" s="359" t="n"/>
      <c r="U27" s="359" t="n"/>
      <c r="V27" s="359" t="n"/>
      <c r="W27" s="359" t="n"/>
      <c r="X27" s="359" t="n"/>
      <c r="Y27" s="359" t="n"/>
      <c r="Z27" s="359" t="n"/>
      <c r="AA27" s="359" t="n"/>
      <c r="AB27" s="359" t="n"/>
      <c r="AC27" s="359" t="n"/>
      <c r="AD27" s="359" t="n"/>
      <c r="AE27" s="359" t="n"/>
      <c r="AF27" s="359" t="n"/>
      <c r="AG27" s="359" t="n"/>
      <c r="AH27" s="359" t="n"/>
      <c r="AI27" s="359" t="n"/>
    </row>
    <row r="28" ht="18" customHeight="1">
      <c r="A28" s="129" t="inlineStr">
        <is>
          <t>INSPECTION &amp; TESTING (HRS)</t>
        </is>
      </c>
      <c r="B28" s="130">
        <f>IFERROR(G9*2.5%, "")</f>
        <v/>
      </c>
      <c r="C28" s="130" t="n"/>
      <c r="D28" s="130" t="n"/>
      <c r="E28" s="131" t="n">
        <v>750</v>
      </c>
      <c r="F28" s="533">
        <f>IFERROR(B28*E28, "")</f>
        <v/>
      </c>
      <c r="G28" s="132" t="n"/>
      <c r="H28" s="541">
        <f>IFERROR(F28/$G$9, "")</f>
        <v/>
      </c>
      <c r="I28" s="541" t="n"/>
      <c r="J28" s="541" t="n"/>
      <c r="K28" s="85" t="n"/>
      <c r="L28" s="359" t="n"/>
      <c r="M28" s="359" t="n"/>
      <c r="N28" s="359" t="n"/>
      <c r="O28" s="359" t="n"/>
      <c r="P28" s="359" t="n"/>
      <c r="Q28" s="359" t="n"/>
      <c r="R28" s="359" t="n"/>
      <c r="S28" s="359" t="n"/>
      <c r="T28" s="359" t="n"/>
      <c r="U28" s="359" t="n"/>
      <c r="V28" s="359" t="n"/>
      <c r="W28" s="359" t="n"/>
      <c r="X28" s="359" t="n"/>
      <c r="Y28" s="359" t="n"/>
      <c r="Z28" s="359" t="n"/>
      <c r="AA28" s="359" t="n"/>
      <c r="AB28" s="359" t="n"/>
      <c r="AC28" s="359" t="n"/>
      <c r="AD28" s="359" t="n"/>
      <c r="AE28" s="359" t="n"/>
      <c r="AF28" s="359" t="n"/>
      <c r="AG28" s="359" t="n"/>
      <c r="AH28" s="359" t="n"/>
      <c r="AI28" s="359" t="n"/>
    </row>
    <row r="29" ht="18" customHeight="1">
      <c r="A29" s="129" t="inlineStr">
        <is>
          <t xml:space="preserve">STRESS RELIEVING </t>
        </is>
      </c>
      <c r="B29" s="130">
        <f>IFERROR(G9, "")</f>
        <v/>
      </c>
      <c r="C29" s="130" t="n"/>
      <c r="D29" s="130" t="n"/>
      <c r="E29" s="131" t="n">
        <v>7.5</v>
      </c>
      <c r="F29" s="533">
        <f>IFERROR(B29*E29, "")</f>
        <v/>
      </c>
      <c r="G29" s="165" t="n"/>
      <c r="H29" s="541">
        <f>IFERROR(F29/$G$9, "")</f>
        <v/>
      </c>
      <c r="I29" s="315" t="n"/>
      <c r="J29" s="315" t="n"/>
      <c r="K29" s="85" t="n"/>
      <c r="L29" s="359" t="n"/>
      <c r="M29" s="359" t="n"/>
      <c r="N29" s="359" t="n"/>
      <c r="O29" s="359" t="n"/>
      <c r="P29" s="359" t="n"/>
      <c r="Q29" s="359" t="n"/>
      <c r="R29" s="359" t="n"/>
      <c r="S29" s="359" t="n"/>
      <c r="T29" s="359" t="n"/>
      <c r="U29" s="359" t="n"/>
      <c r="V29" s="359" t="n"/>
      <c r="W29" s="359" t="n"/>
      <c r="X29" s="359" t="n"/>
      <c r="Y29" s="359" t="n"/>
      <c r="Z29" s="359" t="n"/>
      <c r="AA29" s="359" t="n"/>
      <c r="AB29" s="359" t="n"/>
      <c r="AC29" s="359" t="n"/>
      <c r="AD29" s="359" t="n"/>
      <c r="AE29" s="359" t="n"/>
      <c r="AF29" s="359" t="n"/>
      <c r="AG29" s="359" t="n"/>
      <c r="AH29" s="359" t="n"/>
      <c r="AI29" s="359" t="n"/>
    </row>
    <row r="30" ht="18" customHeight="1">
      <c r="A30" s="129" t="inlineStr">
        <is>
          <t xml:space="preserve">Shot Blasting </t>
        </is>
      </c>
      <c r="B30" s="130">
        <f>IFERROR(G9, "")</f>
        <v/>
      </c>
      <c r="C30" s="130" t="n"/>
      <c r="D30" s="130" t="n"/>
      <c r="E30" s="131" t="n">
        <v>5</v>
      </c>
      <c r="F30" s="542">
        <f>IFERROR(E30*B30, "")</f>
        <v/>
      </c>
      <c r="G30" s="93" t="n"/>
      <c r="H30" s="541">
        <f>IFERROR(F30/$G$9, "")</f>
        <v/>
      </c>
      <c r="I30" s="541" t="n"/>
      <c r="J30" s="541" t="n"/>
      <c r="K30" s="85" t="n"/>
      <c r="L30" s="359" t="n"/>
      <c r="M30" s="359" t="n"/>
      <c r="N30" s="359" t="n"/>
      <c r="O30" s="359" t="n"/>
      <c r="P30" s="359" t="n"/>
      <c r="Q30" s="359" t="n"/>
      <c r="R30" s="359" t="n"/>
      <c r="S30" s="359" t="n"/>
      <c r="T30" s="359" t="n"/>
      <c r="U30" s="359" t="n"/>
      <c r="V30" s="359" t="n"/>
      <c r="W30" s="359" t="n"/>
      <c r="X30" s="359" t="n"/>
      <c r="Y30" s="359" t="n"/>
      <c r="Z30" s="359" t="n"/>
      <c r="AA30" s="359" t="n"/>
      <c r="AB30" s="359" t="n"/>
      <c r="AC30" s="359" t="n"/>
      <c r="AD30" s="359" t="n"/>
      <c r="AE30" s="359" t="n"/>
      <c r="AF30" s="359" t="n"/>
      <c r="AG30" s="359" t="n"/>
      <c r="AH30" s="359" t="n"/>
      <c r="AI30" s="359" t="n"/>
    </row>
    <row r="31" ht="18" customHeight="1">
      <c r="A31" s="129" t="inlineStr">
        <is>
          <t xml:space="preserve">Painting </t>
        </is>
      </c>
      <c r="B31" s="130">
        <f>IFERROR(12.5*F3, "")</f>
        <v/>
      </c>
      <c r="C31" s="130" t="n"/>
      <c r="D31" s="130" t="n"/>
      <c r="E31" s="131" t="n">
        <v>1208.2</v>
      </c>
      <c r="F31" s="542">
        <f>IFERROR(B31*E31, "")</f>
        <v/>
      </c>
      <c r="G31" s="93" t="n"/>
      <c r="H31" s="541">
        <f>IFERROR(F31/$G$9, "")</f>
        <v/>
      </c>
      <c r="I31" s="541" t="n"/>
      <c r="J31" s="541" t="n"/>
      <c r="K31" s="359" t="n"/>
      <c r="L31" s="359" t="n"/>
      <c r="M31" s="359" t="n"/>
      <c r="N31" s="359" t="n"/>
      <c r="O31" s="276" t="n"/>
      <c r="P31" s="87" t="n"/>
      <c r="Q31" s="359" t="n"/>
      <c r="R31" s="359" t="n"/>
      <c r="S31" s="359" t="n"/>
      <c r="T31" s="359" t="n"/>
      <c r="U31" s="359" t="n"/>
      <c r="V31" s="359" t="n"/>
      <c r="W31" s="359" t="n"/>
      <c r="X31" s="359" t="n"/>
      <c r="Y31" s="359" t="n"/>
      <c r="Z31" s="359" t="n"/>
      <c r="AA31" s="359" t="n"/>
      <c r="AB31" s="359" t="n"/>
      <c r="AC31" s="359" t="n"/>
      <c r="AD31" s="359" t="n"/>
      <c r="AE31" s="359" t="n"/>
      <c r="AF31" s="359" t="n"/>
      <c r="AG31" s="359" t="n"/>
      <c r="AH31" s="359" t="n"/>
      <c r="AI31" s="359" t="n"/>
    </row>
    <row r="32" ht="18" customHeight="1">
      <c r="A32" s="129" t="inlineStr">
        <is>
          <t>Assembly, Fitting, Punching, Misce.</t>
        </is>
      </c>
      <c r="B32" s="131">
        <f>IFERROR(G9/70, "")</f>
        <v/>
      </c>
      <c r="C32" s="131" t="n"/>
      <c r="D32" s="131" t="n"/>
      <c r="E32" s="131" t="n">
        <v>500</v>
      </c>
      <c r="F32" s="542">
        <f>IFERROR(E32*B32, "")</f>
        <v/>
      </c>
      <c r="G32" s="135" t="n"/>
      <c r="H32" s="541">
        <f>IFERROR(F32/$G$9, "")</f>
        <v/>
      </c>
      <c r="I32" s="541" t="n"/>
      <c r="J32" s="541" t="n"/>
      <c r="K32" s="359" t="n"/>
      <c r="L32" s="359" t="n"/>
      <c r="M32" s="359" t="n"/>
      <c r="N32" s="359" t="n"/>
      <c r="O32" s="276" t="n"/>
      <c r="P32" s="87" t="n"/>
      <c r="Q32" s="359" t="n"/>
      <c r="R32" s="359" t="n"/>
      <c r="S32" s="359" t="n"/>
      <c r="T32" s="359" t="n"/>
      <c r="U32" s="359" t="n"/>
      <c r="V32" s="359" t="n"/>
      <c r="W32" s="359" t="n"/>
      <c r="X32" s="359" t="n"/>
      <c r="Y32" s="359" t="n"/>
      <c r="Z32" s="359" t="n"/>
      <c r="AA32" s="359" t="n"/>
      <c r="AB32" s="359" t="n"/>
      <c r="AC32" s="359" t="n"/>
      <c r="AD32" s="359" t="n"/>
      <c r="AE32" s="359" t="n"/>
      <c r="AF32" s="359" t="n"/>
      <c r="AG32" s="359" t="n"/>
      <c r="AH32" s="359" t="n"/>
      <c r="AI32" s="359" t="n"/>
    </row>
    <row r="33" ht="18" customHeight="1">
      <c r="A33" s="124" t="inlineStr">
        <is>
          <t>TOTAL COST OF PC</t>
        </is>
      </c>
      <c r="B33" s="136" t="n"/>
      <c r="C33" s="136" t="n"/>
      <c r="D33" s="136" t="n"/>
      <c r="E33" s="137" t="n"/>
      <c r="F33" s="543">
        <f>IFERROR(SUM(F23:F32), "")</f>
        <v/>
      </c>
      <c r="G33" s="135" t="n"/>
      <c r="H33" s="541">
        <f>IFERROR(F33/$G$9, "")</f>
        <v/>
      </c>
      <c r="I33" s="541" t="n"/>
      <c r="J33" s="541" t="n"/>
      <c r="K33" s="359" t="n"/>
      <c r="L33" s="359" t="n"/>
      <c r="M33" s="359" t="n"/>
      <c r="N33" s="359" t="n"/>
      <c r="O33" s="359" t="n"/>
      <c r="P33" s="359" t="n"/>
      <c r="Q33" s="359" t="n"/>
      <c r="R33" s="359" t="n"/>
      <c r="S33" s="359" t="n"/>
      <c r="T33" s="359" t="n"/>
      <c r="U33" s="359" t="n"/>
      <c r="V33" s="359" t="n"/>
      <c r="W33" s="359" t="n"/>
      <c r="X33" s="359" t="n"/>
      <c r="Y33" s="359" t="n"/>
      <c r="Z33" s="359" t="n"/>
      <c r="AA33" s="359" t="n"/>
      <c r="AB33" s="359" t="n"/>
      <c r="AC33" s="359" t="n"/>
      <c r="AD33" s="359" t="n"/>
      <c r="AE33" s="359" t="n"/>
      <c r="AF33" s="359" t="n"/>
      <c r="AG33" s="359" t="n"/>
      <c r="AH33" s="359" t="n"/>
      <c r="AI33" s="359" t="n"/>
    </row>
    <row r="34" ht="18" customHeight="1">
      <c r="A34" s="544" t="inlineStr">
        <is>
          <t>TOTAL RM+BOP+PC</t>
        </is>
      </c>
      <c r="B34" s="587" t="n"/>
      <c r="C34" s="587" t="n"/>
      <c r="D34" s="587" t="n"/>
      <c r="E34" s="588" t="n"/>
      <c r="F34" s="547">
        <f>IFERROR(F20+F33, "")</f>
        <v/>
      </c>
      <c r="G34" s="93" t="n"/>
      <c r="H34" s="541">
        <f>IFERROR(F34/$G$9, "")</f>
        <v/>
      </c>
      <c r="I34" s="541" t="n"/>
      <c r="J34" s="541" t="n"/>
      <c r="K34" s="359" t="n"/>
      <c r="L34" s="359" t="n"/>
      <c r="M34" s="359" t="n"/>
      <c r="N34" s="359" t="n"/>
      <c r="O34" s="359" t="n"/>
      <c r="P34" s="359" t="n"/>
      <c r="Q34" s="359" t="n"/>
      <c r="R34" s="359" t="n"/>
      <c r="S34" s="359" t="n"/>
      <c r="T34" s="359" t="n"/>
      <c r="U34" s="359" t="n"/>
      <c r="V34" s="359" t="n"/>
      <c r="W34" s="359" t="n"/>
      <c r="X34" s="359" t="n"/>
      <c r="Y34" s="359" t="n"/>
      <c r="Z34" s="359" t="n"/>
      <c r="AA34" s="359" t="n"/>
      <c r="AB34" s="359" t="n"/>
      <c r="AC34" s="359" t="n"/>
      <c r="AD34" s="359" t="n"/>
      <c r="AE34" s="359" t="n"/>
      <c r="AF34" s="359" t="n"/>
      <c r="AG34" s="359" t="n"/>
      <c r="AH34" s="359" t="n"/>
      <c r="AI34" s="359" t="n"/>
    </row>
    <row r="35" ht="19.5" customHeight="1">
      <c r="A35" s="142" t="inlineStr">
        <is>
          <t>OH + Contingency</t>
        </is>
      </c>
      <c r="B35" s="146" t="n"/>
      <c r="C35" s="271" t="n"/>
      <c r="D35" s="271" t="n"/>
      <c r="E35" s="147" t="n">
        <v>0.05</v>
      </c>
      <c r="F35" s="548">
        <f>IFERROR(E35*F34, "")</f>
        <v/>
      </c>
      <c r="G35" s="140" t="n"/>
      <c r="H35" s="541">
        <f>IFERROR(F35/$G$9, "")</f>
        <v/>
      </c>
      <c r="I35" s="541" t="n"/>
      <c r="J35" s="541" t="n"/>
      <c r="K35" s="359" t="n"/>
      <c r="L35" s="359" t="n"/>
      <c r="M35" s="359" t="n"/>
      <c r="N35" s="359" t="n"/>
      <c r="O35" s="359" t="n"/>
      <c r="P35" s="359" t="n"/>
      <c r="Q35" s="359" t="n"/>
      <c r="R35" s="359" t="n"/>
      <c r="S35" s="359" t="n"/>
      <c r="T35" s="359" t="n"/>
      <c r="U35" s="359" t="n"/>
      <c r="V35" s="359" t="n"/>
      <c r="W35" s="359" t="n"/>
      <c r="X35" s="359" t="n"/>
      <c r="Y35" s="359" t="n"/>
      <c r="Z35" s="359" t="n"/>
      <c r="AA35" s="359" t="n"/>
      <c r="AB35" s="359" t="n"/>
      <c r="AC35" s="359" t="n"/>
      <c r="AD35" s="359" t="n"/>
      <c r="AE35" s="359" t="n"/>
      <c r="AF35" s="359" t="n"/>
      <c r="AG35" s="359" t="n"/>
      <c r="AH35" s="359" t="n"/>
      <c r="AI35" s="359" t="n"/>
    </row>
    <row r="36" ht="22.5" customHeight="1">
      <c r="A36" s="145" t="inlineStr">
        <is>
          <t xml:space="preserve">Total Product Cost Without Profit </t>
        </is>
      </c>
      <c r="B36" s="142" t="n"/>
      <c r="C36" s="142" t="n"/>
      <c r="D36" s="142" t="n"/>
      <c r="E36" s="328" t="n"/>
      <c r="F36" s="549">
        <f>IFERROR(SUM(F34:F35), "")</f>
        <v/>
      </c>
      <c r="G36" s="469" t="n"/>
      <c r="H36" s="541">
        <f>IFERROR(F36/$G$9, "")</f>
        <v/>
      </c>
      <c r="I36" s="541" t="n"/>
      <c r="J36" s="541" t="n"/>
      <c r="K36" s="359" t="n"/>
      <c r="L36" s="359" t="n"/>
      <c r="M36" s="359" t="n"/>
      <c r="N36" s="359" t="n"/>
      <c r="O36" s="359" t="n"/>
      <c r="P36" s="359" t="n"/>
      <c r="Q36" s="359" t="n"/>
      <c r="R36" s="359" t="n"/>
      <c r="S36" s="359" t="n"/>
      <c r="T36" s="359" t="n"/>
      <c r="U36" s="359" t="n"/>
      <c r="V36" s="359" t="n"/>
      <c r="W36" s="359" t="n"/>
      <c r="X36" s="359" t="n"/>
      <c r="Y36" s="359" t="n"/>
      <c r="Z36" s="359" t="n"/>
      <c r="AA36" s="359" t="n"/>
      <c r="AB36" s="359" t="n"/>
      <c r="AC36" s="359" t="n"/>
      <c r="AD36" s="359" t="n"/>
      <c r="AE36" s="359" t="n"/>
      <c r="AF36" s="359" t="n"/>
      <c r="AG36" s="359" t="n"/>
      <c r="AH36" s="359" t="n"/>
      <c r="AI36" s="359" t="n"/>
    </row>
    <row r="37">
      <c r="A37" s="142" t="inlineStr">
        <is>
          <t>Total Cost Per Part</t>
        </is>
      </c>
      <c r="B37" s="142" t="n"/>
      <c r="C37" s="142" t="n"/>
      <c r="D37" s="142" t="n"/>
      <c r="E37" s="328" t="n"/>
      <c r="F37" s="549">
        <f>IFERROR(F36/F3, "")</f>
        <v/>
      </c>
      <c r="G37" s="469" t="n"/>
      <c r="H37" s="541">
        <f>IFERROR(F37/$G$9, "")</f>
        <v/>
      </c>
      <c r="I37" s="550">
        <f>IFERROR(F37/G8, "")</f>
        <v/>
      </c>
      <c r="J37" s="550" t="n"/>
      <c r="K37" s="359" t="n"/>
      <c r="L37" s="359" t="n"/>
      <c r="M37" s="359" t="n"/>
      <c r="N37" s="359" t="n"/>
      <c r="O37" s="359" t="n"/>
      <c r="P37" s="359" t="n"/>
      <c r="Q37" s="359" t="n"/>
      <c r="R37" s="359" t="n"/>
      <c r="S37" s="359" t="n"/>
      <c r="T37" s="359" t="n"/>
      <c r="U37" s="359" t="n"/>
      <c r="V37" s="359" t="n"/>
      <c r="W37" s="359" t="n"/>
      <c r="X37" s="359" t="n"/>
      <c r="Y37" s="359" t="n"/>
      <c r="Z37" s="359" t="n"/>
      <c r="AA37" s="359" t="n"/>
      <c r="AB37" s="359" t="n"/>
      <c r="AC37" s="359" t="n"/>
      <c r="AD37" s="359" t="n"/>
      <c r="AE37" s="359" t="n"/>
      <c r="AF37" s="359" t="n"/>
      <c r="AG37" s="359" t="n"/>
      <c r="AH37" s="359" t="n"/>
      <c r="AI37" s="359" t="n"/>
    </row>
    <row r="38">
      <c r="A38" s="150" t="n"/>
      <c r="B38" s="150" t="n"/>
      <c r="C38" s="150" t="n"/>
      <c r="D38" s="150" t="n"/>
      <c r="E38" s="150" t="n"/>
      <c r="F38" s="150" t="n"/>
      <c r="G38" s="469" t="n"/>
      <c r="H38" s="541" t="n"/>
      <c r="I38" s="550" t="n"/>
      <c r="J38" s="550" t="n"/>
      <c r="K38" s="359" t="n"/>
      <c r="L38" s="359" t="n"/>
      <c r="M38" s="359" t="n"/>
      <c r="N38" s="359" t="n"/>
      <c r="O38" s="359" t="n"/>
      <c r="P38" s="359" t="n"/>
      <c r="Q38" s="359" t="n"/>
      <c r="R38" s="359" t="n"/>
      <c r="S38" s="359" t="n"/>
      <c r="T38" s="359" t="n"/>
      <c r="U38" s="359" t="n"/>
      <c r="V38" s="359" t="n"/>
      <c r="W38" s="359" t="n"/>
      <c r="X38" s="359" t="n"/>
      <c r="Y38" s="359" t="n"/>
      <c r="Z38" s="359" t="n"/>
      <c r="AA38" s="359" t="n"/>
      <c r="AB38" s="359" t="n"/>
      <c r="AC38" s="359" t="n"/>
      <c r="AD38" s="359" t="n"/>
      <c r="AE38" s="359" t="n"/>
      <c r="AF38" s="359" t="n"/>
      <c r="AG38" s="359" t="n"/>
      <c r="AH38" s="359" t="n"/>
      <c r="AI38" s="359" t="n"/>
    </row>
    <row r="39" ht="13.5" customHeight="1" thickBot="1">
      <c r="A39" s="150" t="n"/>
      <c r="B39" s="150" t="n"/>
      <c r="C39" s="150" t="n"/>
      <c r="D39" s="150" t="n"/>
      <c r="E39" s="150" t="n"/>
      <c r="F39" s="150" t="n"/>
      <c r="G39" s="150" t="n"/>
      <c r="H39" s="550" t="n"/>
      <c r="I39" s="550" t="n"/>
      <c r="J39" s="550" t="n"/>
      <c r="K39" s="359" t="n"/>
      <c r="L39" s="359" t="n"/>
      <c r="M39" s="359" t="n"/>
      <c r="N39" s="359" t="n"/>
      <c r="O39" s="359" t="n"/>
      <c r="P39" s="359" t="n"/>
      <c r="Q39" s="359" t="n"/>
      <c r="R39" s="359" t="n"/>
      <c r="S39" s="359" t="n"/>
      <c r="T39" s="359" t="n"/>
      <c r="U39" s="359" t="n"/>
      <c r="V39" s="359" t="n"/>
      <c r="W39" s="359" t="n"/>
      <c r="X39" s="359" t="n"/>
      <c r="Y39" s="359" t="n"/>
      <c r="Z39" s="359" t="n"/>
      <c r="AA39" s="359" t="n"/>
      <c r="AB39" s="359" t="n"/>
      <c r="AC39" s="359" t="n"/>
      <c r="AD39" s="359" t="n"/>
      <c r="AE39" s="359" t="n"/>
      <c r="AF39" s="359" t="n"/>
      <c r="AG39" s="359" t="n"/>
      <c r="AH39" s="359" t="n"/>
      <c r="AI39" s="359" t="n"/>
    </row>
    <row r="40" ht="19.5" customHeight="1" thickBot="1">
      <c r="A40" s="551" t="inlineStr">
        <is>
          <t>NON-RECURRING  COST</t>
        </is>
      </c>
      <c r="B40" s="589" t="n"/>
      <c r="C40" s="589" t="n"/>
      <c r="D40" s="589" t="n"/>
      <c r="E40" s="589" t="n"/>
      <c r="F40" s="590" t="n"/>
      <c r="G40" s="150" t="n"/>
      <c r="H40" s="550" t="n"/>
      <c r="I40" s="550" t="n"/>
      <c r="J40" s="550" t="n"/>
      <c r="K40" s="359" t="n"/>
      <c r="L40" s="359" t="n"/>
      <c r="M40" s="359" t="n"/>
      <c r="N40" s="359" t="n"/>
      <c r="O40" s="359" t="n"/>
      <c r="P40" s="359" t="n"/>
      <c r="Q40" s="359" t="n"/>
      <c r="R40" s="359" t="n"/>
      <c r="S40" s="359" t="n"/>
      <c r="T40" s="359" t="n"/>
      <c r="U40" s="359" t="n"/>
      <c r="V40" s="359" t="n"/>
      <c r="W40" s="359" t="n"/>
      <c r="X40" s="359" t="n"/>
      <c r="Y40" s="359" t="n"/>
      <c r="Z40" s="359" t="n"/>
      <c r="AA40" s="359" t="n"/>
      <c r="AB40" s="359" t="n"/>
      <c r="AC40" s="359" t="n"/>
      <c r="AD40" s="359" t="n"/>
      <c r="AE40" s="359" t="n"/>
      <c r="AF40" s="359" t="n"/>
      <c r="AG40" s="359" t="n"/>
      <c r="AH40" s="359" t="n"/>
      <c r="AI40" s="359" t="n"/>
    </row>
    <row r="41" ht="15.75" customHeight="1">
      <c r="A41" s="554" t="inlineStr">
        <is>
          <t>ENGINEERING CHARGES</t>
        </is>
      </c>
      <c r="B41" s="453" t="n"/>
      <c r="C41" s="453" t="n"/>
      <c r="D41" s="453" t="n"/>
      <c r="E41" s="151" t="n">
        <v>1</v>
      </c>
      <c r="F41" s="555" t="n">
        <v>50000</v>
      </c>
      <c r="G41" s="150" t="n"/>
      <c r="H41" s="550" t="n"/>
      <c r="I41" s="550" t="n"/>
      <c r="J41" s="550" t="n"/>
      <c r="K41" s="359" t="n"/>
      <c r="L41" s="359" t="n"/>
      <c r="M41" s="359" t="n"/>
      <c r="N41" s="359" t="n"/>
      <c r="O41" s="359" t="n"/>
      <c r="P41" s="359" t="n"/>
      <c r="Q41" s="359" t="n"/>
      <c r="R41" s="359" t="n"/>
      <c r="S41" s="359" t="n"/>
      <c r="T41" s="359" t="n"/>
      <c r="U41" s="359" t="n"/>
      <c r="V41" s="359" t="n"/>
      <c r="W41" s="359" t="n"/>
      <c r="X41" s="359" t="n"/>
      <c r="Y41" s="359" t="n"/>
      <c r="Z41" s="359" t="n"/>
      <c r="AA41" s="359" t="n"/>
      <c r="AB41" s="359" t="n"/>
      <c r="AC41" s="359" t="n"/>
      <c r="AD41" s="359" t="n"/>
      <c r="AE41" s="359" t="n"/>
      <c r="AF41" s="359" t="n"/>
      <c r="AG41" s="359" t="n"/>
      <c r="AH41" s="359" t="n"/>
      <c r="AI41" s="359" t="n"/>
    </row>
    <row r="42" ht="15.75" customHeight="1">
      <c r="A42" s="556" t="inlineStr">
        <is>
          <t>DEVELOPMENT OF JIG AND FIXTURES (01 time)</t>
        </is>
      </c>
      <c r="B42" s="457" t="n"/>
      <c r="C42" s="457" t="n"/>
      <c r="D42" s="457" t="n"/>
      <c r="E42" s="239" t="n">
        <v>1</v>
      </c>
      <c r="F42" s="557">
        <f>IFERROR(F51*E42, "")</f>
        <v/>
      </c>
      <c r="G42" s="150" t="n"/>
      <c r="H42" s="550" t="n"/>
      <c r="I42" s="550" t="n"/>
      <c r="J42" s="550" t="n"/>
      <c r="K42" s="85" t="n"/>
      <c r="L42" s="359" t="n"/>
      <c r="M42" s="359" t="n"/>
      <c r="N42" s="359" t="n"/>
      <c r="O42" s="359" t="n"/>
      <c r="P42" s="359" t="n"/>
      <c r="Q42" s="359" t="n"/>
      <c r="R42" s="359" t="n"/>
      <c r="S42" s="359" t="n"/>
      <c r="T42" s="359" t="n"/>
      <c r="U42" s="359" t="n"/>
      <c r="V42" s="359" t="n"/>
      <c r="W42" s="359" t="n"/>
      <c r="X42" s="359" t="n"/>
      <c r="Y42" s="359" t="n"/>
      <c r="Z42" s="359" t="n"/>
      <c r="AA42" s="359" t="n"/>
      <c r="AB42" s="359" t="n"/>
      <c r="AC42" s="359" t="n"/>
      <c r="AD42" s="359" t="n"/>
      <c r="AE42" s="359" t="n"/>
      <c r="AF42" s="359" t="n"/>
      <c r="AG42" s="359" t="n"/>
      <c r="AH42" s="359" t="n"/>
      <c r="AI42" s="359" t="n"/>
    </row>
    <row r="43" ht="19.5" customHeight="1" thickBot="1">
      <c r="A43" s="460" t="n"/>
      <c r="B43" s="461" t="inlineStr">
        <is>
          <t>Total Price</t>
        </is>
      </c>
      <c r="C43" s="461" t="n"/>
      <c r="D43" s="461" t="n"/>
      <c r="E43" s="462" t="n"/>
      <c r="F43" s="463">
        <f>IFERROR(SUM(F41:F42), "")</f>
        <v/>
      </c>
      <c r="G43" s="150" t="n"/>
      <c r="H43" s="550" t="n"/>
      <c r="I43" s="550" t="n"/>
      <c r="J43" s="550" t="n"/>
      <c r="K43" s="359" t="n"/>
      <c r="L43" s="359" t="n"/>
      <c r="M43" s="359" t="n"/>
      <c r="N43" s="359" t="n"/>
      <c r="O43" s="359" t="n"/>
      <c r="P43" s="359" t="n"/>
      <c r="Q43" s="359" t="n"/>
      <c r="R43" s="359" t="n"/>
      <c r="S43" s="359" t="n"/>
      <c r="T43" s="359" t="n"/>
      <c r="U43" s="359" t="n"/>
      <c r="V43" s="359" t="n"/>
      <c r="W43" s="359" t="n"/>
      <c r="X43" s="359" t="n"/>
      <c r="Y43" s="359" t="n"/>
      <c r="Z43" s="359" t="n"/>
      <c r="AA43" s="359" t="n"/>
      <c r="AB43" s="359" t="n"/>
      <c r="AC43" s="359" t="n"/>
      <c r="AD43" s="359" t="n"/>
      <c r="AE43" s="359" t="n"/>
      <c r="AF43" s="359" t="n"/>
      <c r="AG43" s="359" t="n"/>
      <c r="AH43" s="359" t="n"/>
      <c r="AI43" s="359" t="n"/>
    </row>
    <row r="44" ht="15.75" customHeight="1">
      <c r="A44" s="558" t="n"/>
      <c r="B44" s="558" t="n"/>
      <c r="C44" s="558" t="n"/>
      <c r="D44" s="558" t="n"/>
      <c r="E44" s="559" t="n"/>
      <c r="F44" s="466" t="n"/>
      <c r="G44" s="150" t="n"/>
      <c r="H44" s="550" t="n"/>
      <c r="I44" s="550" t="n"/>
      <c r="J44" s="550" t="n"/>
      <c r="K44" s="359" t="n"/>
      <c r="L44" s="359" t="n"/>
      <c r="M44" s="359" t="n"/>
      <c r="N44" s="359" t="n"/>
      <c r="O44" s="359" t="n"/>
      <c r="P44" s="359" t="n"/>
      <c r="Q44" s="359" t="n"/>
      <c r="R44" s="359" t="n"/>
      <c r="S44" s="359" t="n"/>
      <c r="T44" s="359" t="n"/>
      <c r="U44" s="359" t="n"/>
      <c r="V44" s="359" t="n"/>
      <c r="W44" s="359" t="n"/>
      <c r="X44" s="359" t="n"/>
      <c r="Y44" s="359" t="n"/>
      <c r="Z44" s="359" t="n"/>
      <c r="AA44" s="359" t="n"/>
      <c r="AB44" s="359" t="n"/>
      <c r="AC44" s="359" t="n"/>
      <c r="AD44" s="359" t="n"/>
      <c r="AE44" s="359" t="n"/>
      <c r="AF44" s="359" t="n"/>
      <c r="AG44" s="359" t="n"/>
      <c r="AH44" s="359" t="n"/>
      <c r="AI44" s="359" t="n"/>
    </row>
    <row r="45" ht="15.75" customHeight="1">
      <c r="A45" s="558" t="n"/>
      <c r="B45" s="558" t="n"/>
      <c r="C45" s="558" t="n"/>
      <c r="D45" s="558" t="n"/>
      <c r="E45" s="559" t="n"/>
      <c r="F45" s="466" t="n"/>
      <c r="G45" s="150" t="n"/>
      <c r="H45" s="156" t="n"/>
      <c r="I45" s="156" t="n"/>
      <c r="J45" s="156" t="n"/>
      <c r="K45" s="359" t="n"/>
      <c r="L45" s="359" t="n"/>
      <c r="M45" s="359" t="n"/>
      <c r="N45" s="359" t="n"/>
      <c r="O45" s="359" t="n"/>
      <c r="P45" s="359" t="n"/>
      <c r="Q45" s="359" t="n"/>
      <c r="R45" s="359" t="n"/>
      <c r="S45" s="359" t="n"/>
      <c r="T45" s="359" t="n"/>
      <c r="U45" s="359" t="n"/>
      <c r="V45" s="359" t="n"/>
      <c r="W45" s="359" t="n"/>
      <c r="X45" s="359" t="n"/>
      <c r="Y45" s="359" t="n"/>
      <c r="Z45" s="359" t="n"/>
      <c r="AA45" s="359" t="n"/>
      <c r="AB45" s="359" t="n"/>
      <c r="AC45" s="359" t="n"/>
      <c r="AD45" s="359" t="n"/>
      <c r="AE45" s="359" t="n"/>
      <c r="AF45" s="359" t="n"/>
      <c r="AG45" s="359" t="n"/>
      <c r="AH45" s="359" t="n"/>
      <c r="AI45" s="359" t="n"/>
    </row>
    <row r="46" ht="15.75" customHeight="1">
      <c r="A46" s="560" t="inlineStr">
        <is>
          <t>Below is the estimated working for the Molds and jigs</t>
        </is>
      </c>
      <c r="B46" s="577" t="n"/>
      <c r="C46" s="577" t="n"/>
      <c r="D46" s="577" t="n"/>
      <c r="E46" s="577" t="n"/>
      <c r="F46" s="578" t="n"/>
      <c r="G46" s="150" t="n"/>
      <c r="H46" s="550" t="n"/>
      <c r="I46" s="550" t="n"/>
      <c r="J46" s="550" t="n"/>
      <c r="K46" s="359" t="n"/>
      <c r="L46" s="359" t="n"/>
      <c r="M46" s="359" t="n"/>
      <c r="N46" s="359" t="n"/>
      <c r="O46" s="359" t="n"/>
      <c r="P46" s="359" t="n"/>
      <c r="Q46" s="359" t="n"/>
      <c r="R46" s="359" t="n"/>
      <c r="S46" s="359" t="n"/>
      <c r="T46" s="359" t="n"/>
      <c r="U46" s="359" t="n"/>
      <c r="V46" s="359" t="n"/>
      <c r="W46" s="359" t="n"/>
      <c r="X46" s="359" t="n"/>
      <c r="Y46" s="359" t="n"/>
      <c r="Z46" s="359" t="n"/>
      <c r="AA46" s="359" t="n"/>
      <c r="AB46" s="359" t="n"/>
      <c r="AC46" s="359" t="n"/>
      <c r="AD46" s="359" t="n"/>
      <c r="AE46" s="359" t="n"/>
      <c r="AF46" s="359" t="n"/>
      <c r="AG46" s="359" t="n"/>
      <c r="AH46" s="359" t="n"/>
      <c r="AI46" s="359" t="n"/>
    </row>
    <row r="47" ht="15.75" customHeight="1">
      <c r="A47" s="561" t="inlineStr">
        <is>
          <t>Fixture Details</t>
        </is>
      </c>
      <c r="B47" s="561" t="inlineStr">
        <is>
          <t xml:space="preserve">Weight </t>
        </is>
      </c>
      <c r="C47" s="561" t="n"/>
      <c r="D47" s="561" t="n"/>
      <c r="E47" s="561" t="inlineStr">
        <is>
          <t>Rate</t>
        </is>
      </c>
      <c r="F47" s="561" t="inlineStr">
        <is>
          <t>Total</t>
        </is>
      </c>
      <c r="G47" s="550" t="n"/>
      <c r="H47" s="550" t="n"/>
      <c r="I47" s="550" t="n"/>
      <c r="J47" s="550" t="n"/>
      <c r="K47" s="359" t="n"/>
      <c r="L47" s="359" t="n"/>
      <c r="M47" s="359" t="n"/>
      <c r="N47" s="359" t="n"/>
      <c r="O47" s="359" t="n"/>
      <c r="P47" s="359" t="n"/>
      <c r="Q47" s="359" t="n"/>
      <c r="R47" s="359" t="n"/>
      <c r="S47" s="359" t="n"/>
      <c r="T47" s="359" t="n"/>
      <c r="U47" s="359" t="n"/>
      <c r="V47" s="359" t="n"/>
      <c r="W47" s="359" t="n"/>
      <c r="X47" s="359" t="n"/>
      <c r="Y47" s="359" t="n"/>
      <c r="Z47" s="359" t="n"/>
      <c r="AA47" s="359" t="n"/>
      <c r="AB47" s="359" t="n"/>
      <c r="AC47" s="359" t="n"/>
      <c r="AD47" s="359" t="n"/>
      <c r="AE47" s="359" t="n"/>
      <c r="AF47" s="359" t="n"/>
      <c r="AG47" s="359" t="n"/>
      <c r="AH47" s="359" t="n"/>
      <c r="AI47" s="359" t="n"/>
    </row>
    <row r="48" ht="15.75" customHeight="1">
      <c r="A48" s="562" t="inlineStr">
        <is>
          <t xml:space="preserve">Tacking Fixture main Frame </t>
        </is>
      </c>
      <c r="B48" s="563">
        <f>IFERROR(G9*1.75/F3, "")</f>
        <v/>
      </c>
      <c r="C48" s="563" t="n"/>
      <c r="D48" s="563" t="n"/>
      <c r="E48" s="562" t="n">
        <v>120</v>
      </c>
      <c r="F48" s="563">
        <f>IFERROR(B48*E48, "")</f>
        <v/>
      </c>
      <c r="G48" s="550" t="n"/>
      <c r="H48" s="359" t="n"/>
      <c r="I48" s="359" t="n"/>
      <c r="J48" s="359" t="n"/>
      <c r="K48" s="359" t="n"/>
      <c r="L48" s="359" t="n"/>
      <c r="M48" s="359" t="n"/>
      <c r="N48" s="359" t="n"/>
      <c r="O48" s="359" t="n"/>
      <c r="P48" s="359" t="n"/>
      <c r="Q48" s="359" t="n"/>
      <c r="R48" s="359" t="n"/>
      <c r="S48" s="359" t="n"/>
      <c r="T48" s="359" t="n"/>
      <c r="U48" s="359" t="n"/>
      <c r="V48" s="359" t="n"/>
      <c r="W48" s="359" t="n"/>
      <c r="X48" s="359" t="n"/>
      <c r="Y48" s="359" t="n"/>
      <c r="Z48" s="359" t="n"/>
      <c r="AA48" s="359" t="n"/>
      <c r="AB48" s="359" t="n"/>
      <c r="AC48" s="359" t="n"/>
      <c r="AD48" s="359" t="n"/>
      <c r="AE48" s="359" t="n"/>
      <c r="AF48" s="359" t="n"/>
      <c r="AG48" s="359" t="n"/>
      <c r="AH48" s="359" t="n"/>
      <c r="AI48" s="359" t="n"/>
    </row>
    <row r="49" ht="15.75" customHeight="1">
      <c r="A49" s="562" t="inlineStr">
        <is>
          <t xml:space="preserve">Templates + Jigs </t>
        </is>
      </c>
      <c r="B49" s="563">
        <f>IFERROR(B48*0.05, "")</f>
        <v/>
      </c>
      <c r="C49" s="563" t="n"/>
      <c r="D49" s="563" t="n"/>
      <c r="E49" s="562" t="n">
        <v>120</v>
      </c>
      <c r="F49" s="563">
        <f>IFERROR(E49*B49, "")</f>
        <v/>
      </c>
      <c r="G49" s="550" t="n"/>
      <c r="H49" s="359" t="n"/>
      <c r="I49" s="359" t="n"/>
      <c r="J49" s="359" t="n"/>
      <c r="K49" s="359" t="n"/>
      <c r="L49" s="359" t="n"/>
      <c r="M49" s="359" t="n"/>
      <c r="N49" s="359" t="n"/>
      <c r="O49" s="359" t="n"/>
      <c r="P49" s="359" t="n"/>
      <c r="Q49" s="359" t="n"/>
      <c r="R49" s="359" t="n"/>
      <c r="S49" s="359" t="n"/>
      <c r="T49" s="359" t="n"/>
      <c r="U49" s="359" t="n"/>
      <c r="V49" s="359" t="n"/>
      <c r="W49" s="359" t="n"/>
      <c r="X49" s="359" t="n"/>
      <c r="Y49" s="359" t="n"/>
      <c r="Z49" s="359" t="n"/>
      <c r="AA49" s="359" t="n"/>
      <c r="AB49" s="359" t="n"/>
      <c r="AC49" s="359" t="n"/>
      <c r="AD49" s="359" t="n"/>
      <c r="AE49" s="359" t="n"/>
      <c r="AF49" s="359" t="n"/>
      <c r="AG49" s="359" t="n"/>
      <c r="AH49" s="359" t="n"/>
      <c r="AI49" s="359" t="n"/>
    </row>
    <row r="50" ht="15.75" customHeight="1">
      <c r="A50" s="562" t="inlineStr">
        <is>
          <t xml:space="preserve">Machining fixture + Tooling </t>
        </is>
      </c>
      <c r="B50" s="563">
        <f>IFERROR(B48*40%, "")</f>
        <v/>
      </c>
      <c r="C50" s="563" t="n"/>
      <c r="D50" s="563" t="n"/>
      <c r="E50" s="562" t="n">
        <v>120</v>
      </c>
      <c r="F50" s="563">
        <f>IFERROR(E50*B50, "")</f>
        <v/>
      </c>
      <c r="G50" s="550" t="n"/>
      <c r="H50" s="359" t="n"/>
      <c r="I50" s="359" t="n"/>
      <c r="J50" s="359" t="n"/>
      <c r="K50" s="359" t="n"/>
      <c r="L50" s="359" t="n"/>
      <c r="M50" s="359" t="n"/>
      <c r="N50" s="359" t="n"/>
      <c r="O50" s="359" t="n"/>
      <c r="P50" s="359" t="n"/>
      <c r="Q50" s="359" t="n"/>
      <c r="R50" s="359" t="n"/>
      <c r="S50" s="359" t="n"/>
      <c r="T50" s="359" t="n"/>
      <c r="U50" s="359" t="n"/>
      <c r="V50" s="359" t="n"/>
      <c r="W50" s="359" t="n"/>
      <c r="X50" s="359" t="n"/>
      <c r="Y50" s="359" t="n"/>
      <c r="Z50" s="359" t="n"/>
      <c r="AA50" s="359" t="n"/>
      <c r="AB50" s="359" t="n"/>
      <c r="AC50" s="359" t="n"/>
      <c r="AD50" s="359" t="n"/>
      <c r="AE50" s="359" t="n"/>
      <c r="AF50" s="359" t="n"/>
      <c r="AG50" s="359" t="n"/>
      <c r="AH50" s="359" t="n"/>
      <c r="AI50" s="359" t="n"/>
    </row>
    <row r="51" ht="15.75" customHeight="1">
      <c r="A51" s="562" t="inlineStr">
        <is>
          <t>Total</t>
        </is>
      </c>
      <c r="B51" s="562" t="n"/>
      <c r="C51" s="562" t="n"/>
      <c r="D51" s="562" t="n"/>
      <c r="E51" s="562" t="n"/>
      <c r="F51" s="563">
        <f>IFERROR(SUM(F48:F50), "")</f>
        <v/>
      </c>
      <c r="G51" s="550" t="n"/>
      <c r="H51" s="359" t="n"/>
      <c r="I51" s="359" t="n"/>
      <c r="J51" s="359" t="n"/>
      <c r="K51" s="359" t="n"/>
      <c r="L51" s="359" t="n"/>
      <c r="M51" s="359" t="n"/>
      <c r="N51" s="359" t="n"/>
      <c r="O51" s="359" t="n"/>
      <c r="P51" s="359" t="n"/>
      <c r="Q51" s="359" t="n"/>
      <c r="R51" s="359" t="n"/>
      <c r="S51" s="359" t="n"/>
      <c r="T51" s="359" t="n"/>
      <c r="U51" s="359" t="n"/>
      <c r="V51" s="359" t="n"/>
      <c r="W51" s="359" t="n"/>
      <c r="X51" s="359" t="n"/>
      <c r="Y51" s="359" t="n"/>
      <c r="Z51" s="359" t="n"/>
      <c r="AA51" s="359" t="n"/>
      <c r="AB51" s="359" t="n"/>
      <c r="AC51" s="359" t="n"/>
      <c r="AD51" s="359" t="n"/>
      <c r="AE51" s="359" t="n"/>
      <c r="AF51" s="359" t="n"/>
      <c r="AG51" s="359" t="n"/>
      <c r="AH51" s="359" t="n"/>
      <c r="AI51" s="359" t="n"/>
    </row>
    <row r="52">
      <c r="A52" s="150" t="n"/>
      <c r="B52" s="150" t="n"/>
      <c r="C52" s="150" t="n"/>
      <c r="D52" s="150" t="n"/>
      <c r="E52" s="150" t="n"/>
      <c r="F52" s="150" t="n"/>
      <c r="G52" s="550" t="n"/>
      <c r="H52" s="359" t="n"/>
      <c r="I52" s="359" t="n"/>
      <c r="J52" s="359" t="n"/>
      <c r="K52" s="359" t="n"/>
      <c r="L52" s="359" t="n"/>
      <c r="M52" s="359" t="n"/>
      <c r="N52" s="359" t="n"/>
      <c r="O52" s="359" t="n"/>
      <c r="P52" s="359" t="n"/>
      <c r="Q52" s="359" t="n"/>
      <c r="R52" s="359" t="n"/>
      <c r="S52" s="359" t="n"/>
      <c r="T52" s="359" t="n"/>
      <c r="U52" s="359" t="n"/>
      <c r="V52" s="359" t="n"/>
      <c r="W52" s="359" t="n"/>
      <c r="X52" s="359" t="n"/>
      <c r="Y52" s="359" t="n"/>
      <c r="Z52" s="359" t="n"/>
      <c r="AA52" s="359" t="n"/>
      <c r="AB52" s="359" t="n"/>
      <c r="AC52" s="359" t="n"/>
      <c r="AD52" s="359" t="n"/>
      <c r="AE52" s="359" t="n"/>
      <c r="AF52" s="359" t="n"/>
      <c r="AG52" s="359" t="n"/>
      <c r="AH52" s="359" t="n"/>
      <c r="AI52" s="359" t="n"/>
    </row>
    <row r="53">
      <c r="A53" s="150" t="n"/>
      <c r="B53" s="150" t="n"/>
      <c r="C53" s="150" t="n"/>
      <c r="D53" s="150" t="n"/>
      <c r="E53" s="150" t="n"/>
      <c r="F53" s="150" t="n"/>
      <c r="G53" s="550" t="n"/>
      <c r="H53" s="359" t="n"/>
      <c r="I53" s="359" t="n"/>
      <c r="J53" s="359" t="n"/>
      <c r="K53" s="359" t="n"/>
      <c r="L53" s="359" t="n"/>
      <c r="M53" s="359" t="n"/>
      <c r="N53" s="359" t="n"/>
      <c r="O53" s="359" t="n"/>
      <c r="P53" s="359" t="n"/>
      <c r="Q53" s="359" t="n"/>
      <c r="R53" s="359" t="n"/>
      <c r="S53" s="359" t="n"/>
      <c r="T53" s="359" t="n"/>
      <c r="U53" s="359" t="n"/>
      <c r="V53" s="359" t="n"/>
      <c r="W53" s="359" t="n"/>
      <c r="X53" s="359" t="n"/>
      <c r="Y53" s="359" t="n"/>
      <c r="Z53" s="359" t="n"/>
      <c r="AA53" s="359" t="n"/>
      <c r="AB53" s="359" t="n"/>
      <c r="AC53" s="359" t="n"/>
      <c r="AD53" s="359" t="n"/>
      <c r="AE53" s="359" t="n"/>
      <c r="AF53" s="359" t="n"/>
      <c r="AG53" s="359" t="n"/>
      <c r="AH53" s="359" t="n"/>
      <c r="AI53" s="359" t="n"/>
    </row>
    <row r="54">
      <c r="A54" s="150" t="n"/>
      <c r="B54" s="157" t="n"/>
      <c r="C54" s="157" t="n"/>
      <c r="D54" s="157" t="n"/>
      <c r="E54" s="359" t="n"/>
      <c r="F54" s="86" t="n"/>
      <c r="G54" s="86" t="n"/>
      <c r="H54" s="359" t="n"/>
      <c r="I54" s="359" t="n"/>
      <c r="J54" s="359" t="n"/>
      <c r="K54" s="359" t="n"/>
      <c r="L54" s="359" t="n"/>
      <c r="M54" s="359" t="n"/>
      <c r="N54" s="359" t="n"/>
      <c r="O54" s="359" t="n"/>
      <c r="P54" s="359" t="n"/>
      <c r="Q54" s="359" t="n"/>
      <c r="R54" s="359" t="n"/>
      <c r="S54" s="359" t="n"/>
      <c r="T54" s="359" t="n"/>
      <c r="U54" s="359" t="n"/>
      <c r="V54" s="359" t="n"/>
      <c r="W54" s="359" t="n"/>
      <c r="X54" s="359" t="n"/>
      <c r="Y54" s="359" t="n"/>
      <c r="Z54" s="359" t="n"/>
      <c r="AA54" s="359" t="n"/>
      <c r="AB54" s="359" t="n"/>
      <c r="AC54" s="359" t="n"/>
      <c r="AD54" s="359" t="n"/>
      <c r="AE54" s="359" t="n"/>
      <c r="AF54" s="359" t="n"/>
      <c r="AG54" s="359" t="n"/>
      <c r="AH54" s="359" t="n"/>
      <c r="AI54" s="359" t="n"/>
    </row>
    <row r="55">
      <c r="A55" s="359" t="n"/>
      <c r="B55" s="359" t="n"/>
      <c r="C55" s="359" t="n"/>
      <c r="D55" s="359" t="n"/>
      <c r="E55" s="359" t="n"/>
      <c r="F55" s="86" t="n"/>
      <c r="G55" s="86" t="n"/>
      <c r="H55" s="86" t="n"/>
      <c r="I55" s="86" t="n"/>
      <c r="J55" s="86" t="n"/>
      <c r="K55" s="359" t="n"/>
      <c r="L55" s="359" t="n"/>
      <c r="M55" s="359" t="n"/>
      <c r="N55" s="359" t="n"/>
      <c r="O55" s="359" t="n"/>
      <c r="P55" s="359" t="n"/>
      <c r="Q55" s="359" t="n"/>
      <c r="R55" s="359" t="n"/>
      <c r="S55" s="359" t="n"/>
      <c r="T55" s="359" t="n"/>
      <c r="U55" s="359" t="n"/>
      <c r="V55" s="359" t="n"/>
      <c r="W55" s="359" t="n"/>
      <c r="X55" s="359" t="n"/>
      <c r="Y55" s="359" t="n"/>
      <c r="Z55" s="359" t="n"/>
      <c r="AA55" s="359" t="n"/>
      <c r="AB55" s="359" t="n"/>
      <c r="AC55" s="359" t="n"/>
      <c r="AD55" s="359" t="n"/>
      <c r="AE55" s="359" t="n"/>
      <c r="AF55" s="359" t="n"/>
      <c r="AG55" s="359" t="n"/>
      <c r="AH55" s="359" t="n"/>
      <c r="AI55" s="359" t="n"/>
    </row>
    <row r="56">
      <c r="A56" s="359" t="n"/>
      <c r="B56" s="359" t="n"/>
      <c r="C56" s="359" t="n"/>
      <c r="D56" s="359" t="n"/>
      <c r="E56" s="359" t="n"/>
      <c r="F56" s="86" t="n"/>
      <c r="G56" s="86" t="n"/>
      <c r="H56" s="99" t="n"/>
      <c r="I56" s="99" t="n"/>
      <c r="J56" s="99" t="n"/>
      <c r="K56" s="359" t="n"/>
      <c r="L56" s="359" t="n"/>
      <c r="M56" s="359" t="n"/>
      <c r="N56" s="359" t="n"/>
      <c r="O56" s="359" t="n"/>
      <c r="P56" s="359" t="n"/>
      <c r="Q56" s="359" t="n"/>
      <c r="R56" s="359" t="n"/>
      <c r="S56" s="359" t="n"/>
      <c r="T56" s="359" t="n"/>
      <c r="U56" s="359" t="n"/>
      <c r="V56" s="359" t="n"/>
      <c r="W56" s="359" t="n"/>
      <c r="X56" s="359" t="n"/>
      <c r="Y56" s="359" t="n"/>
      <c r="Z56" s="359" t="n"/>
      <c r="AA56" s="359" t="n"/>
      <c r="AB56" s="359" t="n"/>
      <c r="AC56" s="359" t="n"/>
      <c r="AD56" s="359" t="n"/>
      <c r="AE56" s="359" t="n"/>
      <c r="AF56" s="359" t="n"/>
      <c r="AG56" s="359" t="n"/>
      <c r="AH56" s="359" t="n"/>
      <c r="AI56" s="359" t="n"/>
    </row>
    <row r="57">
      <c r="A57" s="359" t="n"/>
      <c r="B57" s="359" t="n"/>
      <c r="C57" s="359" t="n"/>
      <c r="D57" s="359" t="n"/>
      <c r="E57" s="359" t="n"/>
      <c r="F57" s="359" t="n"/>
      <c r="G57" s="86" t="n"/>
      <c r="H57" s="86" t="n"/>
      <c r="I57" s="86" t="n"/>
      <c r="J57" s="86" t="n"/>
      <c r="K57" s="359" t="n"/>
      <c r="L57" s="359" t="n"/>
      <c r="M57" s="359" t="n"/>
      <c r="N57" s="359" t="n"/>
      <c r="O57" s="359" t="n"/>
      <c r="P57" s="359" t="n"/>
      <c r="Q57" s="359" t="n"/>
      <c r="R57" s="359" t="n"/>
      <c r="S57" s="359" t="n"/>
      <c r="T57" s="359" t="n"/>
      <c r="U57" s="359" t="n"/>
      <c r="V57" s="359" t="n"/>
      <c r="W57" s="359" t="n"/>
      <c r="X57" s="359" t="n"/>
      <c r="Y57" s="359" t="n"/>
      <c r="Z57" s="359" t="n"/>
      <c r="AA57" s="359" t="n"/>
      <c r="AB57" s="359" t="n"/>
      <c r="AC57" s="359" t="n"/>
      <c r="AD57" s="359" t="n"/>
      <c r="AE57" s="359" t="n"/>
      <c r="AF57" s="359" t="n"/>
      <c r="AG57" s="359" t="n"/>
      <c r="AH57" s="359" t="n"/>
      <c r="AI57" s="359" t="n"/>
    </row>
    <row r="58">
      <c r="A58" s="359" t="n"/>
      <c r="B58" s="359" t="n"/>
      <c r="C58" s="359" t="n"/>
      <c r="D58" s="359" t="n"/>
      <c r="E58" s="359" t="n"/>
      <c r="F58" s="86" t="n"/>
      <c r="G58" s="359" t="n"/>
      <c r="H58" s="86" t="n"/>
      <c r="I58" s="86" t="n"/>
      <c r="J58" s="86" t="n"/>
      <c r="K58" s="359" t="n"/>
      <c r="L58" s="359" t="n"/>
      <c r="M58" s="359" t="n"/>
      <c r="N58" s="359" t="n"/>
      <c r="O58" s="359" t="n"/>
      <c r="P58" s="359" t="n"/>
      <c r="Q58" s="359" t="n"/>
      <c r="R58" s="359" t="n"/>
      <c r="S58" s="359" t="n"/>
      <c r="T58" s="359" t="n"/>
      <c r="U58" s="359" t="n"/>
      <c r="V58" s="359" t="n"/>
      <c r="W58" s="359" t="n"/>
      <c r="X58" s="359" t="n"/>
      <c r="Y58" s="359" t="n"/>
      <c r="Z58" s="359" t="n"/>
      <c r="AA58" s="359" t="n"/>
      <c r="AB58" s="359" t="n"/>
      <c r="AC58" s="359" t="n"/>
      <c r="AD58" s="359" t="n"/>
      <c r="AE58" s="359" t="n"/>
      <c r="AF58" s="359" t="n"/>
      <c r="AG58" s="359" t="n"/>
      <c r="AH58" s="359" t="n"/>
      <c r="AI58" s="359" t="n"/>
    </row>
    <row r="59">
      <c r="A59" s="359" t="n"/>
      <c r="B59" s="359" t="n"/>
      <c r="C59" s="359" t="n"/>
      <c r="D59" s="359" t="n"/>
      <c r="E59" s="359" t="n"/>
      <c r="F59" s="359" t="n"/>
      <c r="G59" s="469" t="n"/>
      <c r="H59" s="359" t="n"/>
      <c r="I59" s="359" t="n"/>
      <c r="J59" s="359" t="n"/>
      <c r="K59" s="359" t="n"/>
      <c r="L59" s="359" t="n"/>
      <c r="M59" s="359" t="n"/>
      <c r="N59" s="359" t="n"/>
      <c r="O59" s="359" t="n"/>
      <c r="P59" s="359" t="n"/>
      <c r="Q59" s="359" t="n"/>
      <c r="R59" s="359" t="n"/>
      <c r="S59" s="359" t="n"/>
      <c r="T59" s="359" t="n"/>
      <c r="U59" s="359" t="n"/>
      <c r="V59" s="359" t="n"/>
      <c r="W59" s="359" t="n"/>
      <c r="X59" s="359" t="n"/>
      <c r="Y59" s="359" t="n"/>
      <c r="Z59" s="359" t="n"/>
      <c r="AA59" s="359" t="n"/>
      <c r="AB59" s="359" t="n"/>
      <c r="AC59" s="359" t="n"/>
      <c r="AD59" s="359" t="n"/>
      <c r="AE59" s="359" t="n"/>
      <c r="AF59" s="359" t="n"/>
      <c r="AG59" s="359" t="n"/>
      <c r="AH59" s="359" t="n"/>
      <c r="AI59" s="359" t="n"/>
    </row>
    <row r="60">
      <c r="A60" s="359" t="n"/>
      <c r="B60" s="359" t="n"/>
      <c r="C60" s="359" t="n"/>
      <c r="D60" s="359" t="n"/>
      <c r="E60" s="359" t="n"/>
      <c r="F60" s="359" t="n"/>
      <c r="G60" s="359" t="n"/>
      <c r="H60" s="90" t="n"/>
      <c r="I60" s="90" t="n"/>
      <c r="J60" s="90" t="n"/>
      <c r="K60" s="359" t="n"/>
      <c r="L60" s="359" t="n"/>
      <c r="M60" s="359" t="n"/>
      <c r="N60" s="359" t="n"/>
      <c r="O60" s="359" t="n"/>
      <c r="P60" s="359" t="n"/>
      <c r="Q60" s="359" t="n"/>
      <c r="R60" s="359" t="n"/>
      <c r="S60" s="359" t="n"/>
      <c r="T60" s="359" t="n"/>
      <c r="U60" s="359" t="n"/>
      <c r="V60" s="359" t="n"/>
      <c r="W60" s="359" t="n"/>
      <c r="X60" s="359" t="n"/>
      <c r="Y60" s="359" t="n"/>
      <c r="Z60" s="359" t="n"/>
      <c r="AA60" s="359" t="n"/>
      <c r="AB60" s="359" t="n"/>
      <c r="AC60" s="359" t="n"/>
      <c r="AD60" s="359" t="n"/>
      <c r="AE60" s="359" t="n"/>
      <c r="AF60" s="359" t="n"/>
      <c r="AG60" s="359" t="n"/>
      <c r="AH60" s="359" t="n"/>
      <c r="AI60" s="359" t="n"/>
    </row>
  </sheetData>
  <mergeCells count="20">
    <mergeCell ref="A34:E34"/>
    <mergeCell ref="X12:Y12"/>
    <mergeCell ref="A46:F46"/>
    <mergeCell ref="AC9:AF9"/>
    <mergeCell ref="X11:Y11"/>
    <mergeCell ref="A21:F21"/>
    <mergeCell ref="A5:F5"/>
    <mergeCell ref="G19:H19"/>
    <mergeCell ref="B14:F14"/>
    <mergeCell ref="B4:D4"/>
    <mergeCell ref="AD2:AE2"/>
    <mergeCell ref="A40:F40"/>
    <mergeCell ref="A15:F15"/>
    <mergeCell ref="B3:D3"/>
    <mergeCell ref="A20:E20"/>
    <mergeCell ref="X10:Y10"/>
    <mergeCell ref="A1:F1"/>
    <mergeCell ref="A19:E19"/>
    <mergeCell ref="A6:F6"/>
    <mergeCell ref="B2:D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9" firstPageNumb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"/>
  <sheetViews>
    <sheetView topLeftCell="I1" zoomScaleNormal="100" workbookViewId="0">
      <pane ySplit="3" topLeftCell="A4" activePane="bottomLeft" state="frozen"/>
      <selection pane="bottomLeft" activeCell="W3" sqref="W3"/>
    </sheetView>
  </sheetViews>
  <sheetFormatPr baseColWidth="8" defaultColWidth="7.28515625" defaultRowHeight="13.5"/>
  <cols>
    <col width="4.5703125" bestFit="1" customWidth="1" style="263" min="1" max="1"/>
    <col width="8.85546875" customWidth="1" style="263" min="2" max="2"/>
    <col width="15.28515625" bestFit="1" customWidth="1" style="263" min="3" max="3"/>
    <col hidden="1" width="4" customWidth="1" style="263" min="4" max="4"/>
    <col width="28.28515625" customWidth="1" style="263" min="5" max="5"/>
    <col width="8.85546875" bestFit="1" customWidth="1" style="263" min="6" max="6"/>
    <col width="8.85546875" customWidth="1" style="263" min="7" max="7"/>
    <col width="10.140625" bestFit="1" customWidth="1" style="263" min="8" max="8"/>
    <col width="13.85546875" customWidth="1" style="263" min="9" max="9"/>
    <col width="8.42578125" bestFit="1" customWidth="1" style="263" min="10" max="10"/>
    <col width="13.42578125" bestFit="1" customWidth="1" style="263" min="11" max="11"/>
    <col width="8.5703125" customWidth="1" style="263" min="12" max="12"/>
    <col width="10.42578125" bestFit="1" customWidth="1" style="263" min="13" max="13"/>
    <col width="8.7109375" customWidth="1" style="263" min="14" max="14"/>
    <col width="8.42578125" bestFit="1" customWidth="1" style="263" min="15" max="15"/>
    <col width="11.42578125" customWidth="1" style="263" min="16" max="16"/>
    <col width="9.140625" customWidth="1" style="263" min="17" max="17"/>
    <col width="7" customWidth="1" style="263" min="18" max="19"/>
    <col width="6" customWidth="1" style="263" min="20" max="20"/>
    <col width="7.42578125" customWidth="1" style="263" min="21" max="21"/>
    <col width="9.28515625" bestFit="1" customWidth="1" style="263" min="22" max="22"/>
    <col width="13.7109375" bestFit="1" customWidth="1" style="263" min="23" max="23"/>
    <col width="7.28515625" customWidth="1" style="263" min="24" max="24"/>
    <col width="12.140625" bestFit="1" customWidth="1" style="263" min="25" max="25"/>
    <col width="9.42578125" bestFit="1" customWidth="1" style="263" min="26" max="26"/>
    <col width="37" bestFit="1" customWidth="1" style="263" min="27" max="27"/>
    <col width="9.5703125" bestFit="1" customWidth="1" style="263" min="28" max="28"/>
    <col width="11.42578125" bestFit="1" customWidth="1" style="263" min="29" max="29"/>
    <col width="7.28515625" customWidth="1" style="263" min="30" max="16384"/>
  </cols>
  <sheetData>
    <row r="1" ht="14.25" customFormat="1" customHeight="1" s="69" thickBot="1">
      <c r="A1" s="564" t="inlineStr">
        <is>
          <t>S.No</t>
        </is>
      </c>
      <c r="B1" s="280" t="inlineStr">
        <is>
          <t>Level</t>
        </is>
      </c>
      <c r="C1" s="264" t="n"/>
      <c r="D1" s="265" t="n"/>
      <c r="E1" s="265" t="n"/>
      <c r="F1" s="265" t="n"/>
      <c r="G1" s="266" t="n"/>
      <c r="H1" s="565" t="n"/>
      <c r="I1" s="565" t="n"/>
      <c r="J1" s="62" t="n"/>
      <c r="K1" s="62" t="n"/>
      <c r="L1" s="62" t="n"/>
      <c r="M1" s="62" t="n"/>
      <c r="N1" s="63" t="n"/>
      <c r="O1" s="64" t="n">
        <v>0.08</v>
      </c>
      <c r="P1" s="64" t="n"/>
      <c r="Q1" s="566" t="n">
        <v>0.1</v>
      </c>
      <c r="R1" s="566" t="n"/>
      <c r="S1" s="567" t="n">
        <v>25</v>
      </c>
      <c r="T1" s="566" t="n"/>
      <c r="U1" s="566" t="n"/>
      <c r="V1" s="568" t="n"/>
      <c r="W1" s="568" t="n">
        <v>550</v>
      </c>
      <c r="X1" s="568" t="n"/>
      <c r="Y1" s="568" t="n"/>
      <c r="Z1" s="566" t="n">
        <v>0.25</v>
      </c>
      <c r="AA1" s="64" t="n"/>
      <c r="AB1" s="68" t="n"/>
      <c r="AC1" s="221" t="n">
        <v>1</v>
      </c>
    </row>
    <row r="2" ht="30" customFormat="1" customHeight="1" s="69" thickBot="1">
      <c r="A2" s="591" t="n"/>
      <c r="B2" s="76" t="inlineStr">
        <is>
          <t xml:space="preserve">Level </t>
        </is>
      </c>
      <c r="C2" s="78" t="inlineStr">
        <is>
          <t>Drawing
No.</t>
        </is>
      </c>
      <c r="D2" s="77" t="inlineStr">
        <is>
          <t>Rev</t>
        </is>
      </c>
      <c r="E2" s="78" t="inlineStr">
        <is>
          <t xml:space="preserve">Description </t>
        </is>
      </c>
      <c r="F2" s="78" t="inlineStr">
        <is>
          <t>Qty.</t>
        </is>
      </c>
      <c r="G2" s="355" t="inlineStr">
        <is>
          <t>Total Qty.</t>
        </is>
      </c>
      <c r="H2" s="79" t="inlineStr">
        <is>
          <t>Net Weight 
(Kg)</t>
        </is>
      </c>
      <c r="I2" s="80" t="inlineStr">
        <is>
          <t>Total Wt.
(Kg)</t>
        </is>
      </c>
      <c r="J2" s="78" t="inlineStr">
        <is>
          <t>Type</t>
        </is>
      </c>
      <c r="K2" s="78" t="inlineStr">
        <is>
          <t>Material
 Grade</t>
        </is>
      </c>
      <c r="L2" s="78" t="inlineStr">
        <is>
          <t>IS Size
(mm)</t>
        </is>
      </c>
      <c r="M2" s="78" t="inlineStr">
        <is>
          <t xml:space="preserve">Width </t>
        </is>
      </c>
      <c r="N2" s="78" t="inlineStr">
        <is>
          <t>Length</t>
        </is>
      </c>
      <c r="O2" s="81" t="inlineStr">
        <is>
          <t>Gross Wt 
(kg)</t>
        </is>
      </c>
      <c r="P2" s="81" t="inlineStr">
        <is>
          <t>Total Gross Wt.(kg)</t>
        </is>
      </c>
      <c r="Q2" s="570" t="inlineStr">
        <is>
          <t>Cutting 
Perimeter</t>
        </is>
      </c>
      <c r="R2" s="570" t="inlineStr">
        <is>
          <t xml:space="preserve">Cutting 
Time </t>
        </is>
      </c>
      <c r="S2" s="570" t="inlineStr">
        <is>
          <t xml:space="preserve">Cutting Cost </t>
        </is>
      </c>
      <c r="T2" s="570" t="inlineStr">
        <is>
          <t xml:space="preserve">No. of 
bends </t>
        </is>
      </c>
      <c r="U2" s="570" t="inlineStr">
        <is>
          <t>Bending
 Details</t>
        </is>
      </c>
      <c r="V2" s="570" t="inlineStr">
        <is>
          <t>Machining
Time (min)</t>
        </is>
      </c>
      <c r="W2" s="570" t="inlineStr">
        <is>
          <t>Machining 
Cost</t>
        </is>
      </c>
      <c r="X2" s="570" t="inlineStr">
        <is>
          <t>Other 
Process</t>
        </is>
      </c>
      <c r="Y2" s="570" t="inlineStr">
        <is>
          <t>Other process
Cost</t>
        </is>
      </c>
      <c r="Z2" s="570" t="inlineStr">
        <is>
          <t>Welding
 Length (M)</t>
        </is>
      </c>
      <c r="AA2" s="81" t="inlineStr">
        <is>
          <t>Remarks</t>
        </is>
      </c>
      <c r="AB2" s="83" t="inlineStr">
        <is>
          <t xml:space="preserve">Paint </t>
        </is>
      </c>
      <c r="AC2" s="83" t="inlineStr">
        <is>
          <t>Surface Area
SQM</t>
        </is>
      </c>
    </row>
    <row r="3" ht="25.5" customFormat="1" customHeight="1" s="75">
      <c r="A3" s="70" t="n">
        <v>1</v>
      </c>
      <c r="B3" s="71" t="n">
        <v>0</v>
      </c>
      <c r="C3" s="261" t="inlineStr">
        <is>
          <t>2118 626 01A1</t>
        </is>
      </c>
      <c r="D3" s="70" t="n"/>
      <c r="E3" s="353" t="inlineStr">
        <is>
          <t>STEERING ROLL HANDLING
RIG ADAPTOR ASSEMBLY</t>
        </is>
      </c>
      <c r="F3" s="571" t="n">
        <v>5</v>
      </c>
      <c r="G3" s="571">
        <f>IFERROR(F3, "")</f>
        <v/>
      </c>
      <c r="H3" s="72" t="n">
        <v>659.39</v>
      </c>
      <c r="I3" s="72">
        <f>IFERROR(H3*F3, "")</f>
        <v/>
      </c>
      <c r="J3" s="73" t="inlineStr">
        <is>
          <t>Final Assy</t>
        </is>
      </c>
      <c r="K3" s="72" t="inlineStr"/>
      <c r="L3" s="71" t="n"/>
      <c r="M3" s="71" t="n"/>
      <c r="N3" s="72" t="n"/>
      <c r="O3" s="72" t="n"/>
      <c r="P3" s="72" t="n"/>
      <c r="Q3" s="164" t="n"/>
      <c r="R3" s="72">
        <f>IFERROR(SUM(R4:R10), "")</f>
        <v/>
      </c>
      <c r="S3" s="72" t="n"/>
      <c r="T3" s="72">
        <f>IFERROR(SUMPRODUCT($F$4:$F$10,T4:T10), "")</f>
        <v/>
      </c>
      <c r="U3" s="72" t="n"/>
      <c r="V3" s="72">
        <f>IFERROR(SUMPRODUCT($G$4:$G$10,V4:V10)+(12*60*G3), "")</f>
        <v/>
      </c>
      <c r="W3" s="72">
        <f>IFERROR(SUM(W4:W10)+(12*60*4500/60*G3), "")</f>
        <v/>
      </c>
      <c r="X3" s="72" t="n"/>
      <c r="Y3" s="72" t="n"/>
      <c r="Z3" s="72">
        <f>IFERROR(SUM(Z4:Z10)*(1+$Z$1)/1000, "")</f>
        <v/>
      </c>
      <c r="AA3" s="72" t="n"/>
      <c r="AB3" s="74" t="n"/>
      <c r="AC3" s="72">
        <f>IFERROR(SUM(AC4:AC10)*(1+$Z$1), "")</f>
        <v/>
      </c>
    </row>
    <row r="4" ht="25.5" customFormat="1" customHeight="1" s="258">
      <c r="A4" s="251" t="n">
        <v>2</v>
      </c>
      <c r="B4" s="252" t="n">
        <v>1</v>
      </c>
      <c r="C4" s="262" t="n"/>
      <c r="D4" s="253" t="n"/>
      <c r="E4" s="253" t="inlineStr">
        <is>
          <t>PIPE DN350 x SCH-80. x 685 LG. ENDS SQ.</t>
        </is>
      </c>
      <c r="F4" s="252" t="n">
        <v>1</v>
      </c>
      <c r="G4" s="252">
        <f>IFERROR(F4*$G$3, "")</f>
        <v/>
      </c>
      <c r="H4" s="254" t="n">
        <v>104.73</v>
      </c>
      <c r="I4" s="254">
        <f>IFERROR(H4*G4, "")</f>
        <v/>
      </c>
      <c r="J4" s="158" t="inlineStr">
        <is>
          <t>Pipe</t>
        </is>
      </c>
      <c r="K4" s="158" t="inlineStr">
        <is>
          <t>ASTM A106 GR.B</t>
        </is>
      </c>
      <c r="L4" s="253" t="inlineStr">
        <is>
          <t>OD 355.6 x 19.05 thk</t>
        </is>
      </c>
      <c r="M4" s="252" t="n"/>
      <c r="N4" s="252" t="n">
        <v>685</v>
      </c>
      <c r="O4" s="254">
        <f>IFERROR(158.11*N4/1000*(1+O1)*G4, "")</f>
        <v/>
      </c>
      <c r="P4" s="254">
        <f>IFERROR(158.11*6, "")</f>
        <v/>
      </c>
      <c r="Q4" s="252" t="n"/>
      <c r="R4" s="256" t="n"/>
      <c r="S4" s="252" t="n"/>
      <c r="T4" s="252" t="n"/>
      <c r="U4" s="252" t="n"/>
      <c r="V4" s="252" t="n">
        <v>60</v>
      </c>
      <c r="W4" s="252">
        <f>IFERROR(V4*500/60*F4, "")</f>
        <v/>
      </c>
      <c r="X4" s="252" t="n"/>
      <c r="Y4" s="252" t="n"/>
      <c r="Z4" s="252" t="n"/>
      <c r="AA4" s="252" t="inlineStr">
        <is>
          <t>Facing On lathe and Size</t>
        </is>
      </c>
      <c r="AB4" s="255" t="n"/>
      <c r="AC4" s="257" t="n"/>
    </row>
    <row r="5" ht="21.75" customFormat="1" customHeight="1" s="258">
      <c r="A5" s="251" t="n">
        <v>3</v>
      </c>
      <c r="B5" s="252" t="n">
        <v>2</v>
      </c>
      <c r="C5" s="262" t="n"/>
      <c r="D5" s="253" t="n"/>
      <c r="E5" s="253" t="inlineStr">
        <is>
          <t>PLATE 320 O.D. x 190 I.D. x 180 LG. ENDS SQ.</t>
        </is>
      </c>
      <c r="F5" s="252" t="n">
        <v>1</v>
      </c>
      <c r="G5" s="252">
        <f>IFERROR(F5*$G$3, "")</f>
        <v/>
      </c>
      <c r="H5" s="572" t="n">
        <v>62.21</v>
      </c>
      <c r="I5" s="254">
        <f>IFERROR(H5*G5, "")</f>
        <v/>
      </c>
      <c r="J5" s="158" t="inlineStr">
        <is>
          <t xml:space="preserve">Block </t>
        </is>
      </c>
      <c r="K5" s="158" t="inlineStr">
        <is>
          <t>IS2062: E250A</t>
        </is>
      </c>
      <c r="L5" s="252" t="n">
        <v>180</v>
      </c>
      <c r="M5" s="252" t="n">
        <v>190</v>
      </c>
      <c r="N5" s="252" t="n">
        <v>320</v>
      </c>
      <c r="O5" s="254">
        <f>IFERROR(L5*M5*N5*0.00000785*(1+$O$1)*G5, "")</f>
        <v/>
      </c>
      <c r="P5" s="254">
        <f>IFERROR(O5*(1+20%), "")</f>
        <v/>
      </c>
      <c r="Q5" s="252" t="n"/>
      <c r="R5" s="256" t="n"/>
      <c r="S5" s="252" t="n"/>
      <c r="T5" s="252" t="n"/>
      <c r="U5" s="252" t="n"/>
      <c r="V5" s="252">
        <f>IFERROR(60*4, "")</f>
        <v/>
      </c>
      <c r="W5" s="252">
        <f>IFERROR(V5*500/60*F5, "")</f>
        <v/>
      </c>
      <c r="X5" s="252" t="n"/>
      <c r="Y5" s="252" t="n"/>
      <c r="Z5" s="252" t="n"/>
      <c r="AA5" s="252" t="inlineStr">
        <is>
          <t xml:space="preserve">Cone shape </t>
        </is>
      </c>
      <c r="AB5" s="255" t="n"/>
      <c r="AC5" s="260" t="n"/>
    </row>
    <row r="6" ht="12.75" customFormat="1" customHeight="1" s="258">
      <c r="A6" s="251" t="n">
        <v>4</v>
      </c>
      <c r="B6" s="252" t="n">
        <v>3</v>
      </c>
      <c r="C6" s="262" t="n"/>
      <c r="D6" s="253" t="n"/>
      <c r="E6" s="253" t="inlineStr">
        <is>
          <t>PLATE 40 THK. x 490 x 985 LG.</t>
        </is>
      </c>
      <c r="F6" s="252" t="n">
        <v>1</v>
      </c>
      <c r="G6" s="252">
        <f>IFERROR(F6*$G$3, "")</f>
        <v/>
      </c>
      <c r="H6" s="572" t="n">
        <v>119.85</v>
      </c>
      <c r="I6" s="254">
        <f>IFERROR(H6*G6, "")</f>
        <v/>
      </c>
      <c r="J6" s="158" t="inlineStr">
        <is>
          <t xml:space="preserve">Plate </t>
        </is>
      </c>
      <c r="K6" s="158" t="inlineStr">
        <is>
          <t>IS2062: E250A</t>
        </is>
      </c>
      <c r="L6" s="252" t="n">
        <v>40</v>
      </c>
      <c r="M6" s="252" t="n">
        <v>490</v>
      </c>
      <c r="N6" s="252" t="n">
        <v>985</v>
      </c>
      <c r="O6" s="254">
        <f>IFERROR(L6*M6*N6*0.00000785*(1+$O$1)*G6, "")</f>
        <v/>
      </c>
      <c r="P6" s="254">
        <f>IFERROR(O6, "")</f>
        <v/>
      </c>
      <c r="Q6" s="252" t="n"/>
      <c r="R6" s="256" t="n"/>
      <c r="S6" s="252" t="n"/>
      <c r="T6" s="252" t="n"/>
      <c r="U6" s="252" t="n"/>
      <c r="V6" s="252" t="n"/>
      <c r="W6" s="252" t="n"/>
      <c r="X6" s="252" t="n"/>
      <c r="Y6" s="252" t="n"/>
      <c r="Z6" s="252" t="n"/>
      <c r="AA6" s="252" t="n"/>
      <c r="AB6" s="255" t="n"/>
      <c r="AC6" s="260" t="n"/>
    </row>
    <row r="7" ht="12.75" customFormat="1" customHeight="1" s="258">
      <c r="A7" s="251" t="n">
        <v>5</v>
      </c>
      <c r="B7" s="252" t="n">
        <v>4</v>
      </c>
      <c r="C7" s="262" t="n"/>
      <c r="D7" s="253" t="n"/>
      <c r="E7" s="253" t="inlineStr">
        <is>
          <t>PLATE 28 THK. x 610 x 1150 LG.</t>
        </is>
      </c>
      <c r="F7" s="252" t="n">
        <v>1</v>
      </c>
      <c r="G7" s="252">
        <f>IFERROR(F7*$G$3, "")</f>
        <v/>
      </c>
      <c r="H7" s="572" t="n">
        <v>113.77</v>
      </c>
      <c r="I7" s="254">
        <f>IFERROR(H7*G7, "")</f>
        <v/>
      </c>
      <c r="J7" s="158" t="inlineStr">
        <is>
          <t xml:space="preserve">Plate </t>
        </is>
      </c>
      <c r="K7" s="158" t="inlineStr">
        <is>
          <t>IS2062: E250A</t>
        </is>
      </c>
      <c r="L7" s="269" t="n">
        <v>32</v>
      </c>
      <c r="M7" s="252" t="n">
        <v>610</v>
      </c>
      <c r="N7" s="252" t="n">
        <v>1150</v>
      </c>
      <c r="O7" s="254">
        <f>IFERROR(L7*M7*N7*0.00000785*(1+$O$1)*G7, "")</f>
        <v/>
      </c>
      <c r="P7" s="254">
        <f>IFERROR(O7, "")</f>
        <v/>
      </c>
      <c r="Q7" s="252" t="n"/>
      <c r="R7" s="256" t="n"/>
      <c r="S7" s="252" t="n"/>
      <c r="T7" s="252" t="n"/>
      <c r="U7" s="252" t="n"/>
      <c r="V7" s="252" t="n"/>
      <c r="W7" s="252" t="n"/>
      <c r="X7" s="252" t="n"/>
      <c r="Y7" s="252" t="n"/>
      <c r="Z7" s="252" t="n"/>
      <c r="AA7" s="252" t="n"/>
      <c r="AB7" s="255" t="n"/>
      <c r="AC7" s="260" t="n"/>
    </row>
    <row r="8" ht="12.75" customFormat="1" customHeight="1" s="258">
      <c r="A8" s="251" t="n">
        <v>6</v>
      </c>
      <c r="B8" s="252" t="n">
        <v>5</v>
      </c>
      <c r="C8" s="262" t="n"/>
      <c r="D8" s="253" t="n"/>
      <c r="E8" s="253" t="inlineStr">
        <is>
          <t>PLATE 25 THK. x 585 x 1130 LG.</t>
        </is>
      </c>
      <c r="F8" s="252" t="n">
        <v>2</v>
      </c>
      <c r="G8" s="252">
        <f>IFERROR(F8*$G$3, "")</f>
        <v/>
      </c>
      <c r="H8" s="572" t="n">
        <v>121.63</v>
      </c>
      <c r="I8" s="254">
        <f>IFERROR(H8*G8, "")</f>
        <v/>
      </c>
      <c r="J8" s="158" t="inlineStr">
        <is>
          <t xml:space="preserve">Plate </t>
        </is>
      </c>
      <c r="K8" s="158" t="inlineStr">
        <is>
          <t>IS2062: E250A</t>
        </is>
      </c>
      <c r="L8" s="252" t="n">
        <v>25</v>
      </c>
      <c r="M8" s="252" t="n">
        <v>585</v>
      </c>
      <c r="N8" s="252" t="n">
        <v>1130</v>
      </c>
      <c r="O8" s="254">
        <f>IFERROR(L8*M8*N8*0.00000785*(1+$O$1)*G8, "")</f>
        <v/>
      </c>
      <c r="P8" s="254">
        <f>IFERROR(O8, "")</f>
        <v/>
      </c>
      <c r="Q8" s="252" t="n"/>
      <c r="R8" s="256" t="n"/>
      <c r="S8" s="252" t="n"/>
      <c r="T8" s="252" t="n"/>
      <c r="U8" s="252" t="n"/>
      <c r="V8" s="252" t="n">
        <v>15</v>
      </c>
      <c r="W8" s="252">
        <f>IFERROR(V8*500/60*F8, "")</f>
        <v/>
      </c>
      <c r="X8" s="252" t="n"/>
      <c r="Y8" s="252" t="n"/>
      <c r="Z8" s="252" t="n"/>
      <c r="AA8" s="252" t="n"/>
      <c r="AB8" s="255" t="n"/>
      <c r="AC8" s="260" t="n"/>
    </row>
    <row r="9" ht="12.75" customFormat="1" customHeight="1" s="258">
      <c r="A9" s="251" t="n">
        <v>7</v>
      </c>
      <c r="B9" s="252" t="n">
        <v>6</v>
      </c>
      <c r="C9" s="262" t="n"/>
      <c r="D9" s="253" t="n"/>
      <c r="E9" s="253" t="inlineStr">
        <is>
          <t>PLATE 20 THK. x 220 x 220 LG.</t>
        </is>
      </c>
      <c r="F9" s="252" t="n">
        <v>1</v>
      </c>
      <c r="G9" s="252">
        <f>IFERROR(F9*$G$3, "")</f>
        <v/>
      </c>
      <c r="H9" s="572" t="n">
        <v>4.76</v>
      </c>
      <c r="I9" s="254">
        <f>IFERROR(H9*G9, "")</f>
        <v/>
      </c>
      <c r="J9" s="158" t="inlineStr">
        <is>
          <t xml:space="preserve">Plate </t>
        </is>
      </c>
      <c r="K9" s="158" t="inlineStr">
        <is>
          <t>IS2062: E250A</t>
        </is>
      </c>
      <c r="L9" s="252" t="n">
        <v>20</v>
      </c>
      <c r="M9" s="252" t="n">
        <v>220</v>
      </c>
      <c r="N9" s="252" t="n">
        <v>220</v>
      </c>
      <c r="O9" s="254">
        <f>IFERROR(L9*M9*N9*0.00000785*(1+$O$1)*G9, "")</f>
        <v/>
      </c>
      <c r="P9" s="254">
        <f>IFERROR(O9, "")</f>
        <v/>
      </c>
      <c r="Q9" s="252" t="n"/>
      <c r="R9" s="256" t="n"/>
      <c r="S9" s="252" t="n"/>
      <c r="T9" s="252" t="n"/>
      <c r="U9" s="252" t="n"/>
      <c r="V9" s="252" t="n"/>
      <c r="W9" s="252" t="n"/>
      <c r="X9" s="252" t="n"/>
      <c r="Y9" s="252" t="n"/>
      <c r="Z9" s="252" t="n"/>
      <c r="AA9" s="252" t="n"/>
      <c r="AB9" s="255" t="n"/>
      <c r="AC9" s="260" t="n"/>
    </row>
    <row r="10" ht="12.75" customFormat="1" customHeight="1" s="258">
      <c r="A10" s="251" t="n">
        <v>8</v>
      </c>
      <c r="B10" s="252" t="n">
        <v>7</v>
      </c>
      <c r="C10" s="262" t="n"/>
      <c r="D10" s="253" t="n"/>
      <c r="E10" s="253" t="inlineStr">
        <is>
          <t>PLATE 20 THK. x 100 x 175 LG.</t>
        </is>
      </c>
      <c r="F10" s="252" t="n">
        <v>3</v>
      </c>
      <c r="G10" s="252">
        <f>IFERROR(F10*$G$3, "")</f>
        <v/>
      </c>
      <c r="H10" s="572" t="n">
        <v>2.6</v>
      </c>
      <c r="I10" s="254">
        <f>IFERROR(H10*G10, "")</f>
        <v/>
      </c>
      <c r="J10" s="158" t="inlineStr">
        <is>
          <t xml:space="preserve">Plate </t>
        </is>
      </c>
      <c r="K10" s="158" t="inlineStr">
        <is>
          <t>IS2062: E250A</t>
        </is>
      </c>
      <c r="L10" s="252" t="n">
        <v>20</v>
      </c>
      <c r="M10" s="252" t="n">
        <v>100</v>
      </c>
      <c r="N10" s="252" t="n">
        <v>175</v>
      </c>
      <c r="O10" s="254">
        <f>IFERROR(L10*M10*N10*0.00000785*(1+$O$1)*G10, "")</f>
        <v/>
      </c>
      <c r="P10" s="254">
        <f>IFERROR(O10, "")</f>
        <v/>
      </c>
      <c r="Q10" s="252" t="n"/>
      <c r="R10" s="256" t="n"/>
      <c r="S10" s="252" t="n"/>
      <c r="T10" s="252" t="n"/>
      <c r="U10" s="252" t="n"/>
      <c r="V10" s="252" t="n"/>
      <c r="W10" s="252" t="n"/>
      <c r="X10" s="252" t="n"/>
      <c r="Y10" s="252" t="n"/>
      <c r="Z10" s="252" t="n"/>
      <c r="AA10" s="252" t="n"/>
      <c r="AB10" s="255" t="n"/>
      <c r="AC10" s="260" t="n"/>
    </row>
  </sheetData>
  <autoFilter ref="A2:AC10"/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Anshul Guleria</dc:creator>
  <dcterms:created xsi:type="dcterms:W3CDTF">2025-06-24T08:20:32Z</dcterms:created>
  <dcterms:modified xsi:type="dcterms:W3CDTF">2026-06-17T16:59:45Z</dcterms:modified>
  <cp:lastModifiedBy>Anshul Guleria</cp:lastModifiedBy>
</cp:coreProperties>
</file>